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526614CA-9299-8FEA-EDB2-C8A7E91AD4E6}"/>
  <workbookPr showInkAnnotation="0" codeName="ThisWorkbook"/>
  <mc:AlternateContent xmlns:mc="http://schemas.openxmlformats.org/markup-compatibility/2006">
    <mc:Choice Requires="x15">
      <x15ac:absPath xmlns:x15ac="http://schemas.microsoft.com/office/spreadsheetml/2010/11/ac" url="C:\Users\dr3740\Downloads\"/>
    </mc:Choice>
  </mc:AlternateContent>
  <xr:revisionPtr revIDLastSave="0" documentId="13_ncr:1_{FA1485CF-2933-401D-8A9F-5BA60FE34CA6}" xr6:coauthVersionLast="47" xr6:coauthVersionMax="47" xr10:uidLastSave="{00000000-0000-0000-0000-000000000000}"/>
  <bookViews>
    <workbookView xWindow="-108" yWindow="-108" windowWidth="23256" windowHeight="12576" activeTab="2" xr2:uid="{00000000-000D-0000-FFFF-FFFF00000000}"/>
  </bookViews>
  <sheets>
    <sheet name="Introduction" sheetId="37" r:id="rId1"/>
    <sheet name="User Guide" sheetId="38" r:id="rId2"/>
    <sheet name="Evidence" sheetId="34" r:id="rId3"/>
    <sheet name="Output" sheetId="36" state="hidden" r:id="rId4"/>
    <sheet name="Further Information" sheetId="43" r:id="rId5"/>
    <sheet name="Glossary" sheetId="40" r:id="rId6"/>
    <sheet name="Sources" sheetId="41" r:id="rId7"/>
    <sheet name="changes" sheetId="32" state="hidden" r:id="rId8"/>
    <sheet name="Admin" sheetId="57" state="hidden" r:id="rId9"/>
  </sheets>
  <definedNames>
    <definedName name="_xlnm._FilterDatabase" localSheetId="2" hidden="1">Evidence!$A$1:$Y$373</definedName>
    <definedName name="_Toc351547626" localSheetId="6">Sources!$E$26</definedName>
    <definedName name="Assumptions_input">Output!$N$20</definedName>
    <definedName name="Hyperlink_address">Output!$N$33</definedName>
    <definedName name="input_Data">Evidence!$A$1</definedName>
    <definedName name="output_data">Output!$L$7:$N$36</definedName>
    <definedName name="Output_row">Output!#REF!</definedName>
    <definedName name="_xlnm.Print_Area" localSheetId="4">'Further Information'!$A$1:$U$63</definedName>
    <definedName name="_xlnm.Print_Area" localSheetId="5">Glossary!$A$1:$U$74</definedName>
    <definedName name="_xlnm.Print_Area" localSheetId="0">Introduction!$A$1:$U$40</definedName>
    <definedName name="_xlnm.Print_Area" localSheetId="3">Output!$A$1:$J$55</definedName>
    <definedName name="_xlnm.Print_Area" localSheetId="6">Sources!$E$9:$T$24</definedName>
    <definedName name="_xlnm.Print_Area" localSheetId="1">'User Guide'!$A$1:$U$52</definedName>
    <definedName name="Reference_address">Output!$N$28</definedName>
    <definedName name="selected_ID">Output!$N$7</definedName>
    <definedName name="Summary_input">Output!$N$15</definedName>
    <definedName name="Text18" localSheetId="6">Sources!$E$46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4" i="36" l="1"/>
  <c r="O15" i="36"/>
  <c r="T6" i="36"/>
  <c r="O35" i="36"/>
  <c r="O36" i="36"/>
  <c r="O14" i="36"/>
  <c r="A16" i="36"/>
  <c r="T7" i="36"/>
  <c r="T5" i="36"/>
  <c r="T4" i="36"/>
  <c r="T3" i="36"/>
  <c r="I55" i="36"/>
  <c r="O9" i="36"/>
  <c r="O10" i="36"/>
  <c r="O11" i="36"/>
  <c r="O12" i="36"/>
  <c r="O13" i="36"/>
  <c r="O16" i="36"/>
  <c r="O17" i="36"/>
  <c r="O18" i="36"/>
  <c r="O19" i="36"/>
  <c r="O20" i="36"/>
  <c r="O21" i="36"/>
  <c r="O22" i="36"/>
  <c r="O23" i="36"/>
  <c r="O24" i="36"/>
  <c r="O25" i="36"/>
  <c r="O26" i="36"/>
  <c r="O27" i="36"/>
  <c r="O28" i="36"/>
  <c r="O29" i="36"/>
  <c r="O30" i="36"/>
  <c r="O31" i="36"/>
  <c r="O32" i="36"/>
  <c r="O33" i="36"/>
  <c r="O34" i="36"/>
  <c r="O8"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Samuel Toms</author>
  </authors>
  <commentList>
    <comment ref="B1" authorId="0" shapeId="0" xr:uid="{00000000-0006-0000-0200-000001000000}">
      <text>
        <r>
          <rPr>
            <b/>
            <sz val="11"/>
            <color indexed="81"/>
            <rFont val="Arial"/>
            <family val="2"/>
          </rPr>
          <t xml:space="preserve">Based on </t>
        </r>
        <r>
          <rPr>
            <b/>
            <u/>
            <sz val="11"/>
            <color indexed="81"/>
            <rFont val="Arial"/>
            <family val="2"/>
          </rPr>
          <t>aggregated</t>
        </r>
        <r>
          <rPr>
            <b/>
            <sz val="11"/>
            <color indexed="81"/>
            <rFont val="Arial"/>
            <family val="2"/>
          </rPr>
          <t xml:space="preserve"> categories of ring-fenced public health grant spend for 2016/17.</t>
        </r>
      </text>
    </comment>
    <comment ref="C1" authorId="0" shapeId="0" xr:uid="{00000000-0006-0000-0200-000002000000}">
      <text>
        <r>
          <rPr>
            <b/>
            <sz val="11"/>
            <color indexed="81"/>
            <rFont val="Arial"/>
            <family val="2"/>
          </rPr>
          <t>Based on categories of ring-fenced public health grant spend for 2016/17.</t>
        </r>
      </text>
    </comment>
    <comment ref="D1" authorId="0" shapeId="0" xr:uid="{00000000-0006-0000-0200-000003000000}">
      <text>
        <r>
          <rPr>
            <b/>
            <sz val="11"/>
            <color indexed="81"/>
            <rFont val="Arial"/>
            <family val="2"/>
          </rPr>
          <t>Type of intervention</t>
        </r>
      </text>
    </comment>
    <comment ref="E1" authorId="0" shapeId="0" xr:uid="{00000000-0006-0000-0200-000004000000}">
      <text>
        <r>
          <rPr>
            <b/>
            <sz val="11"/>
            <color indexed="81"/>
            <rFont val="Arial"/>
            <family val="2"/>
          </rPr>
          <t>Allows users to select interventions for PDF output. See user guide for more information.</t>
        </r>
      </text>
    </comment>
    <comment ref="F1" authorId="0" shapeId="0" xr:uid="{00000000-0006-0000-0200-000005000000}">
      <text>
        <r>
          <rPr>
            <b/>
            <sz val="11"/>
            <color indexed="81"/>
            <rFont val="Arial"/>
            <family val="2"/>
          </rPr>
          <t>See glossary for full definition.
£2:£1 = there are £2 of benefits for every £1 invested.</t>
        </r>
      </text>
    </comment>
    <comment ref="G1" authorId="0" shapeId="0" xr:uid="{00000000-0006-0000-0200-000006000000}">
      <text>
        <r>
          <rPr>
            <b/>
            <sz val="11"/>
            <color indexed="81"/>
            <rFont val="Arial"/>
            <family val="2"/>
          </rPr>
          <t xml:space="preserve">£5,000 = Cost per QALY is £5,000.
See glossary for full definition (ICER) and interpretation of related terms (QALY / DALY).
</t>
        </r>
      </text>
    </comment>
    <comment ref="H1" authorId="0" shapeId="0" xr:uid="{00000000-0006-0000-0200-000007000000}">
      <text>
        <r>
          <rPr>
            <b/>
            <sz val="11"/>
            <color indexed="81"/>
            <rFont val="Arial"/>
            <family val="2"/>
          </rPr>
          <t xml:space="preserve">See glossary for full definition and interpretation of term (cost saving).
</t>
        </r>
      </text>
    </comment>
    <comment ref="I1" authorId="0" shapeId="0" xr:uid="{00000000-0006-0000-0200-000008000000}">
      <text>
        <r>
          <rPr>
            <b/>
            <sz val="11"/>
            <color indexed="81"/>
            <rFont val="Arial"/>
            <family val="2"/>
          </rPr>
          <t xml:space="preserve">Contains a description of what the intervention is, and a summary of the economic evidence.
</t>
        </r>
      </text>
    </comment>
    <comment ref="J1" authorId="0" shapeId="0" xr:uid="{00000000-0006-0000-0200-000009000000}">
      <text>
        <r>
          <rPr>
            <b/>
            <sz val="11"/>
            <color indexed="81"/>
            <rFont val="Arial"/>
            <family val="2"/>
          </rPr>
          <t xml:space="preserve">See glossary for full definition and interpretation of terms (CEA; CUA; CBA).
</t>
        </r>
      </text>
    </comment>
    <comment ref="K1" authorId="0" shapeId="0" xr:uid="{00000000-0006-0000-0200-00000A000000}">
      <text>
        <r>
          <rPr>
            <b/>
            <sz val="11"/>
            <color indexed="81"/>
            <rFont val="Arial"/>
            <family val="2"/>
          </rPr>
          <t>Defines the type of evidence - e.g. if it is published / unpublished.</t>
        </r>
      </text>
    </comment>
    <comment ref="L1" authorId="0" shapeId="0" xr:uid="{00000000-0006-0000-0200-00000B000000}">
      <text>
        <r>
          <rPr>
            <b/>
            <sz val="11"/>
            <color indexed="81"/>
            <rFont val="Arial"/>
            <family val="2"/>
          </rPr>
          <t>Contains a description of  the participants that make up the study population.</t>
        </r>
      </text>
    </comment>
    <comment ref="M1" authorId="0" shapeId="0" xr:uid="{00000000-0006-0000-0200-00000C000000}">
      <text>
        <r>
          <rPr>
            <b/>
            <sz val="11"/>
            <color indexed="81"/>
            <rFont val="Arial"/>
            <family val="2"/>
          </rPr>
          <t xml:space="preserve">See glossary for full definition and interpretation of term (comparator).
</t>
        </r>
      </text>
    </comment>
    <comment ref="N1" authorId="0" shapeId="0" xr:uid="{00000000-0006-0000-0200-00000D000000}">
      <text>
        <r>
          <rPr>
            <b/>
            <sz val="11"/>
            <color indexed="81"/>
            <rFont val="Arial"/>
            <family val="2"/>
          </rPr>
          <t xml:space="preserve">Contains a description of key modelling assumptions, information on costs and impacts, and any important caveats of the analysis.
</t>
        </r>
      </text>
    </comment>
    <comment ref="O1" authorId="0" shapeId="0" xr:uid="{00000000-0006-0000-0200-00000E000000}">
      <text>
        <r>
          <rPr>
            <b/>
            <sz val="11"/>
            <color indexed="81"/>
            <rFont val="Arial"/>
            <family val="2"/>
          </rPr>
          <t xml:space="preserve">Summarises the timeframe of the analysis.
</t>
        </r>
      </text>
    </comment>
    <comment ref="P1" authorId="0" shapeId="0" xr:uid="{00000000-0006-0000-0200-00000F000000}">
      <text>
        <r>
          <rPr>
            <b/>
            <sz val="11"/>
            <color indexed="81"/>
            <rFont val="Arial"/>
            <family val="2"/>
          </rPr>
          <t xml:space="preserve">Summarises who pays for the intervention (e.g. LA / NHS).
</t>
        </r>
      </text>
    </comment>
    <comment ref="Q1" authorId="0" shapeId="0" xr:uid="{00000000-0006-0000-0200-000010000000}">
      <text>
        <r>
          <rPr>
            <b/>
            <sz val="11"/>
            <color indexed="81"/>
            <rFont val="Arial"/>
            <family val="2"/>
          </rPr>
          <t xml:space="preserve">Summarises the measured impacts of the intervention.
</t>
        </r>
      </text>
    </comment>
    <comment ref="R1" authorId="0" shapeId="0" xr:uid="{00000000-0006-0000-0200-000011000000}">
      <text>
        <r>
          <rPr>
            <b/>
            <sz val="11"/>
            <color indexed="81"/>
            <rFont val="Arial"/>
            <family val="2"/>
          </rPr>
          <t xml:space="preserve">Summarises which country the analysis took place in.
</t>
        </r>
      </text>
    </comment>
    <comment ref="S1" authorId="0" shapeId="0" xr:uid="{00000000-0006-0000-0200-000012000000}">
      <text>
        <r>
          <rPr>
            <b/>
            <sz val="11"/>
            <color indexed="81"/>
            <rFont val="Arial"/>
            <family val="2"/>
          </rPr>
          <t xml:space="preserve">See glossary for full definition and interpretation of term (discount rate).
</t>
        </r>
      </text>
    </comment>
    <comment ref="T1" authorId="0" shapeId="0" xr:uid="{00000000-0006-0000-0200-000013000000}">
      <text>
        <r>
          <rPr>
            <b/>
            <sz val="11"/>
            <color indexed="81"/>
            <rFont val="Arial"/>
            <family val="2"/>
          </rPr>
          <t xml:space="preserve">£GBP 2008:
Costs and impacts are measured in pounds sterling, in 2008 prices.
</t>
        </r>
      </text>
    </comment>
    <comment ref="U1" authorId="0" shapeId="0" xr:uid="{00000000-0006-0000-0200-000014000000}">
      <text>
        <r>
          <rPr>
            <b/>
            <sz val="11"/>
            <color indexed="81"/>
            <rFont val="Arial"/>
            <family val="2"/>
          </rPr>
          <t>Summarises when the evidence was published.</t>
        </r>
      </text>
    </comment>
    <comment ref="V1" authorId="0" shapeId="0" xr:uid="{00000000-0006-0000-0200-000015000000}">
      <text>
        <r>
          <rPr>
            <b/>
            <sz val="11"/>
            <color indexed="81"/>
            <rFont val="Arial"/>
            <family val="2"/>
          </rPr>
          <t>Full reference of original source.</t>
        </r>
      </text>
    </comment>
    <comment ref="W1" authorId="0" shapeId="0" xr:uid="{00000000-0006-0000-0200-000016000000}">
      <text>
        <r>
          <rPr>
            <b/>
            <sz val="11"/>
            <color indexed="81"/>
            <rFont val="Arial"/>
            <family val="2"/>
          </rPr>
          <t>Hyperlink to original source.</t>
        </r>
      </text>
    </comment>
    <comment ref="X1" authorId="0" shapeId="0" xr:uid="{00000000-0006-0000-0200-000017000000}">
      <text>
        <r>
          <rPr>
            <b/>
            <sz val="11"/>
            <color indexed="81"/>
            <rFont val="Arial"/>
            <family val="2"/>
          </rPr>
          <t>Additional information that is relevant to evidence - e.g. further reference materials.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Samuel Toms</author>
  </authors>
  <commentList>
    <comment ref="E36" authorId="0" shapeId="0" xr:uid="{00000000-0006-0000-0500-000001000000}">
      <text/>
    </comment>
  </commentList>
</comments>
</file>

<file path=xl/sharedStrings.xml><?xml version="1.0" encoding="utf-8"?>
<sst xmlns="http://schemas.openxmlformats.org/spreadsheetml/2006/main" count="8976" uniqueCount="2817">
  <si>
    <t>Sexual Health, Reproductive Health and HIV</t>
  </si>
  <si>
    <t>ID</t>
  </si>
  <si>
    <t>Activity</t>
  </si>
  <si>
    <t>Study population</t>
  </si>
  <si>
    <t>Comparator</t>
  </si>
  <si>
    <t>Assumptions / Caveats</t>
  </si>
  <si>
    <t>Timeframe</t>
  </si>
  <si>
    <t>HIV testing</t>
  </si>
  <si>
    <t>Contraception</t>
  </si>
  <si>
    <t>LARC methods</t>
  </si>
  <si>
    <t>Teenage pregnancy</t>
  </si>
  <si>
    <t>A1</t>
  </si>
  <si>
    <t>A2</t>
  </si>
  <si>
    <t>A3</t>
  </si>
  <si>
    <t>A4</t>
  </si>
  <si>
    <t>A5</t>
  </si>
  <si>
    <t>A6</t>
  </si>
  <si>
    <t>A7</t>
  </si>
  <si>
    <t>A8</t>
  </si>
  <si>
    <t>A9</t>
  </si>
  <si>
    <t>A10</t>
  </si>
  <si>
    <t>A11</t>
  </si>
  <si>
    <t>A12</t>
  </si>
  <si>
    <t>5 years</t>
  </si>
  <si>
    <t>Savings estimated, based on 1000 women switching from oral contraceptive to LARCs</t>
  </si>
  <si>
    <t>Intervention</t>
  </si>
  <si>
    <t>No intervention</t>
  </si>
  <si>
    <t>10 years</t>
  </si>
  <si>
    <t>Type of evidence</t>
  </si>
  <si>
    <t>Discount Rate</t>
  </si>
  <si>
    <t xml:space="preserve">Country </t>
  </si>
  <si>
    <t>Currency</t>
  </si>
  <si>
    <t>£ GBP</t>
  </si>
  <si>
    <t>Further information</t>
  </si>
  <si>
    <t>Link to source</t>
  </si>
  <si>
    <t>England</t>
  </si>
  <si>
    <t>Cost-effectiveness analysis</t>
  </si>
  <si>
    <t>A13</t>
  </si>
  <si>
    <t>A14</t>
  </si>
  <si>
    <t>B1</t>
  </si>
  <si>
    <t>A15</t>
  </si>
  <si>
    <t>30 years</t>
  </si>
  <si>
    <t>Screening for diabetes and impaired glucose tolerance</t>
  </si>
  <si>
    <t>50 years</t>
  </si>
  <si>
    <t>93% probability of being cost-effective at a willingness-to-pay threshold of £20 000.
Screening for type 2 diabetes and impaired glucose tolerance, with appropriate intervention for those with impaired glucose tolerance, in an above average risk population aged 45, seems to be cost effective. The cost effectiveness of a policy of screening for diabetes alone, which offered no intervention to those with impaired glucose tolerance, is still uncertain.</t>
  </si>
  <si>
    <t>A hypothetical population, aged 45 at time of screening, with above average risk of diabetes.</t>
  </si>
  <si>
    <t>c£182 p.a. per patient</t>
  </si>
  <si>
    <t>PHE is working with a pilot site in Doncaster with 10 GP practices. Each practice nominated an ATM champion who received relevant training and carried out additional patient appointments where necessary. The reviews focused on Pregabalin use in the GP practices and conducted audits of use in April and September 2015, comparing outcomes pre- and post-intervention. Collectively, the GP surgeries reduced prescribing of Pregabalin by 29% (ranging from - 88% to +5%). This represents an annualised gross saving from reduced prescribing costs of £120,000 compared to an investment of c£10,000.</t>
  </si>
  <si>
    <t>Pilot site in Doncaster with 10 GP practices</t>
  </si>
  <si>
    <t>3-5 months follow up</t>
  </si>
  <si>
    <t>Structured drug treatment</t>
  </si>
  <si>
    <t>Cost-utility analysis</t>
  </si>
  <si>
    <t>1 year</t>
  </si>
  <si>
    <t>Reference to original source</t>
  </si>
  <si>
    <t>B2</t>
  </si>
  <si>
    <t>B3</t>
  </si>
  <si>
    <t>Needle and syringe programme</t>
  </si>
  <si>
    <t>Sample of approximately 24,000 young people who received specialist treatment in the UK in 2008-09</t>
  </si>
  <si>
    <t>Cost-benefit analysis</t>
  </si>
  <si>
    <t>Specialist Drug and Alcohol Services for Young People</t>
  </si>
  <si>
    <t>LAs that provide  specialist drug and alcohol services for young people</t>
  </si>
  <si>
    <t>Stop Smoking services and interventions</t>
  </si>
  <si>
    <t>Smoking cessation - brief advice</t>
  </si>
  <si>
    <t>Background quit rate</t>
  </si>
  <si>
    <t>Nicotine patch - pharmacy consultation</t>
  </si>
  <si>
    <t>Nicotine patch - pharmacy consultation + behavioural programme</t>
  </si>
  <si>
    <t>Brief advice plus self-help material</t>
  </si>
  <si>
    <t>Brief advice plus self-help material plus NRT plus specialist clinic</t>
  </si>
  <si>
    <t>Less intensive counselling and bupropion</t>
  </si>
  <si>
    <t>More intensive counselling and bupropion</t>
  </si>
  <si>
    <t>Nicotine patch - group counselling</t>
  </si>
  <si>
    <t>Nicotine patch - individual counselling</t>
  </si>
  <si>
    <t>Nicotine patch - no counselling</t>
  </si>
  <si>
    <t>Brief intervention plus self-help</t>
  </si>
  <si>
    <t>Brief advice plus self-help material plus NRT</t>
  </si>
  <si>
    <t>Wider tobacco control</t>
  </si>
  <si>
    <t>Mass-media intervention</t>
  </si>
  <si>
    <t>Smoking cessation—general population: client centred</t>
  </si>
  <si>
    <t>Background quit rate; no intervention or usual care</t>
  </si>
  <si>
    <t>Smoking cessation—general population: drop-in/rolling community based</t>
  </si>
  <si>
    <t>Smoking cessation —general population: dentist based</t>
  </si>
  <si>
    <t>Usual care</t>
  </si>
  <si>
    <t>Smoking cessation—general population: incentive schemes NRT</t>
  </si>
  <si>
    <t>Smoking cessation—general population: proactive telephone counselling</t>
  </si>
  <si>
    <t>Usual care or intervention but no telephone counselling</t>
  </si>
  <si>
    <t>Smoking cessation—general population: identify smokers through other means</t>
  </si>
  <si>
    <t>Smoking cessation—general population: pharmacist based</t>
  </si>
  <si>
    <t>Smoking cessation—disadvantaged groups: workplace</t>
  </si>
  <si>
    <t>Smoking cessation—disadvantaged groups: client-centred social marketing</t>
  </si>
  <si>
    <t>Smoking cessation—disadvantaged groups: BA pregnant women</t>
  </si>
  <si>
    <t>Point-of-sale intervention</t>
  </si>
  <si>
    <t>Smoking cessation—disadvantaged groups: recruitment at paediatric unit</t>
  </si>
  <si>
    <t>Smoking cessation—general population: incentive schemes workplace</t>
  </si>
  <si>
    <t>WI with no incentive</t>
  </si>
  <si>
    <t>Smoking cessation—disadvantaged groups: NHS SSS</t>
  </si>
  <si>
    <t>Smoking cessation—disadvantaged groups: pharmacist based</t>
  </si>
  <si>
    <t>Statins—disadvantaged groups: culturally sensitive screening</t>
  </si>
  <si>
    <t>Statins—disadvantaged groups: invitation for screening by GP</t>
  </si>
  <si>
    <t>Usual care or no intervention</t>
  </si>
  <si>
    <t>Statins—general population: pharmacist based</t>
  </si>
  <si>
    <t>Smoking cessation—disadvantaged groups: proactive telephone support pregnant women</t>
  </si>
  <si>
    <t>Intervention but no offer of telephone support</t>
  </si>
  <si>
    <t>School based intervention - Curricular</t>
  </si>
  <si>
    <t>No intervention or standard education</t>
  </si>
  <si>
    <t>Brief intervention (5 minutes)</t>
  </si>
  <si>
    <t>See assumptions</t>
  </si>
  <si>
    <t>No intervention (aggregate of controls)</t>
  </si>
  <si>
    <t>Cost saving evidence</t>
  </si>
  <si>
    <t>Who pays?</t>
  </si>
  <si>
    <t>NHS savings</t>
  </si>
  <si>
    <t>Modelled adult population (15-64) with risk status for HIV prevalence and incidence</t>
  </si>
  <si>
    <t>A16</t>
  </si>
  <si>
    <t>B4</t>
  </si>
  <si>
    <t>Link to summary of paper</t>
  </si>
  <si>
    <t>C1</t>
  </si>
  <si>
    <t>Preventing and reducing harm from drug misuse in adults</t>
  </si>
  <si>
    <t>Preventing and reducing harm from alcohol misuse in adults</t>
  </si>
  <si>
    <t>LA / NHS savings</t>
  </si>
  <si>
    <t>Based on evidence from evaluations conducted by NICE (PH23).</t>
  </si>
  <si>
    <t>Based on evidence from evaluations conducted by NICE (PH15).</t>
  </si>
  <si>
    <t>Based on evidence from evaluations conducted by NICE (PH14).</t>
  </si>
  <si>
    <t>Based on evidence from evaluations conducted by NICE (PH1).</t>
  </si>
  <si>
    <t>Based on evidence from evaluations conducted by NICE (PH10).</t>
  </si>
  <si>
    <t>742 clients with alcohol problems; 617 (83.2%) were interviewed at 12 months and full economic data were obtained on 608 (98.5% of 617).</t>
  </si>
  <si>
    <t>LA / NHS / social care / criminal justice savings</t>
  </si>
  <si>
    <t>QALY gains for service users</t>
  </si>
  <si>
    <t>G1</t>
  </si>
  <si>
    <t>G2</t>
  </si>
  <si>
    <t>G3</t>
  </si>
  <si>
    <t>G4</t>
  </si>
  <si>
    <t>G5</t>
  </si>
  <si>
    <t>G6</t>
  </si>
  <si>
    <t>Tobacco control services</t>
  </si>
  <si>
    <t>Lifetime</t>
  </si>
  <si>
    <t>Nicotine replacement therapy</t>
  </si>
  <si>
    <t>Brief intervention delivered in GP practices</t>
  </si>
  <si>
    <t>Canada</t>
  </si>
  <si>
    <t>Smoking cessation in hospital</t>
  </si>
  <si>
    <t>Patients without a referral.</t>
  </si>
  <si>
    <t>The Healthy Child Programme (HCP) (0-5)</t>
  </si>
  <si>
    <t>$ CAN</t>
  </si>
  <si>
    <t>Higher earnings, savings in welfare, reduced cost of crime</t>
  </si>
  <si>
    <t>Intervention group compared to control group</t>
  </si>
  <si>
    <t>G7</t>
  </si>
  <si>
    <t>G8</t>
  </si>
  <si>
    <t>5 / 10 years</t>
  </si>
  <si>
    <t>Further reference (Kings Fund)</t>
  </si>
  <si>
    <t>25 years</t>
  </si>
  <si>
    <t>Public sector (NHS, social services, education, criminal justice system) savings</t>
  </si>
  <si>
    <t>Parenting interventions for the prevention of persistent conduct disorders</t>
  </si>
  <si>
    <t>G9</t>
  </si>
  <si>
    <t>G10</t>
  </si>
  <si>
    <t>G11</t>
  </si>
  <si>
    <t>G12</t>
  </si>
  <si>
    <t>G13</t>
  </si>
  <si>
    <t>G14</t>
  </si>
  <si>
    <t>G15</t>
  </si>
  <si>
    <t xml:space="preserve">Various </t>
  </si>
  <si>
    <t>H1</t>
  </si>
  <si>
    <t>Based on evidence from evaluations conducted by NICE (PH12).</t>
  </si>
  <si>
    <t>The Healthy Child Programme (HCP) (5-19)</t>
  </si>
  <si>
    <t>Ireland</t>
  </si>
  <si>
    <t>Children aged 3-7 years</t>
  </si>
  <si>
    <t>6 months</t>
  </si>
  <si>
    <t>Referenced in PHE source</t>
  </si>
  <si>
    <t>Users without mental health problems, savings in health and welfare spend, lost productivity.</t>
  </si>
  <si>
    <t>H2</t>
  </si>
  <si>
    <t>H3</t>
  </si>
  <si>
    <t>H4</t>
  </si>
  <si>
    <t>H5</t>
  </si>
  <si>
    <t>H6</t>
  </si>
  <si>
    <t>H7</t>
  </si>
  <si>
    <t>Multi-component small scale diabetes prevention</t>
  </si>
  <si>
    <t>USA</t>
  </si>
  <si>
    <t>STI diagnosis and treatment</t>
  </si>
  <si>
    <t>A17</t>
  </si>
  <si>
    <t>Health Protection</t>
  </si>
  <si>
    <t>Children 0-5 services</t>
  </si>
  <si>
    <t>Mathematical model based on cohorts of 10,000 MSM and IDU.</t>
  </si>
  <si>
    <t>A18</t>
  </si>
  <si>
    <t>A19</t>
  </si>
  <si>
    <t>A20</t>
  </si>
  <si>
    <t>Statins for primary prevention</t>
  </si>
  <si>
    <t>H9</t>
  </si>
  <si>
    <t>H10</t>
  </si>
  <si>
    <t>H11</t>
  </si>
  <si>
    <t>H12</t>
  </si>
  <si>
    <t>H13</t>
  </si>
  <si>
    <t>H14</t>
  </si>
  <si>
    <t>H15</t>
  </si>
  <si>
    <t>I1</t>
  </si>
  <si>
    <t>I3</t>
  </si>
  <si>
    <t>I4</t>
  </si>
  <si>
    <t>I5</t>
  </si>
  <si>
    <t>I6</t>
  </si>
  <si>
    <t>I7</t>
  </si>
  <si>
    <t>Public purse (reduced health / crime / welfare / educational costs</t>
  </si>
  <si>
    <t>Primarily savings relating to crime, but also health savings and increase to lifetime earnings.</t>
  </si>
  <si>
    <t>Wales</t>
  </si>
  <si>
    <t>H16</t>
  </si>
  <si>
    <t>H17</t>
  </si>
  <si>
    <t>H18</t>
  </si>
  <si>
    <t>The American programme Nurse-Family Partnership, a peri-natal visit programme which has been implemented in the UK, has shown a $5.06 ROI for every dollar spent.</t>
  </si>
  <si>
    <t>I8</t>
  </si>
  <si>
    <t>I9</t>
  </si>
  <si>
    <t>I10</t>
  </si>
  <si>
    <t>Australia</t>
  </si>
  <si>
    <t>H19</t>
  </si>
  <si>
    <t>Nurse Family Partnership for low income women</t>
  </si>
  <si>
    <t>Restricting alcohol availability</t>
  </si>
  <si>
    <t>Assumes 80% coverage. 
Range for different regions, $624 presented as cost per DALY saved for European countries.</t>
  </si>
  <si>
    <t>I11</t>
  </si>
  <si>
    <t>H20</t>
  </si>
  <si>
    <t>C2</t>
  </si>
  <si>
    <t>UK</t>
  </si>
  <si>
    <t>Mass media campaign ('The Australia campaign')</t>
  </si>
  <si>
    <t>Identification and brief advice (IBA)</t>
  </si>
  <si>
    <t>6 years</t>
  </si>
  <si>
    <t>Latent TB screening for immigrants</t>
  </si>
  <si>
    <t>Cost minimising</t>
  </si>
  <si>
    <t>C3</t>
  </si>
  <si>
    <t>C4</t>
  </si>
  <si>
    <t>C5</t>
  </si>
  <si>
    <t>C6</t>
  </si>
  <si>
    <t>C7</t>
  </si>
  <si>
    <t>C8</t>
  </si>
  <si>
    <t>Comments</t>
  </si>
  <si>
    <t>Drink-driving legislation and enforcement (via random breath-testing campaigns)</t>
  </si>
  <si>
    <t>40 years</t>
  </si>
  <si>
    <t>A21</t>
  </si>
  <si>
    <t>A22</t>
  </si>
  <si>
    <t>Cost-effective</t>
  </si>
  <si>
    <t>Europe</t>
  </si>
  <si>
    <t>Intervention: Usual care - didactic messages (instructive method of teaching)</t>
  </si>
  <si>
    <t>Intervention: Didactic information (instructive method of teaching)</t>
  </si>
  <si>
    <t>Intervention: Didactic messages (instructive method of teaching)</t>
  </si>
  <si>
    <t>Intervention: Patient referral</t>
  </si>
  <si>
    <t>Intervention: Treatment as usual</t>
  </si>
  <si>
    <t>Pre-school programmes</t>
  </si>
  <si>
    <t xml:space="preserve">Participation in preschool programs was found to have relatively large and enduring effects on school achievement and child well-being. High-quality programs for children at risk produce strong economic returns ranging from about $4 per dollar invested to over $10 per dollar invested. Even under modest assumptions, prekindergarten programs for 4-year-olds would be expected to return more than $2 per dollar invested. </t>
  </si>
  <si>
    <t xml:space="preserve">The amount of evidence on the positive and enduring effects of high-quality preschool programs is unprecedented, especially for children at risk. There is not only a critical mass of evidence from long-term cost-benefit analyses, but increasingly strong evidence from state-financed prekindergarten that participation is associated with sizeable increases in school readiness and transition to elementary school. These demonstrated increases in many programs are critical to the emergence of enduring effects. </t>
  </si>
  <si>
    <t>Well-being and school achievement for students</t>
  </si>
  <si>
    <t>H21</t>
  </si>
  <si>
    <t>Class-size reductions</t>
  </si>
  <si>
    <t>I12</t>
  </si>
  <si>
    <t>20 years</t>
  </si>
  <si>
    <t>$815 per case</t>
  </si>
  <si>
    <t>Close-contact investigation (screening close contacts of any person with TB) resulted in net savings of $815 for each prevalent active case detected and treated and $2,186 for each future case prevented.</t>
  </si>
  <si>
    <t>Intervention (passive detection - diagnosing those who seek care with TB symptoms)</t>
  </si>
  <si>
    <t>Dominant</t>
  </si>
  <si>
    <t xml:space="preserve">Dominant </t>
  </si>
  <si>
    <t>C9</t>
  </si>
  <si>
    <t>Diversion and aftercare programmes for offenders using Class A drugs</t>
  </si>
  <si>
    <t>No relevant studies were identified for the cost-effectiveness review. The main reason for exclusion of economic analyses was that they did not conduct a full economic evaluation that compared diversion to an alternative and included a measure of health benefit (effectiveness, QALY or monetary value of participant health and well-being) or estimated either an ICER or cost–benefit ratio.
Conclusions derived from the economic analysis were limited by the constraints of available data and uncertainty about structural aspects of the model. It remains unclear whether or not the UK model of diversion (DIP) had no impact compared with no diversion, or whether or not the evidence is insufficient to identify an existing difference.
There was a wide variance in net costs (net cost - £147; 95% percentiles = £17.573 to £16,317) and a small net gain in QALYs (net QALY 0.005)</t>
  </si>
  <si>
    <t>Intervention (usual pathway)</t>
  </si>
  <si>
    <t>Not cost-effective</t>
  </si>
  <si>
    <t>NICE guidance</t>
  </si>
  <si>
    <t xml:space="preserve">Over 800 participants aged 19 years or over were randomly allocated to either brief advice, or a leaflet condition, and average weekly alcohol consumption during the previous 90 days was measured at six months after randomisation. Levels of unprotected sex were also observed. Compared to the leaflet condition, the adjusted MD in alcohol consumption at six months for those in the IBA group was borderline significant at 2.3 units per week (0.03, 4.7). There were no differences in self-reported levels of unprotected sex, 53% and 59% in the IBA and leaflet group respectively. </t>
  </si>
  <si>
    <t>Intervention (psychosocial support only)</t>
  </si>
  <si>
    <t>H22</t>
  </si>
  <si>
    <t>H23</t>
  </si>
  <si>
    <t>£27 pp. p.a.</t>
  </si>
  <si>
    <t>Opioid substitution therapy (OST)</t>
  </si>
  <si>
    <t>The recent launch of generic buprenorphine and the subsequent reduction in cost will have narrowed this difference.</t>
  </si>
  <si>
    <t>McDaid D, Sassi F, Merkur S, eds. Promoting health, preventing disease: the economic case. Maidenhead: Open University Press; 2015.</t>
  </si>
  <si>
    <t>Type of analysis</t>
  </si>
  <si>
    <t>Link to published analysis</t>
  </si>
  <si>
    <t>Primary PHE modelling</t>
  </si>
  <si>
    <t>Measured benefit of evidence?</t>
  </si>
  <si>
    <t>PHE primary modelling</t>
  </si>
  <si>
    <t>Social care savings, improved patient quality and experience.</t>
  </si>
  <si>
    <t>B5</t>
  </si>
  <si>
    <t>B6</t>
  </si>
  <si>
    <t>NHS and LA savings</t>
  </si>
  <si>
    <t>C10</t>
  </si>
  <si>
    <t>Study participants were 104 economically disadvantaged children and their families.</t>
  </si>
  <si>
    <t>Undiscounted costs of $67,000 ($11k in year 1, $16k in year 2 and 3, $12k in year 4 and 5), discounted costs $63,476. 
Total benefits of $158,278, including increased maternal earnings ($68k), decreased schooling costs, increased lifetime earnings ($37k), decreased childcare costs ($27k) and decreased costs related to smoking ($18k). Includes additional education costs as a result of higher educational attainment (-$8k).
The Abecedarian preschool program was educationally intensive and temporally extensive. It likely represents an upper bound on public investments in preschool education that might be realistically considered.</t>
  </si>
  <si>
    <t>Income benefits for child and mother, QALY gains for service user, other educational / welfare benefits.</t>
  </si>
  <si>
    <t>Control group of children received mix of formal and informal care.</t>
  </si>
  <si>
    <t>B7</t>
  </si>
  <si>
    <t>15 years</t>
  </si>
  <si>
    <t>I13</t>
  </si>
  <si>
    <t>I14</t>
  </si>
  <si>
    <t>B8</t>
  </si>
  <si>
    <t>B9</t>
  </si>
  <si>
    <t>Simulation based on population equivalent to 50 GP lists (90,000 people) aged 40-74.</t>
  </si>
  <si>
    <t>Latent tuberculosis infection  (LTBI) therapy</t>
  </si>
  <si>
    <t>Healthcare savings</t>
  </si>
  <si>
    <t>$2,367</t>
  </si>
  <si>
    <t>$164-$3,730</t>
  </si>
  <si>
    <t>Hong Kong</t>
  </si>
  <si>
    <t>$80-$3,400</t>
  </si>
  <si>
    <t>$550-$1,450</t>
  </si>
  <si>
    <t>$859</t>
  </si>
  <si>
    <t>$5.06:1</t>
  </si>
  <si>
    <t>$2.88:1</t>
  </si>
  <si>
    <t>$2-$10:$1</t>
  </si>
  <si>
    <t>$2.5:$1</t>
  </si>
  <si>
    <t>Link to reference</t>
  </si>
  <si>
    <t>Intervention - usual care</t>
  </si>
  <si>
    <t>$ AUD</t>
  </si>
  <si>
    <t>B10</t>
  </si>
  <si>
    <t>B11</t>
  </si>
  <si>
    <t>$14,400-$29,300</t>
  </si>
  <si>
    <t>B12</t>
  </si>
  <si>
    <t>1 / 10 years</t>
  </si>
  <si>
    <t>B13</t>
  </si>
  <si>
    <t>Systematic review of 29 studies</t>
  </si>
  <si>
    <t>Various - see assumptions</t>
  </si>
  <si>
    <t>Targeted screening is cost-effective
compared to universal screening. Efficiency is optimized and costs are minimized when screening for both prediabetes and T2DM.
For optimal cost-effectiveness, screening for both T2DM and pre-diabetes should be initiated around age 45-50, with repeated testing every 5 years.</t>
  </si>
  <si>
    <t>Inclusion criteria: Studies between 2000 and 2015, that reported costs and outcomes of screening (universal, targeted, opportunistic) were included.
Screening was compared to no screening in 12 studies (41%), in which screening was found cost-effective in 8 (67%), not cost-effective in 4 (33%) and neither in 1 (8%). 
In studies comparing different screening methods, 6 found that targeted screening was cost-effective compared with universal screening (none found the opposite), and 1 found opportunistic screening superior to universal. Sensitivity analyses generally confirmed primary findings. Costs were lower when both T2DM and prediabetes were screened compared with T2DM only. Major cost drivers included prevalence of T2DM/pre-diabetes, type of blood test used and rate of uptake of testing.</t>
  </si>
  <si>
    <t>B14</t>
  </si>
  <si>
    <t>Systematic review of 8 studies</t>
  </si>
  <si>
    <t>B15</t>
  </si>
  <si>
    <t>B16</t>
  </si>
  <si>
    <t>A microsimulation model evaluating lifelong cost-effectiveness for individuals aged 40–85 at intermediate risk of CVD (n=3736)</t>
  </si>
  <si>
    <t>B17</t>
  </si>
  <si>
    <t>A cluster-randomized controlled trial of early intensive treatment in people with screen-detected diabetes in 69 UK general practices. </t>
  </si>
  <si>
    <t>Intensive treatment for individuals with Type 2 diabetes.</t>
  </si>
  <si>
    <t>B18</t>
  </si>
  <si>
    <t>England; population in the 40–74-years age range eligible for a NHS health check.</t>
  </si>
  <si>
    <t>Intervention - FPG test</t>
  </si>
  <si>
    <t>B19</t>
  </si>
  <si>
    <t>Screening for Type 2 diabetes</t>
  </si>
  <si>
    <t>Pre-screening to prioritise screening for Type 2 diabetes.</t>
  </si>
  <si>
    <t>C11</t>
  </si>
  <si>
    <t>Intervention - uncoated latex catheter</t>
  </si>
  <si>
    <t>10 units of the Nebraska Medical Centre (approx. 20% of total patient days)</t>
  </si>
  <si>
    <t>Cost-saving</t>
  </si>
  <si>
    <t>A cohort of 10000 individuals aged 30–74 years</t>
  </si>
  <si>
    <t>Every £1 spent preventing teenage pregnancy saves £11 in health care costs (abortion, antenatal and maternity costs).</t>
  </si>
  <si>
    <t>None</t>
  </si>
  <si>
    <t>Scotland</t>
  </si>
  <si>
    <t>All children aged 3-5 (n= 54,812 in 2009/10).</t>
  </si>
  <si>
    <t>No supervised nursery brushing</t>
  </si>
  <si>
    <t>Cost analysis</t>
  </si>
  <si>
    <t>All children aged 6-60 months in Alaska. Estimates based on child population of 2,575</t>
  </si>
  <si>
    <t>Not applicable</t>
  </si>
  <si>
    <t>Per child per year costs of delivering intervention:
Fluoride varnish: $662
Water fluoridation: $278
Toothbrush/toothpaste: $605
Dental sealants: $690
Initial exams: $ 986
Minimum estimates of cost saving per child from averted caries in year one:
Fluoride varnish: $2,056 (assumed 18% effective and 100% coverage)
Water fluoridation: $3,081 (assumed 26% effective and 68% coverage)
Toothbrush/toothpaste: $2,390 (assumed 21% effective and 100% coverage)
Dental sealants: $3,269 (assumed 71% effectiveness and 100% coverage)
Initial exams: $ 2,682 (assumed 22% effectiveness and 100% coverage)</t>
  </si>
  <si>
    <t>Children under 6. Assumed 450,000 preschool children were eligible</t>
  </si>
  <si>
    <t>Various</t>
  </si>
  <si>
    <t>Systems model analysis</t>
  </si>
  <si>
    <t>Disease reductions and healthcare savings</t>
  </si>
  <si>
    <t>No intervention - Usual care</t>
  </si>
  <si>
    <t>Children aged 6-60 months (n=296). 188 home visits intervention; 58 telephone contacts intervention; 40 reference controls/usual care</t>
  </si>
  <si>
    <t>5.5 years</t>
  </si>
  <si>
    <t>Healthcare savings, QALY gains for service users</t>
  </si>
  <si>
    <t>£ GBP 2008</t>
  </si>
  <si>
    <t>n=5,858</t>
  </si>
  <si>
    <t>£ GBP 2012</t>
  </si>
  <si>
    <t>Intervention - late diagnosis</t>
  </si>
  <si>
    <t>NHS savings, better health outcomes for patients, lower onward transmission</t>
  </si>
  <si>
    <t>Evidence included in Menu of Interventions</t>
  </si>
  <si>
    <t>NHS savings, QALY gains for service users</t>
  </si>
  <si>
    <t>Intervention - status quo (current testing and treatment levels)</t>
  </si>
  <si>
    <t>Intervention - HIV testing frequencies</t>
  </si>
  <si>
    <t>See reference for full set of scenario results and assumptions. Two presented below as an example.
(a) 6 month compared to annual test: 2 additional infections averted at a cost of $519k, saving $834k in treatment costs and  providing 8.9 additional QALYs.
(b) 3 month compared to 6 months:
1.2 additional infections averted at a cost of $350k, saving $499k in treatment costs and  providing 5.33 additional QALYs.
MSM results remained robust in sensitivity analysis and type of HIV test used (fourth-generation and rapid point-of-care tests).</t>
  </si>
  <si>
    <t>Universal HIV testing is not cost-effective under NICE cost-effectiveness threshold. This outcome does not change with less frequent testing (every 2 / 3 years).</t>
  </si>
  <si>
    <t>For MSM (men who have sex with men), HIV testing was cost saving for 6-month compared with annual testing and cost-saving or cost-effective for quarterly compared with 6-month testing using either test. 
Testing IDU (injection drug users)  was not cost effective under NICE threshold.
Fourth-generation tests are more sensitive and generally more cost-effective than rapid point-of-care tests.</t>
  </si>
  <si>
    <t>£ GBP 2008/09</t>
  </si>
  <si>
    <t>Averted outcomes = healthcare costs saved due to unplanned pregnancies avoided (in terms of terminations, antenatal and maternity care).</t>
  </si>
  <si>
    <t>£1 invested in contraception saves £11.09 in averted outcomes.</t>
  </si>
  <si>
    <t>Intervention - IUD</t>
  </si>
  <si>
    <t>The incremental cost-effectiveness ratio of implant (most effective LARC method) versus IUD (cheapest LARC method) was £13 206 per unintended pregnancy averted for 1 year of use and decreased until implant dominated IUD in 15 years. 
LARC methods dominated combined oral contraceptive pill (COC).</t>
  </si>
  <si>
    <t>£ GBP 2005</t>
  </si>
  <si>
    <t>LARC = long-acting reversible contraception
IUD = intrauterine device (coil)
Costs of contraceptive provisions considered against costs associated with outcomes of unintended pregnancy.
The economic analysis considered consecutive time frames from 1 to 15 years of intended contraceptive use to explore the changes in the relative cost-effectiveness of LARC methods over time. 
Discontinuation was a key determinant of the cost-effectiveness of LARC methods, as outcomes expressed in terms of results from initiated method plus averaged of method adopted after discontinuation.</t>
  </si>
  <si>
    <t>3 years</t>
  </si>
  <si>
    <t xml:space="preserve">
Total cost = $599m
Total benefits = $1,170 (averted medical costs).
2.7 million persons were tested for HIV over 3 years, there was a newly diagnosed HIV positivity rate of 0.7%, and an estimated 3,381 HIV infections were averted. 
$367,134 = lifetime HIV treatment cost (used for each transmission averted).</t>
  </si>
  <si>
    <t>For every $1 spent on HIV prevention, there was a return of $1.95  based on total HIV investment, including expanded HIV service which focused 80% of resource on high morbidity clinical setting testing and 20% on testing high-risk populations in nonclinical settings . 
ROI ranged from $1.46 to $2.01 for alternative testing intervals of 1-5 years and remained above $1 (positive return on investment) with a prevalence of undiagnosed HIV infection as low as 0.12%.</t>
  </si>
  <si>
    <t>Healthcare savings, lower onward transmission</t>
  </si>
  <si>
    <t>Intervention - later diagnosis (3 years)</t>
  </si>
  <si>
    <t>2.7 million people tested for HIV</t>
  </si>
  <si>
    <t>£143 per woman</t>
  </si>
  <si>
    <t>Intervention - oral contraceptive pill.</t>
  </si>
  <si>
    <t>Switching from oral contraceptive pill to LARCs is estimated to save £29 per annum per woman (£143 over 5 years) through avoided unplanned pregnancies.</t>
  </si>
  <si>
    <t>£ GBP 2006/07</t>
  </si>
  <si>
    <t>Pneumococcal vaccination</t>
  </si>
  <si>
    <t>Spain</t>
  </si>
  <si>
    <t>€ EUR 2010</t>
  </si>
  <si>
    <t>English translation of abstract</t>
  </si>
  <si>
    <t>Children aged less than 2 years old in Spain</t>
  </si>
  <si>
    <t>Intervention - Prevenar13</t>
  </si>
  <si>
    <t>Pneumococcal vaccination with Synflorix in comparison with Prevenar13 is a dominant strategy (a higher number of QALYs and a substantial cost offset) in terms of cost-effectiveness.
Cost savings are estimated at €22 million.</t>
  </si>
  <si>
    <t>Rotavirus vaccine</t>
  </si>
  <si>
    <t>Children aged less than 5 years old</t>
  </si>
  <si>
    <t>Link to Japanese study</t>
  </si>
  <si>
    <t>Outcomes: 65,000 diarrhoea-associated hospitalisations between 2007 and 2009, resulting in a reduction of $278 million in treatment costs (savings do not account for cost of vaccine).
A Japanese study found similar reductions in hospitalisations.</t>
  </si>
  <si>
    <t>Flu vaccine</t>
  </si>
  <si>
    <t>Healthcare savings, improved health outcomes</t>
  </si>
  <si>
    <t xml:space="preserve">€ EUR 2000 </t>
  </si>
  <si>
    <t>Elderly population (65+ years)</t>
  </si>
  <si>
    <t>Rotavirus vaccine reduces diarrhoea-associated hospitalisations and results in a reduction in treatment costs. Net savings cannot be quantified as the analysis does not include vaccine costs.</t>
  </si>
  <si>
    <t>LARC = long-acting reversible contraception
Averted outcomes = healthcare costs saved due to unplanned pregnancies avoided (in terms of terminations, antenatal and maternity care).</t>
  </si>
  <si>
    <t>PHE meta-analysis</t>
  </si>
  <si>
    <t>Possibly cost-saving</t>
  </si>
  <si>
    <t>Summary of evidence</t>
  </si>
  <si>
    <t>Published report</t>
  </si>
  <si>
    <t>Published academic journal</t>
  </si>
  <si>
    <t>£ GBP 2007</t>
  </si>
  <si>
    <t>$ CAN 2013</t>
  </si>
  <si>
    <t>CVDPMI -  Comprehensive Vascular Disease Prevention and Management Initiative.
Costs ($250 / patient) only included for year 1 and for 10 year analysis, benefits assumed to continue.
Health outcomes based on number of CV events avoided (for 1 year analysis) and life expectancy (for 10 year analysis).</t>
  </si>
  <si>
    <t>Costs taken from DH Impact Assessment.
15 year average costs are £351m (PCT average £2.31m). Approximately 119,000 QALY gains per year (PCT average 783), through 1,800 strokes prevented, 1500 heart attacks prevented, 9,700 cases of diabetes prevented, 19,000 cases of diabetes /and 24,000 cases of chronic kidney disease (CKD) detected early.
Costs savings that arise over the long-term (from prevented strokes, diabetes, CKD, heart attack) are not included in cost per QALY figure.
Over time, costs level off while savings increase. It is estimated that around 70% of costs are recouped  by year 15 (based on PCT level analysis). 15 year average savings are £1.2m (of which £0.8 million due to prevented diabetes, £0.2m due to averted CKD, £0.1m averted strokes).</t>
  </si>
  <si>
    <t>Simulation model generates populations of individuals aged 40–75 eligible for health checks in those countries (e.g. individuals without a previous diagnosis of diabetes, heart attack, stroke, or serious chronic kidney disease). No direct validations have yet been performed.
Other scenarios:
(1)  Health checks from aged 50, not 40
(2) Health checks for people with BMI greater than 30kg/m2
(3) Top quartile of risk, based on non-invasive risk test (based on age / gender / BMI / family history)
(4) Median quartile of risk,  based on non-invasive risk test (based on age / gender / BMI / family history)
(5) HbA1c test
(6) Health check without lifestyle advice / smoking cessation.</t>
  </si>
  <si>
    <t>Primary modelling based on published Impact Assessment</t>
  </si>
  <si>
    <t>Impact Assessment</t>
  </si>
  <si>
    <t>Simulation, based on population aged 40–75.</t>
  </si>
  <si>
    <t>Effectiveness: 1 stroke will be prevented for every 25 patients treated with anticoagulation.
Costs: Cost per intervention, when prescribing anticoagulation, is £648 per patient p.a. in year 1, increasing to £1,000 by year 5. Cost of the anticoagulation per person p.a. ranges from £283 to £800. 
Net savings: net savings to the system of c£1,453 per person p.a. by year 5. These can be broken down into c£1,815 p.a. per person savings to the social care system and a cost to the NHS of £362 per person p.a. This cost would contribute towards improved care and quality, and patient safety.</t>
  </si>
  <si>
    <t>c. £1,453 per person per annum by year 5.</t>
  </si>
  <si>
    <t>c. £14 per person per annum .</t>
  </si>
  <si>
    <t>For a 20% improvement in management of hypertension, to 140/90 mmHg target, system net savings would be estimated to be c£14 p.a. per controlled patient over a 5 year horizon. Of these, c£5.75 would accrue to the NHS and c£7.91 would accrue to local authorities.</t>
  </si>
  <si>
    <t xml:space="preserve">Costs: c£28 per new controlled person in year 1 (average cost of one 10 minute and three 5 minute consultations with a pharmacist at £64 hourly unit) based on the assumption that achieving a blood pressure treatment to target for one patient will require four consultations with a practice-based pharmacist. 
Effectiveness: Pharmacist-led interventions have been shown to reduce systolic blood pressure by an estimated 7.6 mmHg. In the Dudley pilot, 90% of GP practices achieved optimal treatment targets of 140/90mmHg for their hypertensive population (the standard is 50%, and inter-practice variation 6-99%). </t>
  </si>
  <si>
    <t>1,187 patients included in population cohort</t>
  </si>
  <si>
    <t>Screening for type 2 diabetes mellitus (T2DM) and pre-diabetes</t>
  </si>
  <si>
    <t>$32,476-$32,900</t>
  </si>
  <si>
    <t>£ GBP 2009/10</t>
  </si>
  <si>
    <t>The intervention was not cost-effective although the ratio improved over time: the ICER over 10 years was £82 250, falling to £37 500 over 30 years. The ICER fell below £30 000 only when the intervention cost was below £631 per patient: the study estimated the cost at £981.</t>
  </si>
  <si>
    <t>A risk score may have additional effects not captured within the modelling – the calculation of the score may draw attention to high-risk factors for developing diabetes in the future (rather than just providing a normal/abnormal blood test result). This might prompt individuals to make
lifestyle changes to reduce their risk.</t>
  </si>
  <si>
    <t>Intervention - RCG test</t>
  </si>
  <si>
    <t>Atrial fibrillation (AF) related stroke</t>
  </si>
  <si>
    <t>Pharmacist-led interventions to reduce systolic blood pressure</t>
  </si>
  <si>
    <t>Sexual health advice, promotion and prevention activities</t>
  </si>
  <si>
    <t>Decision analytical model comparing patients receiving standard treatment with or without AST consult.</t>
  </si>
  <si>
    <t>Analysis of costs before, during and after 7 year program.</t>
  </si>
  <si>
    <t>At the time of implementation, there were 28,700 patient admission per year.</t>
  </si>
  <si>
    <t xml:space="preserve">Antimicrobial stewardship (AMS) </t>
  </si>
  <si>
    <t>Antimicrobial stewardship (AMS)</t>
  </si>
  <si>
    <t>Intervention - standard treatment (no AST).</t>
  </si>
  <si>
    <t>Intervention - AMS without pharmacy students.</t>
  </si>
  <si>
    <t>The rate of patient discharge to
skilled nursing facilities was significantly higher during the intervention period (June 10-May 12)
versus the baseline period (June 09-May 10). 
The mean ± S.D. antimicrobial costs per patient day were $75.37 ± $11.85 in the baseline period and $64.13 ± $13.78 (15% reduction) in the intervention period.</t>
  </si>
  <si>
    <t>$261,630 over 2 years.</t>
  </si>
  <si>
    <t>Discharge disposition data (n=311, baseline period; n=767 intervention period)</t>
  </si>
  <si>
    <t>2 years</t>
  </si>
  <si>
    <t>Healthcare savings, productivity</t>
  </si>
  <si>
    <t>Benefits measured as reductions in healthcare costs  and worklessness costs from  liver disease via hepatitis B virus. Cost-effectiveness calculations excluded QALYs.
For perinatal infection prevention:
Costs: $12.6m 
Benefits: $44.8m (worklessness) and $9.3m (healthcare savings)
Net benefit: $12.6m</t>
  </si>
  <si>
    <t>Routine vaccination of infants in successive birth cohorts to prevent HBV transmission is cost-effective over a wide range of assumptions. While economically less attractive than infant vaccination, adolescent vaccination could serve to protect those children who were not vaccinated as infants.
Estimated in the USA that this would cost US$ 164 per life-year saved for perinatal immunisation (societal perspective). $1,522 for infant vaccination, and $3,730 for adolescent vaccination.</t>
  </si>
  <si>
    <t>C12</t>
  </si>
  <si>
    <t>Hepatitis B vaccination</t>
  </si>
  <si>
    <t>Under current policy, 3,500 contacts annually screened. The optimal policy described results in 2,240 less TST tests with only 0.6 extra cases of active TB cases, with a reduction of $60,000 in annual healthcare costs.</t>
  </si>
  <si>
    <t>Markov simulation model (n=3,500)</t>
  </si>
  <si>
    <t xml:space="preserve">Discount rate only applies to  expected number of TB cases. </t>
  </si>
  <si>
    <t>Intervention  - see assumptions</t>
  </si>
  <si>
    <t xml:space="preserve">Baseline: In line with NICE guidance. Recommends that local tuberculosis services should screen specific subgroups of new entrants for latent infection, including children aged less than 16 years from countries with a tuberculosis incidence or more than 40 per 100 000 per year, and 16–35-year-olds from either sub-Saharan countries or from those with a disease incidence of more than 500 per 100 000 per year. Individuals older than 35 years are not screened because the risks of chemoprophylaxis outweigh the potential benefits.
National policy thus far would fail to detect 71% of individuals with latent infection. </t>
  </si>
  <si>
    <t>Decision analysis model based on test results in three UK centres (n=2,211)</t>
  </si>
  <si>
    <t>Prevention and reduced transmission of disease</t>
  </si>
  <si>
    <t>Urinary tract infections (UTIs)</t>
  </si>
  <si>
    <t>The introduction of silver‐coated urinary catheters was associated with a significant decline in nosocomial UTI and cost savings over the range of cost estimates. The use of the coated catheter appears to be justified, even when subjected to conservative estimates of cost effectiveness.
The cost‐savings ranged from $13,469 to $535,452 in 2001 and from $5,811 to $484,070 in 2002, based on the cost estimate range in the literature ($700 to $5,682 per episode of a nosocomial UTI).</t>
  </si>
  <si>
    <t>QALY benefits for service users, NHS savings</t>
  </si>
  <si>
    <t>Date</t>
  </si>
  <si>
    <t>Version</t>
  </si>
  <si>
    <t>v13</t>
  </si>
  <si>
    <t>added changes log</t>
  </si>
  <si>
    <t>Theme</t>
  </si>
  <si>
    <t>added notes column all sheets</t>
  </si>
  <si>
    <t>moved all to data sheet</t>
  </si>
  <si>
    <t>Actions needed</t>
  </si>
  <si>
    <t>removed duplicate data H26</t>
  </si>
  <si>
    <t>added Glossary and FAQ sheet</t>
  </si>
  <si>
    <t>v14</t>
  </si>
  <si>
    <t>harmonised some terms - cost-effectiveness, cost-saving</t>
  </si>
  <si>
    <t>moved all data from notes column to further information column and removed notes column</t>
  </si>
  <si>
    <t>started to create an output form - draft 0</t>
  </si>
  <si>
    <t>Author</t>
  </si>
  <si>
    <t>Rory</t>
  </si>
  <si>
    <t>For output</t>
  </si>
  <si>
    <t>No</t>
  </si>
  <si>
    <t>added empty title sheet</t>
  </si>
  <si>
    <t>summary and notes tabs downgraded</t>
  </si>
  <si>
    <t>added empty how to use sheet</t>
  </si>
  <si>
    <t>added action list for Sam+</t>
  </si>
  <si>
    <t>rory</t>
  </si>
  <si>
    <t>added protection to data sheet (no password)</t>
  </si>
  <si>
    <t>Max len</t>
  </si>
  <si>
    <t>created worst case (max len) intervention</t>
  </si>
  <si>
    <t>v15</t>
  </si>
  <si>
    <t>added draft "how to use"</t>
  </si>
  <si>
    <t>imported printer VBA module</t>
  </si>
  <si>
    <t>draft output template using worst case text lengths</t>
  </si>
  <si>
    <t>v16</t>
  </si>
  <si>
    <t>consolidated VB</t>
  </si>
  <si>
    <t>first draft print output</t>
  </si>
  <si>
    <t>updated How to use sheet</t>
  </si>
  <si>
    <t>len</t>
  </si>
  <si>
    <t>v17</t>
  </si>
  <si>
    <t>most text into textboxes</t>
  </si>
  <si>
    <t>PHE colour palette</t>
  </si>
  <si>
    <t>Primary</t>
  </si>
  <si>
    <t>Secondary</t>
  </si>
  <si>
    <t>Productivity gains are the impact of an intervention on production in the economy.</t>
  </si>
  <si>
    <t>1)</t>
  </si>
  <si>
    <t>2)</t>
  </si>
  <si>
    <t>4)</t>
  </si>
  <si>
    <t>5)</t>
  </si>
  <si>
    <t>6)</t>
  </si>
  <si>
    <t>7)</t>
  </si>
  <si>
    <t>8)</t>
  </si>
  <si>
    <t>9)</t>
  </si>
  <si>
    <t>10)</t>
  </si>
  <si>
    <t>11)</t>
  </si>
  <si>
    <t>v17 ST</t>
  </si>
  <si>
    <t>Sam</t>
  </si>
  <si>
    <t>Added 'front end' format and content (purple tabs)</t>
  </si>
  <si>
    <t>v18</t>
  </si>
  <si>
    <t>debugged code</t>
  </si>
  <si>
    <t>Cost effective</t>
  </si>
  <si>
    <t>LARC = long-acting reversible contraception.
LARCs are non-user dependent and 99.9% effective in preventing unwanted pregnancy compared to 92% for the contraceptive pill (typical use) or 82% for the male condom (typical use).
Cost around c£12 p.a. per woman moving to LARC over 5 years (£514 LARC, £211 in year 1, £74 each year thereafter; £456 oral contraceptive pill)
Does not include impact of backfilling healthcare professionals on training (£8 per annum per woman, of which £4 NHS costs).</t>
  </si>
  <si>
    <t>Accelerated partner therapy</t>
  </si>
  <si>
    <t>Accelerated partner therapy - doxycycline
Benefits measured in prevention of sexually transmitted infections and under 18 conceptions.
Cost / QALY is median estimate based on 2 estimates ranging from, £9,350-£18,700.</t>
  </si>
  <si>
    <t>Accelerated partner therapy - azithromycin.
Benefits measured in prevention of sexually transmitted infections and under 18 conceptions.
Cost / QALY is median estimate based on 2 estimates ranging from, £12,950–£25,900.</t>
  </si>
  <si>
    <t>Counselling</t>
  </si>
  <si>
    <t>Tailored skill session.
Benefits measured in prevention of sexually transmitted infections and under 18 conceptions.</t>
  </si>
  <si>
    <t>Information and behaviour skills.
Benefits measured in prevention of sexually transmitted infections and under 18 conceptions.</t>
  </si>
  <si>
    <t>Information, motivation and behaviour skills counselling.
Benefits measured in prevention of sexually transmitted infections and under 18 conceptions.
Cost / QALY is median estimate based on 2 estimates ranging from, £10,286-£18,000.</t>
  </si>
  <si>
    <t>Intensive counselling.
Benefits measured in prevention of sexually transmitted infections and under 18 conceptions.</t>
  </si>
  <si>
    <t>Enhanced counselling.
Benefits measured in prevention of sexually transmitted infections and under 18 conceptions.
Cost / QALY is median estimate based on 2 estimates ranging from, £39,600–£51,613.</t>
  </si>
  <si>
    <t>Behavioural skills counselling.
Benefits measured in prevention of sexually transmitted infections and under 18 conceptions.</t>
  </si>
  <si>
    <t>NHS health check</t>
  </si>
  <si>
    <t>It is estimated £1.35 would be returned for every £1 spent on opportunistic flu vaccination (given to a patient already consulting a GP with requiring an additional consultation) for high risk individuals.
During a major influenza epidemic season, the strategy has a BCR of 4.29 (costs remain constant, but medical costs averted increase).</t>
  </si>
  <si>
    <t>C13</t>
  </si>
  <si>
    <t>C14</t>
  </si>
  <si>
    <t>No intervention (CBR); intervention - social therapy (ICER)</t>
  </si>
  <si>
    <t>Outcomes (%  before treatment; % after treatment): 
Used health care (97%; 85%) 
Contacted alcohol treatment services (94%; 27%) , used social services (47%; 28%), contact with criminal justice  (21%; 10%).
Cost: £129 pp., Benefits: £722 pp. Savings in health care (30%), criminal justice (23%), social care (2%)and other alcohol treatment (43%). Does not sum to 100% due to rounding.</t>
  </si>
  <si>
    <t>£ GBP 2000/01</t>
  </si>
  <si>
    <t>Outcomes (%  before treatment; % after treatment): 
Used health care (97%; 85%) 
Contacted alcohol treatment services (94%; 27%) , used social services (47%; 28%), contact with criminal justice  (21%; 10%).
Cost: £221 pp., Benefits: £1,020 pp. Savings in health care (27%), criminal justice (38%), social care (2%)and other alcohol treatment (32%). Does not sum to 100% due to rounding.</t>
  </si>
  <si>
    <t>Based on evidence from evaluations conducted by NICE (PH4), now NG64.</t>
  </si>
  <si>
    <t xml:space="preserve">Full water fluoridation to New York City:
Cost = $1,221,375
Net savings over 10 years = $10,979,753
ROI = 9.99:1
Fluoride varnish to pre-schoolers receiving Medicaid (to all aged 2 years to 6 years)
Cost = $170,385,376 
Net savings over 10 years (based on 40% reduction) = $48,601,440 
Tooth brushing (if a 50% increase in all Medicaid pre-schoolers aged 2-3
years) :
Cost =$15,071,346 
Net savings over 10 years  = $22,330,792 </t>
  </si>
  <si>
    <t>v19</t>
  </si>
  <si>
    <t>import latest data</t>
  </si>
  <si>
    <t>Further information2</t>
  </si>
  <si>
    <t>Further information3</t>
  </si>
  <si>
    <t>v20</t>
  </si>
  <si>
    <t>transfer data to main data table</t>
  </si>
  <si>
    <t>Status</t>
  </si>
  <si>
    <t>added admin sheets control</t>
  </si>
  <si>
    <t>Hyperlink address</t>
  </si>
  <si>
    <t>https://www.google.co.uk/url?sa=t&amp;rct=j&amp;q=&amp;esrc=s&amp;source=web&amp;cd=1&amp;cad=rja&amp;uact=8&amp;ved=0ahUKEwijsoe018bSAhUnDcAKHc1aDRoQFggkMAA&amp;url=http%3A%2F%2Fhelp.matrixknowledge.com%2Ffile.axd%3Ffile%3DHE_final_report.pdf&amp;usg=AFQjCNEhdugeQz9ULFmKI6ST2BQaCnOlaQ</t>
  </si>
  <si>
    <t>v21</t>
  </si>
  <si>
    <t>added column with hyperlink addresses</t>
  </si>
  <si>
    <t>v22</t>
  </si>
  <si>
    <t>added hyperlinks to output pdf</t>
  </si>
  <si>
    <t xml:space="preserve"> Comparator</t>
  </si>
  <si>
    <t xml:space="preserve"> Cost-benefit analysis (CBA)</t>
  </si>
  <si>
    <t xml:space="preserve"> Cost-effectiveness analysis (CEA)</t>
  </si>
  <si>
    <t xml:space="preserve"> Cost saving</t>
  </si>
  <si>
    <t xml:space="preserve"> Discount rate</t>
  </si>
  <si>
    <t xml:space="preserve"> Dominance</t>
  </si>
  <si>
    <t xml:space="preserve"> Incremental analysis</t>
  </si>
  <si>
    <t xml:space="preserve"> Net present value (NPV)</t>
  </si>
  <si>
    <t xml:space="preserve"> Productivity gains</t>
  </si>
  <si>
    <t xml:space="preserve"> Randomised controlled trial (RCT)</t>
  </si>
  <si>
    <t xml:space="preserve"> Sensitivity analysis</t>
  </si>
  <si>
    <r>
      <rPr>
        <b/>
        <sz val="9"/>
        <color theme="1"/>
        <rFont val="Arial"/>
        <family val="2"/>
      </rPr>
      <t xml:space="preserve"> </t>
    </r>
    <r>
      <rPr>
        <b/>
        <u/>
        <sz val="9"/>
        <color theme="1"/>
        <rFont val="Arial"/>
        <family val="2"/>
      </rPr>
      <t>Glossary of terms</t>
    </r>
  </si>
  <si>
    <t>https://oup.silverchair-cdn.com/oup/backfile/Content_public/Journal/jpubhealth/18/2/10.1093/oxfordjournals.pubmed.a024479/2/18-2-189.pdf?Expires=1493393740&amp;Signature=fXT6Q0Ih3AChE1hgkaGAcs0M2C1Cclu9afCqlz3U1~HjswTbhpuPswePr3u~p2aLyVsKTQqUbQaOyTYYKirJLE1ki9tZ3VD0pRPXm7wRmcnHY9dhtqcffZfo-ai1FU9D8Q4vuh-dN5K0f8DAMXxRbtuv67YuaBuBvXPsAs4ngPXvDXt1NHgCijjEIwCTGY36W-yT~r2Y~bcHj5-WqouqGSPAOr1My2zrlvE4IzCOKyJQDpn3yLQz8gW9kqdRqzwc5IstfvEURUxhfB3ckw-Ta4l0BeEyc2V-bSblclWyo3VN-Anhm0gQSXqFNsp2t-Cee6GYX64faD6ZWdxj4009Jw__&amp;Key-Pair-Id=APKAIUCZBIA4LVPAVW3Q</t>
  </si>
  <si>
    <t>Conduct disorders</t>
  </si>
  <si>
    <t>Child mental health</t>
  </si>
  <si>
    <t>£ GBP 2007/08</t>
  </si>
  <si>
    <t>2,344 children receiving individual and group counselling from The Place2Be in one year.</t>
  </si>
  <si>
    <t>Problem-solving therapy for people who deliberately self-harm.</t>
  </si>
  <si>
    <t xml:space="preserve">260 DALYs averted at a cost of $4 million  and healthcare cost savings of $16 million.
Author notes that study is well evaluated and, importantly, has evidence of both efficacy and effectiveness—that is, evidence that they work under routine health-service conditions as well as in controlled experimental conditions. 
Workforce availability to provide intervention  is noted as an issue for implementation. </t>
  </si>
  <si>
    <t>$1.38-2.79:$1</t>
  </si>
  <si>
    <t>Higher test scores, with associated increase in adult earnings.</t>
  </si>
  <si>
    <t>ICER</t>
  </si>
  <si>
    <t>Quitting smoking in pregnancy</t>
  </si>
  <si>
    <t>Child oral health</t>
  </si>
  <si>
    <t>Targeted provision of toothbrushes and paste by post gives a return of £1.03 after 5 years, £1.54 after 10 years.</t>
  </si>
  <si>
    <t>Water fluoridation gives a return of £12.71 after 5 years, £21.98 after 10 years.</t>
  </si>
  <si>
    <t>Targeted supervised tooth brushing programme gives a return of £3.06 after 5 years, £3.66 after 10 years.</t>
  </si>
  <si>
    <t>Targeted provision of toothbrushes and paste by post and by health visitors gives a return of £4.89 after 5 years, £7.34 after 10 years.</t>
  </si>
  <si>
    <t>c. 36 years</t>
  </si>
  <si>
    <t>RoI on well-designed early years’ interventions significantly exceed their costs. Nine UK studies showed a similar pattern of results. Social Return on Investment studies showed returns of between £1.37 and £9.20 for every £1 invested (with an average of £3.65).</t>
  </si>
  <si>
    <t>Home visits</t>
  </si>
  <si>
    <t>Reducing conduct problems through school-based social and emotional learning.</t>
  </si>
  <si>
    <t>£ GBP 2009</t>
  </si>
  <si>
    <t>NHS savings, reduce crime costs</t>
  </si>
  <si>
    <t>Home visits and telephone contacts in preventing early childhood caries. For every group of 100 children, the model predicted that having the home-visit intervention would save $167 032 and telephone contacts $144 709 over 5½ years relative to no intervention (usual care). Both interventions were ‘dominant,’ as they saved costs and produced health benefits over usual care.</t>
  </si>
  <si>
    <t>Additional information included from oral health literature review.</t>
  </si>
  <si>
    <t>Costs: £132 per pupil per year Savings of £39 to health sector in first year, rising to £751 by fifth year.
Net societal savings of £6,369 for whole of society by fifth year (mostly through reduced crime). Savings to the NHS of £1,148 by year 10</t>
  </si>
  <si>
    <t>Hypothetical cohort of 1,000 pregnant smokers</t>
  </si>
  <si>
    <t>Cost: £155.68 (8 sessions at £19.46)
Effectiveness (relative risk vs. control group): 95% 
Quit rate of control group = 9.7% (based on Cochrane review).
Incremental cost = £126.32, incremental QALYs = 0.0315</t>
  </si>
  <si>
    <t>Cost: £26 (3 nurse calls, 15 mins each at cost of nurse at £29.96 per hour, plus cost of self help material, £3.53).
Effectiveness (relative risk vs. control group): 99% 
Quit rate of control group = 9.7% (based on Cochrane review).
Incremental cost = £19.88, incremental QALYs = 0.0066</t>
  </si>
  <si>
    <t>Cost: £142.31 (7 calls in month 1, monthly calls thereafter). Lasting 15 mins each, at cost of nurse at £29.95 per hour).
Effectiveness (relative risk vs. control group): 92%
Incremental cost = £96.90, incremental QALYs = 0.0486</t>
  </si>
  <si>
    <t>Cost: £52.83 (based on 'Quit to Win' campaign, costed at $78.57).
Effectiveness (relative risk vs. control group): 76%
Incremental cost = -£52.07, incremental QALYs = 0.1105</t>
  </si>
  <si>
    <t>Cost: £100.43 (based on cost of nicotine replacement therapy)
Effectiveness (relative risk vs. control group): 95%
Incremental cost = £71.07, incremental QALYs = 0.0315</t>
  </si>
  <si>
    <t>Cost: TBC
Effectiveness (relative risk vs. control group): 96%
Incremental cost = £23.74, incremental QALYs = 0.0254</t>
  </si>
  <si>
    <t>CBR are based on a typical oral health profile and indicative costs. Benefits include NHS savings, gained days at school due to avoided dental disease, gained days at school (no financial value assigned) and gain days at work for carer (due to improved school attendance).</t>
  </si>
  <si>
    <t>v26</t>
  </si>
  <si>
    <t>QA 0-5 and 5-19 child programme interventions</t>
  </si>
  <si>
    <t>v25</t>
  </si>
  <si>
    <t>v23 / 24</t>
  </si>
  <si>
    <t>sam</t>
  </si>
  <si>
    <t>minor content / presentational amendments</t>
  </si>
  <si>
    <t>v27</t>
  </si>
  <si>
    <t>Added obesity and PA evidence</t>
  </si>
  <si>
    <t>Added formatting to data sheet</t>
  </si>
  <si>
    <t>£2,900-£9,400</t>
  </si>
  <si>
    <t>Age 16+ as represented by 2008 HSE</t>
  </si>
  <si>
    <t>LA</t>
  </si>
  <si>
    <t>NHS and PSS</t>
  </si>
  <si>
    <t>£750-£7,800</t>
  </si>
  <si>
    <t>F3</t>
  </si>
  <si>
    <t>F4</t>
  </si>
  <si>
    <t>Age 18-70</t>
  </si>
  <si>
    <t>F5</t>
  </si>
  <si>
    <t>£300-£2,500</t>
  </si>
  <si>
    <t>F6</t>
  </si>
  <si>
    <t>The 'Get Walking Keep Walking’ intervention was modelled  using evidence from an evaluation of a large UK study. The modelling undertaken suggests that the intervention appears cost-effective. The cost per QALY is estimated to be of the order of £2,700.</t>
  </si>
  <si>
    <t>F7</t>
  </si>
  <si>
    <t>£1,900-£29,436</t>
  </si>
  <si>
    <t>Age 40-70 with low levels of physical activity</t>
  </si>
  <si>
    <t>F8</t>
  </si>
  <si>
    <t>Gastric Bypass</t>
  </si>
  <si>
    <t>Surgery</t>
  </si>
  <si>
    <t>Average age 40, 90% female.  Average body weight 135 kg, average BMI 45</t>
  </si>
  <si>
    <t>Study was based on a hypothetical cohort made up of 90% women plus a review of 4 papers all taken from outside the UK. However sensitivity analysis suggests that varying parameters around effectiveness was still likely to produce a QALY below the commonly accepted UK threshold.</t>
  </si>
  <si>
    <t>NHS &amp; PSS</t>
  </si>
  <si>
    <t>6%;
1.5%</t>
  </si>
  <si>
    <t>F9</t>
  </si>
  <si>
    <t>Adjustable silicone gastric band</t>
  </si>
  <si>
    <t>F10</t>
  </si>
  <si>
    <t>Brief advice on physical activity</t>
  </si>
  <si>
    <t>NHS</t>
  </si>
  <si>
    <t>£ GBP 2010/11</t>
  </si>
  <si>
    <t>F11</t>
  </si>
  <si>
    <t>Exercise Referral Schemes</t>
  </si>
  <si>
    <t>Aged 50, presenting in a physically inactive state</t>
  </si>
  <si>
    <t>£ GBP 2013</t>
  </si>
  <si>
    <t>F12</t>
  </si>
  <si>
    <t>F13</t>
  </si>
  <si>
    <t>Weight management interventions after pregnancy</t>
  </si>
  <si>
    <t>Women who have given birth, start age of 25 in model.</t>
  </si>
  <si>
    <t>F15</t>
  </si>
  <si>
    <t>Cycling Infrastructure</t>
  </si>
  <si>
    <t>Green Space</t>
  </si>
  <si>
    <t>This modelling approach uses information within the reviewed literature to estimate an average value of the benefit and cost component per kilometre cycled. 
All the reviewed cost-benefit analyses showed that interventions which changed the environment and resulted in increased cycle and walking usage suggests that these are profitable to society.</t>
  </si>
  <si>
    <t>F16</t>
  </si>
  <si>
    <t>Urban Trails</t>
  </si>
  <si>
    <t>Modelling</t>
  </si>
  <si>
    <t>Aged 40-60</t>
  </si>
  <si>
    <t>F17</t>
  </si>
  <si>
    <t>School-age children</t>
  </si>
  <si>
    <t>This estimate was  particularly variable, depending upon the assumptions made about the number of children in attendance, the cost of the project and associated increases in physical activity and QALYs gained.</t>
  </si>
  <si>
    <t>F18</t>
  </si>
  <si>
    <t>F19</t>
  </si>
  <si>
    <t>Children</t>
  </si>
  <si>
    <t>F20</t>
  </si>
  <si>
    <t>Orlistat</t>
  </si>
  <si>
    <t>Diet and exercise advice</t>
  </si>
  <si>
    <t>F21</t>
  </si>
  <si>
    <t>Multicomponent small scale intervention</t>
  </si>
  <si>
    <t>Systematic Review</t>
  </si>
  <si>
    <t>Low socio-economic status (110 patients)</t>
  </si>
  <si>
    <t>F22</t>
  </si>
  <si>
    <t>Multicomponent large scale region wide intervention</t>
  </si>
  <si>
    <t>Low socioeconomic status</t>
  </si>
  <si>
    <t>F23</t>
  </si>
  <si>
    <t>Broad dietary education/cooking skills</t>
  </si>
  <si>
    <t>F24</t>
  </si>
  <si>
    <t>Education to promote increased fruit and vegetable intake</t>
  </si>
  <si>
    <t>F25</t>
  </si>
  <si>
    <t>Opening of a new food retail outlet</t>
  </si>
  <si>
    <t>F26</t>
  </si>
  <si>
    <t>E-learning devices as a method of promoting weight loss in obese people</t>
  </si>
  <si>
    <t>Weight Management</t>
  </si>
  <si>
    <t>Published evidence and modelling</t>
  </si>
  <si>
    <t>F27</t>
  </si>
  <si>
    <t>Children, young people and families</t>
  </si>
  <si>
    <t xml:space="preserve">The cost effectiveness of interventions for children and young people who are morbidly obese, as defined by the model, was unclear. The PDG concluded that interventions for children who are morbidly obese would need to lower their BMI z score considerably to be worth doing.
There was little evidence on whether children and young people can maintain for life the lower weight trajectory they may achieve during a lifestyle weight management programme. If they do, the economic model concludes that interventions that cause very small average decreases in weight trajectory will be worth undertaking. However, if the weight is regained quickly and they revert to their previous weight trajectory, then the intervention is estimated not to be cost effective. </t>
  </si>
  <si>
    <t xml:space="preserve">NHS </t>
  </si>
  <si>
    <t>F28</t>
  </si>
  <si>
    <t>£200-£15,800</t>
  </si>
  <si>
    <t>F29</t>
  </si>
  <si>
    <t>F30</t>
  </si>
  <si>
    <t>£300-£17,400</t>
  </si>
  <si>
    <t>F31</t>
  </si>
  <si>
    <t>Low cost family intervention for weight management of children</t>
  </si>
  <si>
    <t>F32</t>
  </si>
  <si>
    <t>High cost family intervention for weight management of children</t>
  </si>
  <si>
    <t>F33</t>
  </si>
  <si>
    <t>Residential  intervention for weight management of children</t>
  </si>
  <si>
    <t>£4,200-£89,400</t>
  </si>
  <si>
    <t>F34</t>
  </si>
  <si>
    <t>Age 20-69 by males and females and BMI category</t>
  </si>
  <si>
    <t>£ GBP 2011/12</t>
  </si>
  <si>
    <t>F35</t>
  </si>
  <si>
    <t>Dominant -&gt; £25,845</t>
  </si>
  <si>
    <t>F36</t>
  </si>
  <si>
    <t>Dominant -&gt; £5,452</t>
  </si>
  <si>
    <t>F37</t>
  </si>
  <si>
    <t>Dominant -&gt; £2,897</t>
  </si>
  <si>
    <t>F38</t>
  </si>
  <si>
    <t>Dominant -&gt; £832</t>
  </si>
  <si>
    <t>F39</t>
  </si>
  <si>
    <t>Dominant -&gt; £200</t>
  </si>
  <si>
    <t>F40</t>
  </si>
  <si>
    <t>F41</t>
  </si>
  <si>
    <t>Aged 40-61</t>
  </si>
  <si>
    <t>F42</t>
  </si>
  <si>
    <t>Aged 40-62</t>
  </si>
  <si>
    <t>F43</t>
  </si>
  <si>
    <t>Birmingham's be active programme</t>
  </si>
  <si>
    <t>Physical Activity</t>
  </si>
  <si>
    <t>CBA model using primary data</t>
  </si>
  <si>
    <t>140,000 active users</t>
  </si>
  <si>
    <t>F44</t>
  </si>
  <si>
    <t>Pedestrian Crossings</t>
  </si>
  <si>
    <t>F45</t>
  </si>
  <si>
    <t>F46</t>
  </si>
  <si>
    <t>Physical activity for older people</t>
  </si>
  <si>
    <t>£26,200-dominated</t>
  </si>
  <si>
    <t>Primary modelling</t>
  </si>
  <si>
    <t>F47</t>
  </si>
  <si>
    <t>F48</t>
  </si>
  <si>
    <t>£30 p.a per person</t>
  </si>
  <si>
    <t>overweight adults</t>
  </si>
  <si>
    <t>no intervention</t>
  </si>
  <si>
    <t>£ GBP 2010</t>
  </si>
  <si>
    <t>F49</t>
  </si>
  <si>
    <t>Compliance with Government Buying Standards for Food (GBSF)</t>
  </si>
  <si>
    <t>Procurement</t>
  </si>
  <si>
    <t>£60k per annum</t>
  </si>
  <si>
    <t>Evaluation</t>
  </si>
  <si>
    <t>In 2008, meeting catering guidance in a care home setting reduced total fat consumption by 12g, saturated fat by 13g and salt by 0.1g while micronutrients such as
iron, potassium and folate increased by 50% to 75%; all meeting government recommendations.
Buying healthier food following the implementation of GBSF in two canteens in 2013 resulted in an increase in annual sales of 9% and 17% respectively when compared to 2012, in part due to the perception of food being more appetising when made on site.</t>
  </si>
  <si>
    <t>F50</t>
  </si>
  <si>
    <t>Training healthcare professionals to provide brief advice</t>
  </si>
  <si>
    <t>150 qualified healthcare professionals and 200 trainees</t>
  </si>
  <si>
    <t>Obesity and Physical Activity</t>
  </si>
  <si>
    <r>
      <t xml:space="preserve">Ten studies in high income countries have reported on the cost-effectiveness of chlamydia screening  in comparison with an alternative strategy. Details on individual studies can be found in the referenced source pp. 45-50.
Limitation of evidence: 
</t>
    </r>
    <r>
      <rPr>
        <u/>
        <sz val="11"/>
        <rFont val="Arial"/>
        <family val="2"/>
      </rPr>
      <t>Overstated benefits</t>
    </r>
    <r>
      <rPr>
        <sz val="11"/>
        <rFont val="Arial"/>
        <family val="2"/>
      </rPr>
      <t xml:space="preserve">: Conclusions of studies were often based on assumptions about the probability
and valuation of utilities for complications of chlamydia that favour screening.
 - High estimates of the probability of complications result from extrapolation from clinical studies to asymptomatic women in the community
- Applying probabilities of the consequences of pelvic inflammatory disease to all women with chlamydia. 
- High estimates of impact on quality of life result from the application of poorly estimated utilities for a prolonged period of time. </t>
    </r>
  </si>
  <si>
    <r>
      <rPr>
        <u/>
        <sz val="11"/>
        <color rgb="FF0E0E0E"/>
        <rFont val="Arial"/>
        <family val="2"/>
      </rPr>
      <t>£9,257</t>
    </r>
    <r>
      <rPr>
        <sz val="11"/>
        <color rgb="FF0E0E0E"/>
        <rFont val="Arial"/>
        <family val="2"/>
      </rPr>
      <t>: 17.53 QALYs at a total cost of £162,280 (compared to no case finding).
Targeted approaches through CVD risk dominated those targeting through age alone (i.e. offering checks to those over a certain age is not the most cost effective approach).
For optimum strategy, over 90% of health gains were in 35% of population at highest risk.
The paper notes that the most efficient prioritisation makes use of multiple risk factors but the incremental benefits of case finding across the entire population are small in relation to the incremental costs.</t>
    </r>
  </si>
  <si>
    <r>
      <t xml:space="preserve">CT calcium = coronary artery calcification on CT
hsCRP = High sensitivity CRP
</t>
    </r>
    <r>
      <rPr>
        <b/>
        <sz val="11"/>
        <color theme="1"/>
        <rFont val="Arial"/>
        <family val="2"/>
      </rPr>
      <t xml:space="preserve">
Novel Risk Markers:
</t>
    </r>
    <r>
      <rPr>
        <sz val="11"/>
        <color theme="1"/>
        <rFont val="Arial"/>
        <family val="2"/>
      </rPr>
      <t>1)</t>
    </r>
    <r>
      <rPr>
        <b/>
        <sz val="11"/>
        <color theme="1"/>
        <rFont val="Arial"/>
        <family val="2"/>
      </rPr>
      <t xml:space="preserve"> </t>
    </r>
    <r>
      <rPr>
        <sz val="11"/>
        <color theme="1"/>
        <rFont val="Arial"/>
        <family val="2"/>
      </rPr>
      <t xml:space="preserve">High sensitivity CRP (hsCRP), via blood test.
2) Coronary artery calcification on CT (CT calcium)
3) Carotid artery intima media thickness on ultrasound (cIMT) 
4) Ankle-brachial index (ABI) </t>
    </r>
    <r>
      <rPr>
        <b/>
        <sz val="11"/>
        <color theme="1"/>
        <rFont val="Arial"/>
        <family val="2"/>
      </rPr>
      <t xml:space="preserve">
Base Cases</t>
    </r>
    <r>
      <rPr>
        <sz val="11"/>
        <color theme="1"/>
        <rFont val="Arial"/>
        <family val="2"/>
      </rPr>
      <t>:
Intention-to-treat analysis = base case treatment adherence of 70% and a disutility of 6 months for taking daily medication for the remainder of an individual's lifetime.
As-treated analysis = 100% adherence and no disutility.</t>
    </r>
  </si>
  <si>
    <t>€1.35:€1</t>
  </si>
  <si>
    <t>Per 10,000 elderly population:
Cost: €38,984
Outcomes: medical costs averted €52,745
177 flu cases, 15 hospitalisations reduced, 10.4 life years gained.
Vaccination effectiveness parameters used may overstate its true effectiveness in England and Wales (as only serious cases in elderly population are admitted to hospital which the vaccination may be less effective in reducing these type of cases).</t>
  </si>
  <si>
    <t>Treatment for alcohol problems</t>
  </si>
  <si>
    <t>Cost-benefit analysis; cost-utility analysis</t>
  </si>
  <si>
    <t>PHE alcohol evidence review</t>
  </si>
  <si>
    <t>Nalmefene is an opioid antagonist which can be used by adult patients with alcohol dependence who have a high-risk level of alcohol consumption but do not have physical withdrawal symptoms and do not require immediate detoxification. Nalmefene can also be taken ‘as needed’, when a person feels the urge to consume alcohol. 
NICE identified three RCTs including almost 2,000 participants. At six months, nalmefene, coupled with psychosocial management, compared to placebo, plus psychosocial management, reduced the number of heavy drinking days by 3.0 days per month (-4.36, -1.66) and total alcohol consumption reduced by 14.2 g per day (-20.0, -8.5). The quality of this evidence was high.</t>
  </si>
  <si>
    <t>Published NICE guidance</t>
  </si>
  <si>
    <t>Information on evidence from this source</t>
  </si>
  <si>
    <t>$ AUD 1997</t>
  </si>
  <si>
    <t>Criminal justice system, NHS and LA, QALY gains for service user</t>
  </si>
  <si>
    <t>Healthcare savings, productivity gains, property damage, pain and suffering</t>
  </si>
  <si>
    <t>QALY gains for service users, NHS savings</t>
  </si>
  <si>
    <t>added AB comments on ADM (up to h18)</t>
  </si>
  <si>
    <t>Publication Year</t>
  </si>
  <si>
    <t>GP referral weight management services for children</t>
  </si>
  <si>
    <t>Parent only intervention for weight management of children</t>
  </si>
  <si>
    <t>Behavioural weight management schemes</t>
  </si>
  <si>
    <t xml:space="preserve">Assumed zero decay in effect after year 1 because the Baker 2008a study showed a return almost to baseline walking levels at 12 months.
 It should be noted that the CBR shown here is for illustration, using the full cost of each intervention applied to only the specific subset of transport-related outcomes, and they should therefore be interpreted only within this context. They are much lower than values that would be obtained from a more comprehensive cost-benefit analysis. This fuller analysis would include health benefits  and other wider economic and societal benefits and losses. </t>
  </si>
  <si>
    <t xml:space="preserve">For the longer-term support pedometer intervention, evidence suggests that an effect persists to 12 months. In the scenarios modelled, we assume that this level would be maintained in future years provided the support costs (advice and telephone support) were maintained. The results suggest that longer-term support to pedometers appears cost-effective. 
The evidence from Baker 2008b suggests that an effect persists to 12 months. In the scenarios modelled, it is assume that this level would be maintained in future years provided the support costs (advice and telephone support) are maintained.
</t>
  </si>
  <si>
    <t xml:space="preserve">The paper reported an annual 4% increase in the number of cyclists, and an increase in the number of cycle trips of 27% by 2009, compared with the baseline in 2005. The percentage of adults who cycled regularly rose, and those who were classified as inactive fell from 26.2% to 23.6%.
The CBR range reflects the different approaches available for estimating accident and absenteeism benefits. Under all but the most pessimistic of scenarios considered, the benefit-cost ratio remained above one.
</t>
  </si>
  <si>
    <t>Intervention - Low physical activity</t>
  </si>
  <si>
    <t>Intervention - Control group</t>
  </si>
  <si>
    <t>Intervention - Conventional postnatal care</t>
  </si>
  <si>
    <t>Intervention - Previous procurement</t>
  </si>
  <si>
    <t>No intervention - No referral to exercise service</t>
  </si>
  <si>
    <t>Evidence suggests that surgery in general is a cost-effective intervention relative to a limited non-surgical management option in a typical severely obese group.
Gastric Bypass is one of the three major surgical options for weight loss facing healthcare providers.</t>
  </si>
  <si>
    <t>Evidence suggests that surgery in general is a cost-effective intervention relative to a limited non-surgical management option in a typical severely obese group.
Adjustable silicone gastric band  is one of the three major surgical options for weight loss facing healthcare providers.</t>
  </si>
  <si>
    <t>The evidence suggests that these exercise referral schemes have only a marginal added effect relative to other ways of increasing physical activity.
The economic evaluation suggests that this added benefit was not likely to be a cost effective use of resources.</t>
  </si>
  <si>
    <t>Using the base case assumptions, the incremental intervention cost of £217 led to an incremental cost-effectiveness ratio (ICER) between £72,748 and £113,931 per QALY gained. Even in the best case scenario, the estimated incremental cost effectiveness ratio was £31,009 per QALY gained. NICE normally considers that any interventions over a threshold of £20,000–£30,000 per QALY are not cost effective. However, because current evidence to inform the assumptions in the model was insufficient, members did not feel they could recommend disinvestment in such schemes. Further, some schemes may be cost effective, or may only be cost effective for some subgroups. Again, however, there was insufficient evidence to make recommendations on this, hence data collection has been made a condition for any exercise referral scheme that is commissioned.</t>
  </si>
  <si>
    <t xml:space="preserve">For weight management after childbirth, the model used a study in which women's weight was measured at both 6 months and 15 years postpartum. This was compared with their pre- and post-pregnancy weight.
Clear and transparent use of mathematical modelling, however model based on a small observational study from the US and short term outcomes were extrapolated to give longer term effects. The evidence of intervention effectiveness was based on studies conducted outside the UK. For weight management after childbirth, the model used a study in which women's weight was measured at both 6 months and 15 years postpartum. This was compared with their pre- and post-pregnancy weight. </t>
  </si>
  <si>
    <t>A walking bus has been defined as “a group of children who walk to school along a set route, collecting other children along the way at ‘bus stops’, escorted by several adult volunteers, one of whom is at the front (‘the driver’) and another is at the back (‘the conductor’)”.
With regard to the first intervention we estimated that the provision of walking buses would cost £121.71 per child. On average, we estimated that 50% of those who used the walking bus would have previously travelled by car and that for these children it would take an average of 22 minutes to walk to school. Assuming that every additional 30 minutes of physical activity is associated with a QALY gain of 0.00022243 then walking buses are estimated to have a cost per QALY of £4,007.63 per QALY.</t>
  </si>
  <si>
    <t>Comparing Orlistat with placebo, orlistat would be considered cost-effective when using a threshold of £20,000 per QALY and the model is robust to variations in the key parameter values tested with the exception of the baseline BMI value.</t>
  </si>
  <si>
    <t xml:space="preserve">0%; 3.5% </t>
  </si>
  <si>
    <t>3.5%; 1.5%</t>
  </si>
  <si>
    <t>6%; 1.5%</t>
  </si>
  <si>
    <t>None; 5%</t>
  </si>
  <si>
    <t>LA / NHS</t>
  </si>
  <si>
    <t xml:space="preserve">6 months </t>
  </si>
  <si>
    <t>2 years / 20 years</t>
  </si>
  <si>
    <t>7 years</t>
  </si>
  <si>
    <t>1 / 5/ 10 / 30 years</t>
  </si>
  <si>
    <t>1 / 5 / 10 years</t>
  </si>
  <si>
    <t>Cohort study</t>
  </si>
  <si>
    <t>Markov decision model</t>
  </si>
  <si>
    <t>This modelling study’s findings are broadly in line with guidance.
This modelling study incorporated data from two systematic reviews and patient level data from the UK and Japan to reach its predictions.
A range of lipid blood measures showed similar ability to predict risk of cardiovascular events. For all the different lipid tests, “noise” or biological variation and measurement error make up 25% of the variation in measurements on people who are not already taking statins or using lifestyle measures to reduce their lipid levels. This means that many observed changes in repeat rest results are not “true” differences. 
Given the relatively low cost of treating high lipids (typically by using statins) and high cost of CVD to individuals / health services / society,  it was more cost effective to over-treat people than to under-treat them.</t>
  </si>
  <si>
    <t>Patient level data from the UK and Japan</t>
  </si>
  <si>
    <t>£ GBP 2011</t>
  </si>
  <si>
    <t>£ GBP 2006</t>
  </si>
  <si>
    <t>€ EUR</t>
  </si>
  <si>
    <t>$ USD 2012</t>
  </si>
  <si>
    <t>$ USD 2009</t>
  </si>
  <si>
    <t>$ USD</t>
  </si>
  <si>
    <t>$ USD 1993</t>
  </si>
  <si>
    <t>$ USD 2002</t>
  </si>
  <si>
    <t>$ USD 2006</t>
  </si>
  <si>
    <t>$ USD 2003</t>
  </si>
  <si>
    <t>$ USD 2011</t>
  </si>
  <si>
    <t>$ USD 1998</t>
  </si>
  <si>
    <t>£1 spent, £8 saved</t>
  </si>
  <si>
    <t>c£119 per quitter</t>
  </si>
  <si>
    <t>The incremental analysis demonstrated that brief interventions involving information giving or developing motivation and behavioural skills (particularly among women) produce the greatest benefits for the least cost. More intensive behavioural skills counselling and enhanced counselling appear to be least cost effective. These analyses apply to the general population, including vulnerable young women.
In the absence of data, no costs were attributed to 'usual treatment'. As a result, when interventions are compared against usual treatment the cost difference may be overestimated and the incremental cost-effectiveness ratios may be artificially high.
The loss of quality of life (QALYs lost) is particularly important in the analysis. The cost per QALY may be high (if low values are assigned to the change in quality of life) but brief STI counselling falls below a £30,000 per QALY threshold (based on 0.1 of a QALY change).</t>
  </si>
  <si>
    <t>Screening for latent infection can be implemented cost-effectively at a level of incidence that identifies most immigrants with latent tuberculosis, thereby preventing substantial numbers of future cases of active tuberculosis.
The two most cost-effective strategies were to screen individuals from countries with a tuberculosis incidence of more than 250 cases per 100,000 (ICER was £17,956  per prevented case of tuberculosis) and at more than 150 cases per 100,000, which identified 92% of infected immigrants and prevented an additional 29 cases at an ICER of £20,819 per prevented case.</t>
  </si>
  <si>
    <t>Bladder scanners to reduce catheter associated urinary tract infections (UTIs).
Conservatively assuming a cost per case of £1,500 (with estimates up to £20,000), a 75% reduction in GNBSI related to catheter-associated UTI would provide annual savings of almost £19m in England (minus implementation costs). Studies have found quality improvement programmes to be cost-saving: saving approximately £450 per 100 hospitalised patients. Decision models have demonstrated that nitrofurantoin is cost-minimising when resistance rates to trimethoprim are over 17% (which is the case in England).</t>
  </si>
  <si>
    <t>Cohort study - 1,796 sample of adults broadly representative of the population of Tier 3 and Tier 4 treatment-seekers in England</t>
  </si>
  <si>
    <t xml:space="preserve">
The evidence is partially applicable to the UK, with 2 of the studies UK based, and the other international studies concerning interventions that could be of UK relevance.
The estimated net benefits for each led walking scenario are generally lower than for the other interventions examined. If one does not believe that 100% of the before and after effect seen in some of the studies would accrue in practice then the estimated net benefits are lower still (e.g. 50% effect £854m, 10% effect £39m). Again, this does not mean that decision makers should ignore led walking as an option within a mix of interventions but, at least from a health economics interpretation, one would probably not want to see it as the single intervention used by decision makers to achieve cost-effective sustained behaviour change in walking and cycling.
cost effectiveness variation is related to both the level of effectiveness modelled (e.g. 10%-100%) and level of effect decay (0-100%)</t>
  </si>
  <si>
    <t>£1,730-£27,000</t>
  </si>
  <si>
    <t>If each QALY gain is valued at £20,000 then brief advice could generate benefits that in monetary terms is about £93 pounds per person which exceeds the cost of the intervention (£9.50 per person).
If recruitment to brief advice was changed from the opportunistic centres (base case) to disease register, the ICER increased from £1,730 to £12,010. However, when short term mental health gains associated with physical activity were excluded the ICER was £27,000/QALY gained. The probabilistic sensitivity analysis showed that, at a threshold value of £20,000/QALY, there was a 99.9% chance that brief advice would be cost-effective.</t>
  </si>
  <si>
    <t>Most changes in assumptions resulted in the ICER falling at or below £12,000/QALY gained. 
 A Markov decision model with annual cycles was used to compare the lifetime costs and outcomes of a cohort of 100,000 people exposed, at age 33 for one year, to brief advice with an unexposed population.
By the end of the first year the cohort was either ‘active’ or ‘inactive’ (based on national definitions) and they could have one of 3 events (non-fatal CHD, non-fatal stroke, type 2 diabetes), remain event free (i.e. without CHD, stroke, or diabetes) or die either from CVD or non-CVD causes.</t>
  </si>
  <si>
    <t xml:space="preserve">INCLUDES QALY's in the CBR.
For every £1 spent on Be Active the return for the local NHS is £22.8 in terms of health care related benefits (primary and secondary care). The majority of these benefits relate to health-related quality of life gains. A smaller amount relates to health care cost savings (£2.6) – £0.5 are estimated to be cashable as medication cost savings. For every £1 spent on Be Active the return for the Local Authority is £2.3 in terms of improvements in quality of life among its residents.  Both employers and the Treasury benefit from the scheme, without incurring in any cost, through reduced absenteeism resulting in productivity gains and tax payments, </t>
  </si>
  <si>
    <t>The aim of the scheme is to tackle health inequality and associated deprivation levels, by offering access to free physical activity sessions for all 1.1 million citizens of the city. Participants can take part in free swimming, exercise classes or the gym at any Council-run leisure centre during off-peak hours, which vary according to each centre. 
The scheme provides an increased opportunity for shared experience. It was estimated that, through this increase in shared experience highly active users of the scheme experience a 5.9 per cent increase in life satisfaction – a measure of SWB.</t>
  </si>
  <si>
    <t>Internet-based expert system + peer initiative to reduce bullying and victimisation has an ICER of £9,600 per QALY if the intervention is effective in delivering a sustained reduction of victimisation of 15%.
Results must be interpreted with caution. The estimation of the effectiveness of an anti-bullying intervention is based on very limited evidence, and estimates of victimisation prevalence are highly variable.</t>
  </si>
  <si>
    <t>v29</t>
  </si>
  <si>
    <t>v30</t>
  </si>
  <si>
    <t>reset datasheet freeze panes</t>
  </si>
  <si>
    <t>added admin page (Ctrl-q to toggle)</t>
  </si>
  <si>
    <t>amended control button formats</t>
  </si>
  <si>
    <t>revised max lengths</t>
  </si>
  <si>
    <t>amended hyperlink intervention I4</t>
  </si>
  <si>
    <t>amended output form to fit updated fields</t>
  </si>
  <si>
    <t>max reference size down to 255</t>
  </si>
  <si>
    <t>max character breaks: 255, 510, 765, 1020, 1275</t>
  </si>
  <si>
    <t>amended output form to single page A4</t>
  </si>
  <si>
    <t>Cohort study can be divided into three broad groups; no conduct problems at age 7-9 (50%); some conduct problems (45%) and  conduct disorder (5%). Analysis assumes MH interventions can enable 5% to achieve 45% adult outcomes (£150k savings per case, of which 71% savings in crime-related costs, 13% healthcare savings, 7% increase to lifetime earning), 45% to achieve 50% outcomes (£75k savings per case, of which 61% savings in crime-related costs, 19% healthcare savings, 9% increase to lifetime earnings).
Based on cohort study in New Zealand (similar patterns observed to UK data) on prevalence of child conduct problems aged 7-9 and applied to a one-year cohort of births in Wales.
In comparison, the costs of intervention are
very low, ranging from £1,350 to £6,000 per
child for pre-school parenting programmes (£6,000 assumed as unit cost for 5% group, £1,350 for 45% group. Total costs = £29.9m.</t>
  </si>
  <si>
    <t>PHE estimates that one champion could train 350 healthcare professionals (150 qualified healthcare professionals; 200 healthcare professionals) to provide brief advice, which could move over 168,000 adults out of inactivity and support 25,226 to achieve the CMOs’ guidelines. PHE estimates that this could prevent 69 cases of type 2 diabetes, 38 cases of CVD, 58 cases of IHD, 6 cases of depression (and result in 1 additional serious road traffic incidence from active travel) over 5 years; additional benefits could be accrued for a further 20 or more conditions.</t>
  </si>
  <si>
    <t>Healthcare professionals are expected to have c10,000 patient contacts, and trainees are expected to have c5,000 patient contacts per year. PHE estimates that 40% of those trained will retain the information and act on it and that in 64% of consultations the patient is eligible for the intervention and will receive advice. Finally PHE expects that 30% of targeted patients will respond to a very brief intervention and 15% of those patients taking action will achieve 150 minutes per week of physical activity.
Seek to achieve this by training healthcare professionals, via clinical champions, to provide physical activity brief advice. Clinical champions provide peer-to-peer teaching to primary, secondary and community care professionals to integrate brief advice into routine care to make every contact count. GP clinical champions cover the whole of England and will be joined by a cadre of nurse and allied health professional champions towards the end of 2016.</t>
  </si>
  <si>
    <t xml:space="preserve">Systematic versus opportunistic risk assessment for the primary prevention of cardiovascular disease.
Limited data suggest that screening has no effect on deaths (from any cause) or the number of people having a stroke or developing coronary heart disease. </t>
  </si>
  <si>
    <t>CVD</t>
  </si>
  <si>
    <t>Weight management interventions for children</t>
  </si>
  <si>
    <t>Weight management interventions for adults</t>
  </si>
  <si>
    <t>The model considered cohorts of (virtual) adults of different ages and with a body mass index (BMI) of 25, 30, 35 and 40 kg/m2 . The model tested the effect of a 12-week lifestyle weight management programme. All cohorts were followed for the whole of their lives and they contract diseases and conditions at different rates, depending on their BMI.
The rate of weight regain is often the most important single factor in determining  cost effectiveness, so until better evidence is available it is difficult to recommend one intervention over another. Other key factors are the amount of weight lost due to the intervention, gender, initial BMI, age, and rate of regain of BMI [% per annum]. In younger participants only a slow weight regain is cost effective but in older participants a greater rate of weight gain is still likely to be cost effective, because most of the obesity-related healthcare costs occur later in life. The likelihood of cost-effectiveness increases with weight and age.</t>
  </si>
  <si>
    <t>v31</t>
  </si>
  <si>
    <t>consolidated notes pages</t>
  </si>
  <si>
    <t>v32</t>
  </si>
  <si>
    <t>amended user instructions</t>
  </si>
  <si>
    <t>amended output form summary and assumptions</t>
  </si>
  <si>
    <t>v33</t>
  </si>
  <si>
    <t>further amendment to output form</t>
  </si>
  <si>
    <t>v34</t>
  </si>
  <si>
    <t>v35</t>
  </si>
  <si>
    <t>v36</t>
  </si>
  <si>
    <t>change output filename</t>
  </si>
  <si>
    <t>v37</t>
  </si>
  <si>
    <t>v38</t>
  </si>
  <si>
    <t>removed colour from references</t>
  </si>
  <si>
    <t>v39</t>
  </si>
  <si>
    <t>removed colour from HE evidence</t>
  </si>
  <si>
    <t>reviewing contentious data / issues /policy team comments</t>
  </si>
  <si>
    <t xml:space="preserve">Healthcare and social care savings </t>
  </si>
  <si>
    <t>QALY gains for service users, NHS / social care savings</t>
  </si>
  <si>
    <t>QALY gains for service users, healthcare savings</t>
  </si>
  <si>
    <t>QALY gains for service users, NHS savings, productivity gains</t>
  </si>
  <si>
    <t>DALYs averted for service users</t>
  </si>
  <si>
    <t>info on status (to be deleted)</t>
  </si>
  <si>
    <t>Sexually active 11-16 year olds.</t>
  </si>
  <si>
    <t>Cost: £157.15 per person.Reference rated the quality of evidence as low.
Outcomes: 9.36% increase in use of condoms, which provided an additional 0.156 QALYs and £934 cost savings from reduced transmission of chlamydia and associated complications, such as pelvic inflammatory disease [PID] and ectopic pregnancy). Benefits are assumed to occur 5 years or more after intervention.</t>
  </si>
  <si>
    <t xml:space="preserve">Still need to verify original source - in progress. </t>
  </si>
  <si>
    <t>Statin therapy compared with no treatment for the prevention of stroke and coronary heart disease (CHD) in adults who
have experienced, or who are at risk of, a coronary event has a cost per QALY of £9,858. The results reported refer to statin therapy for lowering CHD
annual risk from 1.5% to 1.0% and from 2.5% to 2.0%.</t>
  </si>
  <si>
    <t>Individuals aged 45 to 84 years old with
CHD risk of 1% to 2.5%</t>
  </si>
  <si>
    <t>Nicotine replacement therapy comprises GP advice and prescriptions (baseline visit plus six prescriptions spread over
approximately 12 weeks) and drug provision.
Negative cost / QALY implies the intervention is cost saving.</t>
  </si>
  <si>
    <t>Adult smokers who would like to quit</t>
  </si>
  <si>
    <t>Costs and outcomes derived from a review of evidence. 
Cost (cost of statins and monitoring - liver function tests, cholesterol tests and creatinine kinase tests).: £5,262 (1% to 1.5%); £4,752 (2% to 2.5%);
Outcomes (reduced probability of CHD and stroke): 0.24 QALYs, £2,584 cost savings (on average, 1% to 1.5% CHD risk)
0.21 QALYs, £3,198 cost savings (on average, 2% to 2.5% CHD risk). QALYs and cost savings are likely to be achieved in the long-run (5 years or more).
Reference rated the quality of evidence as good. Affordability of programme rated as low (&gt;£1bn).</t>
  </si>
  <si>
    <t xml:space="preserve">Adult smokers visiting a GP as a
percentage of the population </t>
  </si>
  <si>
    <t>Adult anti-smoking one-year campaign comprising: (a) mass media advertising including television, outdoor posters,
and press; (b) a free telephone helpline; and (c) a specially devised booklet providing practical advice on giving up
smoking and staying a non-smoker.
Negative cost / QALY implies the intervention is cost saving.</t>
  </si>
  <si>
    <t>Ratio of percentage of adult smokers in
routine and manual occupations</t>
  </si>
  <si>
    <t>Cost: £1.63 per person. Cost associated with increased life expectancy resulting from the intervention –such as pensions and health care costs– are not included in the analysis.
Outcomes: 0.44% increase in quit rate, producing 0.006 QALYs per person, £18.90 cost savings per person. Benefits accrue as a result of reduced probabilities of five diseases associated with smoking - lung cancer, stroke, coronary heart disease, heart attack and obstructive pulmonary disease. QALY gain and cost savings are estimated to occur in the long-run (5 years or more after the intervention).</t>
  </si>
  <si>
    <t>Cost: £57.30 per person. Cost associated with increased life expectancy resulting from the intervention –such as pensions and health care costs– are not included in the analysis.
Outcomes: 1.86% increase in quit rate, producing 0.024 QALYs per person, £79.70 cost savings per person. Benefits accrue as a result of reduced probabilities of five diseases associated with smoking - lung cancer, stroke, coronary heart disease, heart attack and obstructive pulmonary disease. QALY gain and cost savings are estimated to occur in the long-run (5 years or more after the intervention).</t>
  </si>
  <si>
    <t>Cost: £11 per person. Cost associated with increased life expectancy resulting from the intervention –such as pensions and health care costs– are not included in the analysis.
Outcomes: 0.727% increase in quit rate, producing 0.009 QALYs per person, £31.10 cost savings per person. Benefits accrue as a result of reduced probabilities of five diseases associated with smoking - lung cancer, stroke, coronary heart disease, heart attack and obstructive pulmonary disease. QALY gain and cost savings are estimated to occur in the long-run (5 years or more after the intervention).</t>
  </si>
  <si>
    <t>Five minutes of GP opportunistic advice to smokers presenting at GP surgeries.
Negative cost / QALY implies the intervention is cost saving.</t>
  </si>
  <si>
    <t>No intervention - no provision / usual care</t>
  </si>
  <si>
    <t>F51</t>
  </si>
  <si>
    <t>National mass media campaigns</t>
  </si>
  <si>
    <t>Cost: £73.60 per person. Cost associated with increased life expectancy resulting from the intervention –such as pensions and health care costs– are not included in the analysis.
Outcomes: 16.9% increase in the chance of becoming physically active, producing 0.736 QALYs per person, £2,494 cost savings per person. Benefits accrue as a result of reduced probabilities of four diseases associated with physical inactivity - type II diabetes, stroke, coronary heart disease and colon cancer. QALY gain and cost savings are estimated to occur in the long-run (5 years or more after the intervention).</t>
  </si>
  <si>
    <t>A health education campaign undertaken by the BBC: ’Fighting Fit, Fighting Fat’ (FFFF). The campaign spanned over
seven weeks of numerous peak and day-time programming across BBC One and Two, BBC Radio 2 and local BBC
radio programmes. FFFF was supported by a website, Ceefax pages, a book, a video, the Radio Times and telephone
lines for further information. People were invited to register and buy a pack containing a self-help guide for lifestyle
change. 
Negative cost / QALY implies the intervention is cost saving.</t>
  </si>
  <si>
    <t>School based education</t>
  </si>
  <si>
    <t>Brief GP interventions to promote physical activity</t>
  </si>
  <si>
    <t>A school-based intervention designed to reduce obesity in youth of middle-school age. The program was an interdisciplinary
curriculum for both male and female students. Intervention material was incorporated into four major subject
areas (language arts, math, science, and social studies) and into physical education. Sessions focused on decreasing
television viewing, decreasing consumption of high-fat foods, increasing fruit and vegetable intake, and increasing
moderate and vigorous physical activity. The intervention was effective only among female students.</t>
  </si>
  <si>
    <t xml:space="preserve">Females 11 to 16 years old </t>
  </si>
  <si>
    <t>No intervention - usual curricula</t>
  </si>
  <si>
    <t>Cost: £24 per person. Cost associated with increased life expectancy resulting from the intervention –such as pensions and health care costs– are not included in the analysis.
Outcomes: reduces the chances of middles-school
age students of becoming overweight adult females by 1.87 per cent, which results in 0.013 QALYs per person, £16.20 cost savings per person.  Benefits accrue as a result of reduced probabilities of four diseases associated with physical inactivity - type II diabetes, stroke, coronary heart disease and colon cancer. QALY gain and cost savings are estimated to occur in the long-run (5 years or more after the intervention).</t>
  </si>
  <si>
    <t xml:space="preserve">Individuals 40 to 64 years old visiting a GP
</t>
  </si>
  <si>
    <t>Intervention - brief advice</t>
  </si>
  <si>
    <t>Cost: £31 per person. Cost associated with increased life expectancy resulting from the intervention –such as pensions and health care costs– are not included in the analysis.
Outcomes: the benefits of the intervention derive from achieving an increase in the number of moderate (22%) and
vigorous activity (6%) sessions which results in 1.52 QALYs per person, £3,301 cost savings per person.  Benefits accrue as a result of reduced probabilities of four diseases associated with physical inactivity - type II diabetes, stroke, coronary heart disease and colon cancer. QALY gain and cost savings are estimated to occur in the long-run (5 years or more after the intervention).</t>
  </si>
  <si>
    <t>Brief interventions delivered in GP surgeries
to reduce problem drinking</t>
  </si>
  <si>
    <t>Physician advice in general practice regarding problem drinking. Intervention involved receiving a booklet, a workbook
of current health behaviour, a review of prevalence of problem drinking, a list of adverse effects of alcohol, a worksheet
on drinking cues, a drinking agreement (prescription and drinking diary cards) - intervention consisted of two 15 minute
appointments a month apart. Patients received a follow-up call from a clinic nurse 2 weeks after each GP meeting. 
Negative cost / QALY implies the intervention is cost saving.</t>
  </si>
  <si>
    <t>Cost: £105.08 per person.
Outcomes: reduced average alcohol consumption by 40% after 12 months, which provided an additional 0.0233 QALYs and £123 cost savings (due to reduced probabilities of 18 diseases related to alcohol consumption). Benefits are assumed to occur 5 years or more after intervention.</t>
  </si>
  <si>
    <t>Adults attending routine general practice
appointments and drinking above threshold
limits as a percentage of the population
aged 15 and above in England</t>
  </si>
  <si>
    <t>399 patients; n=199 (intervention); n=200 (treatment as usual)</t>
  </si>
  <si>
    <t>Per 1,000 people receiving the intervention:
Cost: £192,000
Outcomes: 20 STI infection averted, 2 QALYs gained</t>
  </si>
  <si>
    <t>Per 1,000 people receiving the intervention:
Cost: £96,000
Outcomes: 40 STI infection averted, 4 QALYs gained</t>
  </si>
  <si>
    <t>Per 1,000 people receiving the intervention:
Cost: £72,000
Outcomes: 70 STI infection averted, 7 QALYs gained</t>
  </si>
  <si>
    <t>Brief counselling.
Benefits measured in prevention of sexually transmitted infections and under 18 conceptions.
Cost / QALY is median estimate based on 2 estimates ranging from, £12,308-£12,080.</t>
  </si>
  <si>
    <t>Per 1,000 people receiving the intervention:
Cost: £32,000
Outcomes: 26 STI infection averted, 3 QALYs gained</t>
  </si>
  <si>
    <t>Per 1,000 people receiving the intervention (for 2 estimates - £10,286 / QALY):
Cost: £72,000
Outcomes: 70 STI infection averted, 3 QALYs gained
Per 1,000 people receiving the intervention (for 1 estimate - £18,000 / QALY):
Cost: £72,000
Outcomes: 40 STI infection averted, 4 QALYs gained.</t>
  </si>
  <si>
    <t>Per 1,000 people receiving the intervention (for 1 estimate - £39,600 / QALY):
Cost: £158,400
Outcomes: 40 STI infection averted, 4 QALYs gained
Per 1,000 people receiving the intervention (for 1 estimate - £51,613 / QALY):
Cost: £160,000
Outcomes: 31 STI infection averted, 3 QALYs gained.</t>
  </si>
  <si>
    <t>Per 1,000 people receiving the intervention:
Cost: £16,000
Outcomes: 50 STI infection averted, 5 QALYs gained</t>
  </si>
  <si>
    <t>sexual health</t>
  </si>
  <si>
    <t>added detail to matrix interventions</t>
  </si>
  <si>
    <t>v40</t>
  </si>
  <si>
    <t>Dynarski (2003)</t>
  </si>
  <si>
    <t>0% / 3% (health benefits)</t>
  </si>
  <si>
    <t>Productivity losses; NHS treatment costs; QALY gain for service users.</t>
  </si>
  <si>
    <t>amendments to evidence</t>
  </si>
  <si>
    <t>v41</t>
  </si>
  <si>
    <t>amended output format</t>
  </si>
  <si>
    <t>Class-size reductions show evidence of positive effects, with economic returns of roughly $3 per dollar invested.
Reducing class sizes in kindergarten (5-6 years old: $2.79 per dollar invested) through second grade (7-8 years) was more cost-effective than reducing class sizes in middle / high school ($1.38 per dollar invested).</t>
  </si>
  <si>
    <t xml:space="preserve">
Cost: One unit drop in class size $217 per student per year (increased operating and capital costs).
Outcomes: Based on higher test scores, with associated increase in adult earnings ($581).</t>
  </si>
  <si>
    <t>Drug prevalence estimates suggest that there are 93,400 heroin and/or crack cocaine injectors in England. In 2012, there were 10,873 diagnoses of hepatitis C infection in England, of which 96% were injecting drug users (n=10,438). NICE assume that a 10% increase in people using NSPs amounts to a 10% decrease in the number of hepatitis C infections (10,438*10% = 1,044). The cost of treating hepatitis c is £22,000-£41,000. The midpoint of these is £31,500. The cost saving from 1,044 not being infected with hepatitis C is roughly £32,900,000. The cost saving minus the cost of NSP is £31,000,000.</t>
  </si>
  <si>
    <t>Reduced transmission of hepatitis C, NHS savings</t>
  </si>
  <si>
    <t>Benefit-cost ratio (BCR)</t>
  </si>
  <si>
    <t>NHS savings, increased earnings for local economy, improved productivity</t>
  </si>
  <si>
    <t>'Other' interventions (no further information provided).
Dominant - intervention is less costly and more effective than comparator.</t>
  </si>
  <si>
    <r>
      <t>In the oral health literature review, the trial and interventions were described in a paper by Plonka (see</t>
    </r>
    <r>
      <rPr>
        <sz val="11"/>
        <color rgb="FFFF0000"/>
        <rFont val="Arial"/>
        <family val="2"/>
      </rPr>
      <t xml:space="preserve"> </t>
    </r>
    <r>
      <rPr>
        <sz val="11"/>
        <rFont val="Arial"/>
        <family val="2"/>
      </rPr>
      <t xml:space="preserve">link #2) </t>
    </r>
    <r>
      <rPr>
        <sz val="11"/>
        <color theme="1"/>
        <rFont val="Arial"/>
        <family val="2"/>
      </rPr>
      <t xml:space="preserve">with data on follow up reported by Koh.
Programme costs (per person):
Home visit: $21 
Telephone interview: $14
Vehicle costs for home visits: $11
The home visits and telephone interventions resulted in 7 and 6 QALYs, respectively, gained over the usual care. Cost savings based on reduced dental caries  (treatment cost*treatment probabilities).
Sensitivity analysis showed that a lower rate of caries reduced the intervention's cost-effectiveness primarily through reducing general anaesthesia costs. </t>
    </r>
  </si>
  <si>
    <t>Lifestyle weight management interventions that help people lose weight and then maintain the weight loss in the long term would be cost effective, if they can be identified. 
From a public sector perspective, the modelling showed that if the original weight loss achieved by attending a lifestyle weight management programme were to be maintained for life, most of these interventions would be cost effective. That is, provided they cost less than £500 per person and on average, participants lost more than 1 kg in weight. This is true for all age groups and both sexes. However, if they were to regain the lost weight within 2 to 3 years, the modelling indicates that few, if any, of these interventions would be cost effective. To be cost effective, they would need to cost less than £100 per person and the average weight lost would need to be in excess of 5 kg.</t>
  </si>
  <si>
    <t>Evidence for the effectiveness and cost of the Large-scale, region-wide multi-component (Intervention 9) came from separate sources. The study design for this programme was with a reference region as the ’comparator’.
Direct cost per individual: £3.84
Outcomes: 0.1266 average lifetime QALY gain per participant</t>
  </si>
  <si>
    <t>Modelling was also used to enhance three RCTs of advice about physical activity. 
(1) Modelled from Kerse et al. (2005; NCT+).
(2) Modelled from Markle-Reid et al. (2006; RCT++), who evaluated proactive health promotion by nurses in Canada in addition to usual home care for people over 75. 
(3) Halbert et al. (2000; RCT+) reported decreased mental well-being in response to intervention. Thus the advice was dominated by the control group to whom no advice was given.</t>
  </si>
  <si>
    <t>(1) £26,200: Primary care 'green prescription' counselling programme in New Zealand.
(2) £45,600: Proactive health promotion by nurses in Canada in addition to usual home care for people over 75.
(3) Dominated: 20 minutes of individual advice on physical activity by an exercise specialist in general practice in Australia.</t>
  </si>
  <si>
    <t>NA</t>
  </si>
  <si>
    <t>15 years / Lifetime</t>
  </si>
  <si>
    <t>Minimal intervention</t>
  </si>
  <si>
    <t>QALY gain for service users</t>
  </si>
  <si>
    <t>Dance Class Programme for children and young people</t>
  </si>
  <si>
    <t>Physical activity counselling at work</t>
  </si>
  <si>
    <t>Physical activity walking programme at work</t>
  </si>
  <si>
    <t>Dietary and Nutrition</t>
  </si>
  <si>
    <t>Education</t>
  </si>
  <si>
    <t>Mass Media</t>
  </si>
  <si>
    <t>Pharmaceutical</t>
  </si>
  <si>
    <t xml:space="preserve">National Chlamydia Screening Programme is reviewing the evidence. 
The most recent evidence is a European Centre for Disease Control review on the evidence for chlamydia control, which found that provision of chlamydia screening was found to be cost effective in 9 out of 10 studies.  </t>
  </si>
  <si>
    <t>£17,956-£20,819 per prevented case of tuberculosis</t>
  </si>
  <si>
    <t>Smoking and Tobacco</t>
  </si>
  <si>
    <t>Children 5-19 Public Health Programmes</t>
  </si>
  <si>
    <t>NHS Health Check Programme</t>
  </si>
  <si>
    <t>Active travel</t>
  </si>
  <si>
    <t>The cost per QALY of pedometer interventions (short term) is estimated to be of £2,900 using the continuous risk function, or £9,400 using the step risk function. CBR due to congestion benefits only.</t>
  </si>
  <si>
    <t>For Sustainable Travel Towns (multi-component intervention), the modelled cost-effectiveness is estimated to be of the order of £900 per QALY for models runs using either the percentage change in trips evidence or the walking and cycling distance evidence.</t>
  </si>
  <si>
    <t>For Cycling Demonstration Towns (multi-component intervention), the modelling undertaken suggests that the intervention appears cost-effective. The cost per QALY is estimated to be of the order of £5,000 for models runs using either the continuous or the step risk function.
Whilst primarily an analysis of infrastructure investment, it was combined with a programme of education and marketing, and was aimed at the general population. Also included was a walking school bus to promote walking to school.
The evidence on cycle demonstration town is directly applicable as it was conducted
in the UK.</t>
  </si>
  <si>
    <t>For led walking, the results of the modelling undertaken suggest that the intervention appears cost-effective but is very sensitive to the level of effect assumed. The cost per QALY is estimated to be of the order of £1,900 using 100% of the apparent effect from the trial, £3,600 using 50% of the apparent effect, and £16,500 using 10% of the apparent effect. For this 10% of the apparent effect scenario, but using slightly lower costs obtained from personal communication with representatives of Derbyshire Primary Care Trust, the cost per QALY is estimated to be of the order of £10,400.</t>
  </si>
  <si>
    <t>v42</t>
  </si>
  <si>
    <t>tidying up evidence with issues</t>
  </si>
  <si>
    <t>completing front end content</t>
  </si>
  <si>
    <t>v44</t>
  </si>
  <si>
    <t>remove ROI box on output</t>
  </si>
  <si>
    <t xml:space="preserve">Family based intervention (skills training for parents and case management) </t>
  </si>
  <si>
    <t>added NG64 evidence (ADM)</t>
  </si>
  <si>
    <t>v45</t>
  </si>
  <si>
    <t>An economic evaluation based on a criminal justice orientated cost-benefit model identified that peer mentoring interventions targeting at-risk students including regular truants were estimated to be cost saving.</t>
  </si>
  <si>
    <t>The model found that this intervention was unlikely to be cost effective at a willingness to pay threshold of £20,000 per QALY due to the restricted duration of benefits and high intervention costs.</t>
  </si>
  <si>
    <t>Benefit cost ratio 16.42; total benefits $29,819, total costs $1,816).
Not all peer mentoring interventions included within the cost-benefit model were targeted to a specific population. There was noted to be potentially serious to minor limitations with the model’s applicability outside a criminal justice perspective and uncertainty regarding methodology. There is further uncertainty about the applicability of the model to the UK, as it is based upon policy options available in Washington State, sources for costs and resources are from the United States, and all evaluations of intervention effectiveness included in the model were from the United States.</t>
  </si>
  <si>
    <t>Peer mentoring</t>
  </si>
  <si>
    <t xml:space="preserve">An economic evaluation based on a criminal justice orientated cost-benefit model identified that an intervention targeting looked after children, Multidimensional Treatment Foster Care, was estimated to be cost saving. </t>
  </si>
  <si>
    <t>Benefit cost ratio 2.11; total benefits $17,356, total costs $8,230.
 There were noted to be potentially serious to minor limitations with the model’s applicability outside a criminal justice perspective and uncertainty regarding methodology. There is further uncertainty about the applicability of the model to the UK, as it is based upon policy options available in Washington State, sources for costs and resources are from the United States, and all evaluations of intervention effectiveness included in the model were from the United States with the exception of one evaluation from Sweden.</t>
  </si>
  <si>
    <t>Multidimensional Treatment Foster Care</t>
  </si>
  <si>
    <t>Multicomponent interventions targeting at risk children</t>
  </si>
  <si>
    <t>CASASTART (benefit cost ratio unavailable, total benefits -$4,979, total costs $7,038) 
Family Check Up (benefit cost ratio 0.24; total benefits $77, total costs $328) costs outweighed benefits. There were noted to be potentially serious to minor limitations with the model’s applicability outside a criminal justice perspective and uncertainty regarding methodology. There is further uncertainty about the applicability of the model to the UK, as it is based upon policy options available in Washington State, sources for costs and resources are from the United States, and all evaluations of intervention effectiveness included in the model were from the United States.</t>
  </si>
  <si>
    <t xml:space="preserve">Economic evaluations based on a criminal justice orientated cost-benefit model identified that for two multicomponent interventions targeting at risk children, CASASTART, costs outweighed benefits. 
CASASTART targeted children in ‘high risk’ neighbourhoods including, but not exclusively, truants and school drop outs. Family Check-Up targeted children identified as being ‘at-risk’ by their teachers. </t>
  </si>
  <si>
    <t>Chlamydia screening (UNDER REVIEW)</t>
  </si>
  <si>
    <t xml:space="preserve">Brief, web-based
personalized feedback selective intervention for college student cannabis use. </t>
  </si>
  <si>
    <t>Health economic modelling statement 1. 
An economic model was built based on an experimental intervention with families of substance users by Catalano et al (1999) and a follow-up study by Haggerty et al (2008).
The economic and health benefits are limited to 12 months in the model as beyond 12 months of the study, each individual in the intervention or control cohorts had the same probability of using cannabis. The model found that this intervention was unlikely to be cost effective at a willingness to pay threshold of £20,000 per QALY due to the restricted duration
of benefits and high intervention costs (£3,367) of ‘Focus on Families’ for one year. The ICER  in the base case scenario was around £99m per QALY gained. The intervention would have to cost less than £4 per person to be considered cost-effective, based on results being limited to 12 months.</t>
  </si>
  <si>
    <t>Effectiveness evidence is based on Dynarski (2003).</t>
  </si>
  <si>
    <t>Health benefits of a good education</t>
  </si>
  <si>
    <t xml:space="preserve"> Health benefits</t>
  </si>
  <si>
    <t>Hypothetical cohort of 1,000 smokers, representative of adults 16+ population</t>
  </si>
  <si>
    <t>Background quit rate (2%)</t>
  </si>
  <si>
    <t>The lifetime costs include all medical costs that are incorporated in the model.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31%
Cost = £6,818; Incremental cost = -£414
QALY gain = 12.17; Incremental QALY = 0.26 QALY</t>
  </si>
  <si>
    <t>The lifetime costs include all medical costs that are incorporated in the model.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21%
Cost = £7,037; Incremental cost = -£196
QALY gain = 12.02; Incremental QALY = 0.17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</si>
  <si>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3%
Cost = £7,221; Incremental cost = -£12
QALY gain = 11.91; Incremental QALY = 0.01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</si>
  <si>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24%
Cost = £7,100; Incremental cost = -£122
QALY gain = 12.1; Incremental QALY = 0.2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</si>
  <si>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35%
Cost = £7,010; Incremental cost = -£222
QALY gain = 12.2; Incremental QALY = 0.2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</si>
  <si>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4%
Cost = £7,206; Incremental cost = -£26
QALY gain = 11.92; Incremental QALY = 0.02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</si>
  <si>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15%
Cost = £7,118; Incremental cost = -£115
QALY gain = 12.02; Incremental QALY = 0.12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</si>
  <si>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24%
Cost = £6,920; Incremental cost = -£312
QALY gain = 12.10; Incremental QALY = 0.19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</si>
  <si>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16%
Cost = £7,076; Incremental cost = -£156
QALY gain = 12.03; Incremental QALY = 0.12 QALY</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</si>
  <si>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12%
Cost = £7,098; Incremental cost = -£132
QALY gain = 11.99; Incremental QALY = 0.20 QALY</t>
  </si>
  <si>
    <t>Nicotine replacement therapy (NRT) for five weeks, five pharmacist consultations. 
Dominant - intervention is less costly and more effective than comparator.</t>
  </si>
  <si>
    <t>8 weeks of bupropion; self-help material, five calls with smoking specialist. 
Dominant - intervention is less costly and more effective than comparator.</t>
  </si>
  <si>
    <t>The lifetime costs include all medical costs that are incorporated in the model, based on 5 comorbidities (lung cancer, coronary heart disease, chronic obstructive pulmonary disease, heart attack, stroke) As such, they include not only the cost of the intervention, but other costs such as treatment and comorbidities. Therefore, the cost of 'no intervention' is quite substantial, since rates of complications are likely to be high. The results refer to the 'average' smoker included in the model. The results are, therefore, a weighted average cost and QALY for each patient in the 1,000 cohort. 
Quit rate = 6%
Cost = £7,268; Incremental cost = £36
QALY gain = 11.94; Incremental QALY = 0.04 QALY</t>
  </si>
  <si>
    <t>Models cohort of smokers, based upon ages of 30,
40, 50 and 60 years (and split by gender).</t>
  </si>
  <si>
    <t>Cost = £12 per person (£10 GP time, £2 self-help material)
Effectiveness rate = 2.7% (over and above control).</t>
  </si>
  <si>
    <t>Background quit rate (1%)</t>
  </si>
  <si>
    <t>Cost = £10 per person (£10 GP time)
Effectiveness rate = 1.7% (over and above control).</t>
  </si>
  <si>
    <t xml:space="preserve">Cost = £82.56 (5 minutes GP time + NRT, assuming 50% use full NRT course and 50% use one months supply).
Effectiveness rate = 3% (over and above control).
</t>
  </si>
  <si>
    <t xml:space="preserve">Cohort simulation model </t>
  </si>
  <si>
    <t>The model estimates the reduction in smoking prevalence achieved at the end of the intervention (aged 13-17 years). The model assumes this impact is maintained throughout adult life. QALY gains from  five diseases associated with smoking - lung cancer, stroke, coronary heart disease, heart attack and obstructive pulmonary disease.
Cost: £15 per person per year.
5% effectiveness rate (incremental effect compared to comparator is 10 additional smokers quitting per 1,000).</t>
  </si>
  <si>
    <t>The model estimates the reduction in smoking prevalence achieved at the end of the intervention (aged 13-17 years). The model assumes this impact is maintained throughout adult life. QALY gains from  five diseases associated with smoking - lung cancer, stroke, coronary heart disease, heart attack and obstructive pulmonary disease.
Cost: £17 per person per year.
0.5% effectiveness rate (incremental effect compared to comparator is 1 additional smoker quitting per 1,000).</t>
  </si>
  <si>
    <t xml:space="preserve">Health economic modelling statement 2.
Subgroup analysis found promising effects for those with a family history of drug problems and therefore supported selective targeting of the intervention which was applied in the model. Based on a cost of £15 the intervention would not be cost effective but if the intervention could be provided at a low cost of £1 or less then it would be dominant, i.e. less costly and more effective than a ‘do nothing’ alternative, as it provides resource savings and reductions in cannabis use. </t>
  </si>
  <si>
    <t>Health economic modelling statement 3.
An economic model was informed by Prado et al (2012) based on an intervention called Familias Unidas to reduce drug use (in particular, cannabis) and alcohol use. Familias Unidas is most effective for adolescents with parents exhibiting high stress and lower levels of social support. Familias Unidas includes eight 2-hour multi-parent group sessions and four 1-hour family visits. The model found that this intervention was unlikely to be cost effective at a willingness to pay threshold of £20,000 per QALY due to restricted benefits of the intervention and the costs of delivery (£154.25 per family).  The intervention would have to cost less than £135 and the effects extrapolated to an additional 12 months to be considered cost-effective.</t>
  </si>
  <si>
    <t>Familias Unidas to reduce drug and alcohol use</t>
  </si>
  <si>
    <t>Motivational interviewing to reduce ecstasy use in those attending nightclubs</t>
  </si>
  <si>
    <t>Health economic modelling statement 4
An economic model based on a study of motivational interviewing to reduce ecstasy use in those attending nightclubs, based on Martin et al. 2010, found that the intervention was not likely to be cost effective at a willingness to pay threshold of £20,000 per QALY gained. Even if the effect of reducing drug use was maintained for at least two years, the cost halved to £32 and a discount rate of 1.5% applied, the ICER was still £70,000. In fact, the intervention could only be cost effective if delivered at a cost of £4.20 per hour or less in the base case scenario.</t>
  </si>
  <si>
    <t>Motivational interviewing to reduce drug use in young gay and bisexual men</t>
  </si>
  <si>
    <t>Health economic modelling statement 5
 An economic model based on a study of motivational interviewing to reduce drug use in young gay and bisexual men, based on Parsons et al., (2014) found that the intervention was not likely to be cost effective at a willingness to pay threshold of £20,000 per QALY gained. This intervention would only be cost effective if the effect of reducing drug use was maintained for at least two years, and if the intervention could be provided at a cost of less than £88.</t>
  </si>
  <si>
    <t xml:space="preserve">Motivational interviewing intervention to reduce club drug use and HIV risk behaviours among men who have sex with men </t>
  </si>
  <si>
    <t>Health economic modelling statement 7
An economic model based on a study of a family intervention called STRIVE (Support to Reunite, Involve and Value Each Other) by Milburn et al (2012) found that this intervention was not likely to be cost effective at a willingness to pay threshold of £20,000 per QALY.  If the intervention cost was less than £500, and the intervention had a longer term effect over two years or more, then it would be cost effective.</t>
  </si>
  <si>
    <t>Family Intervention STRIVE (Support to Reunite, Involve and Value Each Other)</t>
  </si>
  <si>
    <t>Drug use prevention interventions</t>
  </si>
  <si>
    <t xml:space="preserve">Health economic modelling statement 8 
</t>
  </si>
  <si>
    <t>The results of the economic modelling suggest that, to be cost effective, drug use prevention interventions would need to cost less than £100 per person, and would need to reduce drug use by at least five percentage points, maintained over two years (for example to reduce drug use from 20% to 15% of a population). Targeting interventions at individuals who are at high risk of drug use or harmful consequences of drug use, or at individuals who are already drug users, would most likely make interventions more efficient. If interventions can prevent more harmful forms of drug use like opiate use then they will be more likely to be cost effective.</t>
  </si>
  <si>
    <t xml:space="preserve">Health economic modelling statement 9 
</t>
  </si>
  <si>
    <t>If drug prevention interventions that are effective over a period of time can be provided as part of multicomponent interventions at an additional cost of less than around £100, then they may represent a cost effective component of these programmes.</t>
  </si>
  <si>
    <t>Standard care</t>
  </si>
  <si>
    <t>£460.50 cost per person (comparator cost = £0), average QALY gain = 0.254 (incremental QALY gain over comparator, 0.015).</t>
  </si>
  <si>
    <t>Mostly LA, some NHS</t>
  </si>
  <si>
    <t>NHS savings, some social care savings</t>
  </si>
  <si>
    <t>Specialist treatment for alcohol dependence in adults</t>
  </si>
  <si>
    <t>Social behaviour network therapy</t>
  </si>
  <si>
    <t>£5,100-£6,274</t>
  </si>
  <si>
    <t>Structured treatment for drug dependence in adults</t>
  </si>
  <si>
    <t>Injectable opioid treatment</t>
  </si>
  <si>
    <t xml:space="preserve">Overall, the net benefits of structured drug treatment were estimated to be positive, both overall and at the individual level in around 80% of cases. The results are broadly generalisable to the population of people seeking structured drug treatment in England and Wales.
Total Benefits = £11,831, of which  £1,686 (health and social care savings), £10,145 (savings in reported offences), 0.05 QALY gain.
Total Cost = £4,531
Net saving = £7,425
Analysis presents an approximate CBR based on figures rather than exact CBR. </t>
  </si>
  <si>
    <t>Possibly cost-effective</t>
  </si>
  <si>
    <t>v46</t>
  </si>
  <si>
    <t>ADM comments / S&amp;T comments</t>
  </si>
  <si>
    <t>removed IBA evidence</t>
  </si>
  <si>
    <t>High Income Countries</t>
  </si>
  <si>
    <t>QALY gains for service users, wider societal benefits (reduced crime, public nuisance, increased productivity)</t>
  </si>
  <si>
    <t>Link to original source not available.</t>
  </si>
  <si>
    <t xml:space="preserve">  • It builds on PHE's Menu of Interventions, including evidence not limited by savings over a specific timeframe or by who benefits from the intervention.</t>
  </si>
  <si>
    <t>front end changes (BF comments)</t>
  </si>
  <si>
    <t>1996 study. Cost = £22 pp., cost / QALY = £91</t>
  </si>
  <si>
    <t xml:space="preserve"> Improving uptake of smoking cessation interventions among the general population. Pharmacist-based interventions. The cost per QALY gained for pharmacist interventions is £438-£655 when targeted at the general population and £1,030 when targeted at disadvantaged groups. 
Cost / QALY based on 2 estimates ranging from £438-£655.</t>
  </si>
  <si>
    <t>£546; £1,030</t>
  </si>
  <si>
    <t>(1) 1998 study. Cost = £23 pp., cost / QALY = £438
(2) 2001 study. Cost = £121 pp., cost / QALY = £655</t>
  </si>
  <si>
    <t>2006 non-UK study. Cost = £52 pp., cost / QALY = £1,399</t>
  </si>
  <si>
    <t>1997 non-UK study. Cost = £86 pp., cost / QALY = £1,564</t>
  </si>
  <si>
    <t>2006 non-UK study. Cost = £211 pp., cost / QALY = £1,593</t>
  </si>
  <si>
    <t>2003 non-UK study. Cost = £155 pp., cost / QALY = £1,837</t>
  </si>
  <si>
    <t>2002 non-UK study. Cost = £157 pp., cost / QALY = £2,089</t>
  </si>
  <si>
    <t>(1) 2003 UK study. Cost = £196 pp., cost / QALY = £2,535
(2)  2004 UK study. Cost = £196, cost / QALY = £2,837</t>
  </si>
  <si>
    <t>added extra detail S&amp;T = lesley paper</t>
  </si>
  <si>
    <t>Half of studies take place in UK settings. 6 out of 8 studies do not adjust for future relapse rate.
The estimates are based on a range of methods and costs. See p. 16 of the source for more details.</t>
  </si>
  <si>
    <t>(1) 2002 non-UK study. Cost = £310 pp., cost / QALY = £5,272
(2) 2006 UK study. Cost = £151 pp., cost / QALY = £1,030</t>
  </si>
  <si>
    <t>2001 non-UK study. £52 pp., cost / QALY = £4,260 (find = £660; treat = £3,600)</t>
  </si>
  <si>
    <t>(1) 1996 non-UK study. Cost = £59 pp., cost / QALY= £4,692 (find = £1,092; treat = £3,600)
(2) 1999 UK study. Cost = £24 pp., cost / QALY = £4,000 (find  = £3,100; treat = £900)</t>
  </si>
  <si>
    <t>(1) 2003 non-UK study. Cost = £56.72, cost / QALY = £8,234 (find = £4,634; treat = £3,600)
(2) 2001 non-UK study. Cost = £6.78; cost / QALY = £7,805 (find = £4,205; treat = £3,600)
(3) 2000 non-UK study. Cost = £95 pp., cost / QALY =£1,079 (find = £1,079; treat = £900)
(4) 2006 non-UK study. Cost = £22 pp., cost / QALY =£1,648 (find = £748; treat = £900)</t>
  </si>
  <si>
    <t>2000 non-UK study. Cost = £140 pp., cost / QALY = £5,992</t>
  </si>
  <si>
    <t>$ USD 2010</t>
  </si>
  <si>
    <t>Range of cost per DALY saved presented ($859-$1,388). The figure presented is most representative of the UK population (i.e. low child and adult mortality).
Based on 80% coverage of intervention.</t>
  </si>
  <si>
    <t>v47</t>
  </si>
  <si>
    <t>Data on these interventions is taken from a review paper, there is insufficient detail on the interventions to explain this
variation.
(1) 1999 study. Cost = £37 pp., cost / QALY = £360
(2) 2002 study. Cost = £42 pp; cost / QALY = £269
(3) 2005 non-UK study. Cost = £65 pp., cost / QALY = dominated.</t>
  </si>
  <si>
    <t>Usual care (query contamination)</t>
  </si>
  <si>
    <t>(1) 2006 study. Non-UK based study. Cost = £108 pp., cost / QALY = £671
(2) 2006 study. Non-UK based study. Cost = £6 pp., cost / QALY = £45
(3) 2006 non-UK study. Cost = -£81 pp., cost / QALY = dominated.
(3) 2006 study. UK based study. Cost = £230 pp., cost / QALY = £1,627</t>
  </si>
  <si>
    <t>Intervention - no NRT</t>
  </si>
  <si>
    <t>6 estimates have been excluded as they are greater than 25 years old.
(1) 1996 study. Cost = £22 pp., cost / QALY = £880
(2) 1996 study. Cost = £37pp., cost / QALY = £427
(3) 1996 study. Cost = £45 pp., cost / QALY = £144</t>
  </si>
  <si>
    <t>£144-£880</t>
  </si>
  <si>
    <t>Average total costs: $7,572
Average total benefits: $38,296
Net benefits: $30,724
CBR: 5.06</t>
  </si>
  <si>
    <t>$ USD 2014</t>
  </si>
  <si>
    <t>Published book</t>
  </si>
  <si>
    <t>£67,000-£106,000</t>
  </si>
  <si>
    <t>£12,300-£38,700</t>
  </si>
  <si>
    <t>£7.5:£1</t>
  </si>
  <si>
    <t>$0.29-$9.99:$1</t>
  </si>
  <si>
    <t>£8:£1</t>
  </si>
  <si>
    <t>£4.89-£7.34:£1</t>
  </si>
  <si>
    <t>£1.03-£1.54:£1</t>
  </si>
  <si>
    <t>£12.71-£21.98:£1</t>
  </si>
  <si>
    <t>£2.29-£2.74:£1</t>
  </si>
  <si>
    <t>£11:£1</t>
  </si>
  <si>
    <t>£21.3:£1</t>
  </si>
  <si>
    <t>£11.20:£1</t>
  </si>
  <si>
    <t>$6.2-$8.6:$1</t>
  </si>
  <si>
    <t>£3.06-£3.66:£1</t>
  </si>
  <si>
    <t xml:space="preserve">£9.8: £1 (modelled) </t>
  </si>
  <si>
    <t>£5.17: £1</t>
  </si>
  <si>
    <t xml:space="preserve">£2.6-£3.5 </t>
  </si>
  <si>
    <t>£13.42:£1</t>
  </si>
  <si>
    <t>$1.95: $1</t>
  </si>
  <si>
    <t>£12: £1</t>
  </si>
  <si>
    <t>£5.60:£1</t>
  </si>
  <si>
    <t>£4.62:£1</t>
  </si>
  <si>
    <t>£3.85:£1</t>
  </si>
  <si>
    <t>$7.5-$20.6:$1</t>
  </si>
  <si>
    <t>£16.42: £1</t>
  </si>
  <si>
    <t>£2.11: £1</t>
  </si>
  <si>
    <t>£1.49-£2.64: £1</t>
  </si>
  <si>
    <t>£2.50:£1</t>
  </si>
  <si>
    <t>£1.93:£1; £4.66-£8.38:£1</t>
  </si>
  <si>
    <t>£51.2: £1</t>
  </si>
  <si>
    <t>£1.37-£9.20:£1</t>
  </si>
  <si>
    <t>£14.81-£17.56:£1</t>
  </si>
  <si>
    <t>£11.09: £1</t>
  </si>
  <si>
    <t>£600-£19,600</t>
  </si>
  <si>
    <t>£13,700-£26,400</t>
  </si>
  <si>
    <t>£9,000-£44,000</t>
  </si>
  <si>
    <t>£1,000-£29,200</t>
  </si>
  <si>
    <t>Alcohol care teams</t>
  </si>
  <si>
    <t>There was significant heterogeneity in methods and outcome measures between studies; however, almost all studies reported IBA programs to be cost-effective. There was no clear evidence that either the duration of the intervention or the delivery staff used had a substantial impact on this result.</t>
  </si>
  <si>
    <t>H8</t>
  </si>
  <si>
    <t>F1</t>
  </si>
  <si>
    <t>F2</t>
  </si>
  <si>
    <t>F14</t>
  </si>
  <si>
    <t>G16</t>
  </si>
  <si>
    <t>G17</t>
  </si>
  <si>
    <t>G18</t>
  </si>
  <si>
    <t>G19</t>
  </si>
  <si>
    <t>I2</t>
  </si>
  <si>
    <t>I15</t>
  </si>
  <si>
    <t>I16</t>
  </si>
  <si>
    <t>I17</t>
  </si>
  <si>
    <t>I18</t>
  </si>
  <si>
    <t>I19</t>
  </si>
  <si>
    <t>I20</t>
  </si>
  <si>
    <t>I21</t>
  </si>
  <si>
    <t>I22</t>
  </si>
  <si>
    <t>I23</t>
  </si>
  <si>
    <t>I24</t>
  </si>
  <si>
    <t>I25</t>
  </si>
  <si>
    <t>J1</t>
  </si>
  <si>
    <t>J2</t>
  </si>
  <si>
    <t>J3</t>
  </si>
  <si>
    <t>J4</t>
  </si>
  <si>
    <t>J5</t>
  </si>
  <si>
    <t>J6</t>
  </si>
  <si>
    <t>J7</t>
  </si>
  <si>
    <t>J8</t>
  </si>
  <si>
    <t>J9</t>
  </si>
  <si>
    <t>J10</t>
  </si>
  <si>
    <t>J11</t>
  </si>
  <si>
    <t>J12</t>
  </si>
  <si>
    <t>Implementing an AST for bacteraemia review cost $39,737 (95% CI $27,272–$53,017) and standard treatment cost $39,563 (95% CI $27 164–52 797). 
AST  produced an additional 0.08 QALYs (as expert opinion on infectious diseases may shift patients from a category of receiving no treatment for significant BSIs  into a category of active treatment for their infection.</t>
  </si>
  <si>
    <t>(1) Cost per 1,000 people receiving intervention = £38,850, cost / QALY = £12,950
(2) Cost per 1,000 people receiving intervention = £51,800, cost / QALY = £25,900</t>
  </si>
  <si>
    <t>Kerr, M. (2011). "NHS Health Check costs, benefits and savings ". Retrieved 22/05/2017</t>
  </si>
  <si>
    <t>Hutchinson AB, Farnham PG, Sansom SL, Yaylali E, Mermin JH. Cost-Effectiveness of Frequent HIV Testing of High-Risk Populations in the United States. Journal of Acquired Immune Deficiency Syndromes (1999). 2016;71(3):323-30.</t>
  </si>
  <si>
    <t>Hutchinson AB, Farnham PG, Duffy N, Wolitski RJ, Sansom SL, Dooley SW, et al. Return on Public Health Investment: CDC's Expanded HIV Testing Initiative. JAIDS Journal of Acquired Immune Deficiency Syndromes. 2012;59(3):281-6.</t>
  </si>
  <si>
    <t>Bayer HealthCare. Contraception Atlas. 2013.</t>
  </si>
  <si>
    <t>Matrix Insight. Prioritising investments in preventative health. 2009.</t>
  </si>
  <si>
    <t>Mavranezouli I. The cost-effectiveness of long-acting reversible contraceptive methods in the UK: analysis based on a decision-analytic model developed for a National Institute for Health and Clinical Excellence (NICE) clinical practice guideline. Human Reproduction. 2008;23(6):1338-45.</t>
  </si>
  <si>
    <t>Public Health England. Local Health and Care Planning: Menu of preventative interventions. 2016.</t>
  </si>
  <si>
    <t>Teenage Pregnancy Associates. Teenage Pregnancy: The Evidence 2012.</t>
  </si>
  <si>
    <t>NERA Economic Consulting. Economic Modelling of Interventions to Reduce the Transmission of Chlamydia and other Sexually Transmitted Infections and to Reduce the Rate of Under Eighteen Conceptions. A Final Report for the National Institute for Health and Clinical Excellence 2006.</t>
  </si>
  <si>
    <t>Schuetz CA, Alperin P, Guda S, van Herick A, Cariou B, Eddy D, et al. A Standardized Vascular Disease Health Check in Europe: A Cost-Effectiveness Analysis. PLOS ONE. 2013;8(7):e66454.</t>
  </si>
  <si>
    <t>Department of Health. Economic Modelling for Vascular Checks. 2008.</t>
  </si>
  <si>
    <t>Gillies CL, Lambert PC, Abrams KR, Sutton AJ, Cooper NJ, Hsu RT, et al. Different strategies for screening and prevention of type 2 diabetes in adults: cost effectiveness analysis. BMJ. 2008;336(7654):1180-5.</t>
  </si>
  <si>
    <t>Gillett M BA, Blake L, Payne N, Goyder L, et al. . Prevention of type 2 diabetes: preventing pre-diabetes among adults in high-risk groups. Report on use of evidence from effectiveness reviews and cost-effectiveness modelling. London: NICE Public Health Collaborating Centre, School of Health and Related Research, University of Sheffield. 2010.</t>
  </si>
  <si>
    <t>Crossan C, Lord J, Ryan R, Nherera L, Marshall T. Cost effectiveness of case-finding strategies for primary prevention of cardiovascular disease: a modelling study. British Journal of General Practice. 2017;67(654):e67-e77.</t>
  </si>
  <si>
    <t>Smith KJ, Kuo S, Zgibor JC, McTigue KM, Hess R, Bhargava T, et al. Cost effectiveness of an internet-delivered lifestyle intervention in primary care patients with high cardiovascular risk. Preventive Medicine. 2016;87:103-9.</t>
  </si>
  <si>
    <t>Kamboj L, Oh P, Levine M, Kammila S, Casey W, Harterre D, et al. Cost effectiveness of a systematic guidelines-based approach to the prevention and management of vascular disease in a primary care setting. International Journal of Cardiology. 2016;203:893-9.</t>
  </si>
  <si>
    <t>Einarson TR, Bereza BG, Acs A, Jensen R. COST EFFECTIVENESS OF SCREENING FOR TYPE 2 DIABETES MELLITUS AND PRE-DIABETES: SYSTEMATIC LITERATURE REVIEW. Value in Health. 2016;19(3):A302.</t>
  </si>
  <si>
    <t>Dyakova M, Shantikumar S, Colquitt JL, Drew CM, Sime M, MacIver J, et al. Systematic versus opportunistic risk assessment for the primary prevention of cardiovascular disease. Cochrane Database of Systematic Reviews. 2016(1).</t>
  </si>
  <si>
    <t>Perera R ME, McLellan J, Lung T, Clarke P, Perez T, et al. Optimal strategies for monitoring lipid levels in patients at risk or with cardiovascular disease: best marker for monitoring and cost-effectiveness of different monitoring frequencies. Health Technol Assess. 2015;19(100).</t>
  </si>
  <si>
    <t>van Kempen BJH, Ferket BS, Steyerberg EW, Max W, Myriam Hunink MG, Fleischmann KE. Comparing the cost-effectiveness of four novel risk markers for screening asymptomatic individuals to prevent cardiovascular disease (CVD) in the US population. International Journal of Cardiology. 2016;203:422-31.</t>
  </si>
  <si>
    <t>Tao L, Wilson ECF, Wareham NJ, Sandbæk A, Rutten GEHM, Lauritzen T, et al. Cost-effectiveness of intensive multifactorial treatment compared with routine care for individuals with screen-detected Type 2 diabetes: analysis of the ADDITION-UK cluster-randomized controlled trial. Diabetic Medicine. 2015;32(7):907-19.</t>
  </si>
  <si>
    <t>Gillett M BA, Watson P, Khunti K, Davies M, Mostafa S, et al. . The cost-effectiveness of testing strategies for type 2 diabetes: a modelling study. Health Technol Assess. 2015;19(33).</t>
  </si>
  <si>
    <t>University of Sheffield. NHS Diabetes Prevention Programme Return on Investment Tool V1.0. 2016.</t>
  </si>
  <si>
    <t>Scheetz MH, Bolon MK, Postelnick M, Noskin GA, Lee TA. Cost-effectiveness analysis of an antimicrobial stewardship team on bloodstream infections: a probabilistic analysis. Journal of Antimicrobial Chemotherapy. 2009;63(4):816-25.</t>
  </si>
  <si>
    <t>Benson JM. Incorporating pharmacy student activities into an antimicrobial stewardship program in a long-term acute care hospital. American Journal of Health-System Pharmacy. 2014;71(3):227-30.</t>
  </si>
  <si>
    <t>You J. Antimicrobial stewardship programs – cost-minimizing or cost-effective? Expert Opinion on Pharmacotherapy. 2015;16(2):155-7.</t>
  </si>
  <si>
    <t>Margolis HS, Coleman PJ, Brown RE, Mast EE, Sheingold SH, Arevalo JA. Prevention of hepatitis b virus transmission by immunization: An economic analysis of current recommendations. JAMA. 1995;274(15):1201-8.</t>
  </si>
  <si>
    <t>Burls A, Jordan R, Barton P, Olowokure B, Wake B, Albon E, et al. Vaccinating healthcare workers against influenza to protect the vulnerable—Is it a good use of healthcare resources?: A systematic review of the evidence and an economic evaluation. Vaccine. 2006;24(19):4212-21.</t>
  </si>
  <si>
    <t>Scuffham PA, West PA. Economic evaluation of strategies for the control and management of influenza in Europe. Vaccine. 2002;20(19–20):2562-78.</t>
  </si>
  <si>
    <t>Tan MC, Marra CA, Sadatsafavi M, Marra F, Morán-Mendoza O, Moadebi S, et al. Cost-Effectiveness of LTBI Treatment for TB Contacts in British Columbia. Value in Health. 2008;11(5):842-52.</t>
  </si>
  <si>
    <t>DASGUPTA K, SCHWARTZMAN K, MARCHAND R, TENNENBAUM TN, BRASSARD P, MENZIES D. Comparison of Cost-Effectiveness of Tuberculosis Screening of Close Contacts and Foreign-Born Populations. American Journal of Respiratory and Critical Care Medicine. 2000;162(6):2079-86.</t>
  </si>
  <si>
    <t>Pareek M, Watson JP, Ormerod LP, Kon OM, Woltmann G, White PJ, et al. Screening of immigrants in the UK for imported latent tuberculosis: a multicentre cohort study and cost-effectiveness analysis. The Lancet Infectious Diseases. 2011;11(6):435-44.</t>
  </si>
  <si>
    <t>Rupp ME, Fitzgerald T, Marion N, Helget V, Puumala S, Anderson JR, et al. Effect of silver-coated urinary catheters: Efficacy, cost-effectiveness, and antimicrobial resistance. American Journal of Infection Control. 2004;32(8):445-50.</t>
  </si>
  <si>
    <t>Endnote Referencing</t>
  </si>
  <si>
    <t>Cost effectiveness of treatment for alcohol problems: findings of the randomised UK alcohol treatment trial (UKATT). BMJ. 2005;331(7516):544.</t>
  </si>
  <si>
    <t>National Collaborating Centre for Mental Health. Alcohol Use Disorders: The NICE Guideline on the Diagnosis, Assessment
and Management of Harmful Drinking and Alcohol Dependence (NICE Clinical Guidelines). Leicester and London: The
British Psychological Society and the Royal College of Psychiatrists; 2011.</t>
  </si>
  <si>
    <t>Angus C, Latimer N, Preston L, Li J, Purshouse R. What are the Implications for Policy Makers? A Systematic Review of the Cost-Effectiveness of Screening and Brief Interventions for Alcohol Misuse in Primary Care. Frontiers in Psychiatry. 2014;5(114).</t>
  </si>
  <si>
    <t>Crawford M, Sanatinia R, Barrett B, Byford S, Dean M, Green J, et al. The clinical and cost effectiveness of brief intervention for excessive alcohol consumption among people attending sexual health clinics: a randomised controlled trial (SHEAR). Health Technol Assess 2014;18(30)</t>
  </si>
  <si>
    <t>Elder RW, Shults RA, Sleet DA, Nichols JL, Thompson RS, Rajab W. Effectiveness of mass media campaigns for reducing drinking and driving and alcohol-involved crashes: A systematic review. American Journal of Preventive Medicine. 2004;27(1):57-65.</t>
  </si>
  <si>
    <t>Byford S, Barrett B, Metrebian N, Groshkova T, Cary M, Charles V, et al. Cost-effectiveness of injectable opioid treatment v. oral methadone for chronic heroin addiction. The British Journal of Psychiatry. 2013;203(5):341-9.</t>
  </si>
  <si>
    <t>Davies L JA, Vamvakas G, Dubourg R, Donmall M. . The Drug Treatment Outcomes Research study (DTORS): Cost-effectiveness analysis (2nd edition). Home Office Research Report 25; 2009.</t>
  </si>
  <si>
    <t>Hayhurst KP LM, Davies L, Flentje R, Millar T, Jones A, King C, Donmall M, Farrell M, Fazel S, Harris R, Hickman M, Lennox C, Mayet S, Senior J, Shaw J. The effectiveness and cost-effectiveness of diversion and aftercare programmes for offenders using class A drugs: a systematic review and economic evaluation. Health Technology Assessment 2015; No. 19.6.</t>
  </si>
  <si>
    <t>v48</t>
  </si>
  <si>
    <t>removed ROI field</t>
  </si>
  <si>
    <t>checked max lengths</t>
  </si>
  <si>
    <t>updated hyperlink addresses</t>
  </si>
  <si>
    <t xml:space="preserve"> Incremental cost-effectiveness ratio (ICER)</t>
  </si>
  <si>
    <t xml:space="preserve"> Cost-effectiveness</t>
  </si>
  <si>
    <t>amended output box sizes</t>
  </si>
  <si>
    <t>Mihalopoulos C, Vos T, Pirkis J, Carter R. The economic analysis of prevention in mental health programs. Annual review of clinical psychology. 2011 Apr 27;7:169-201.</t>
  </si>
  <si>
    <t>Aos S, Miller MG, Mayfield J. Benefits and costs of K-12 educational policies: evidence-based effects of class size reductions and full-day kindergarten. Washington State Institute for Public Policy; 2007.</t>
  </si>
  <si>
    <t>McCabe C. Estimating the short-term cost effectiveness of a mental health promotion intervention in primary schools. NICE, London. 2008.</t>
  </si>
  <si>
    <t>Hummel S, Naylor P, Chilcott J, Guillaume L, Wilkinson A, Blank L, Baxter S, Goyder L. Cost effectiveness of universal interventions which aim to promote emotional and social wellbeing in secondary schools. Sheffield, UK: University of Sheffield. 2009.</t>
  </si>
  <si>
    <t>O’Neill D, McGilloway S, Donnelly M, Bywater T, Kelly P. A cost-effectiveness analysis of the Incredible Years parenting programme in reducing childhood health inequalities. The European Journal of Health Economics. 2013 Feb 1;14(1):85-94.</t>
  </si>
  <si>
    <t>Friedli L, Parsonage M. Promoting mental health and preventing mental illness: The economic case for investment in Wales. Cardiff: All Wales Mental Health Promotion Network. 2009.</t>
  </si>
  <si>
    <t>Cutler DM, Lleras-Muney A. Education and health: evaluating theories and evidence. National Bureau of Economic Research; 2006 Jul 3.</t>
  </si>
  <si>
    <t>Koh R, Pukallus M, Kularatna S, Gordon LG, Barnett AG, Walsh LJ, Seow WK. Relative cost‐effectiveness of home visits and telephone contacts in preventing early childhood caries. Community dentistry and oral epidemiology. 2015 Dec 1;43(6):560-8.</t>
  </si>
  <si>
    <t>Edelstein BL, Hirsch G, Frosh M, Kumar J. Reducing early childhood caries in a Medicaid population: a systems model analysis. The Journal of the American Dental Association. 2015 Apr 30;146(4):224-32.</t>
  </si>
  <si>
    <t>Atkins CY, Thomas TK, Lenaker D, Day GM, Hennessy TW, Meltzer MI. Cost‐effectiveness of preventing dental caries and full mouth dental reconstructions among Alaska Native children in the Yukon–Kuskokwim delta region of Alaska. Journal of public health dentistry. 2016 Jun 1;76(3):228-40.</t>
  </si>
  <si>
    <t>Barnett WS, Masse LN. Comparative benefit–cost analysis of the Abecedarian program and its policy implications. Economics of Education Review. 2007 Feb 28;26(1):113-25.</t>
  </si>
  <si>
    <t>Reynolds AJ, Temple JA. Cost-effective early childhood development programs from preschool to third grade. Annu. Rev. Clin. Psychol.. 2008 Apr 27;4:109-39.</t>
  </si>
  <si>
    <t>Morano R, Pérez F, Brosa M, Pérez Escolano I. Cost-effectiveness analysis of pneumococcal vaccination in Spain. Gaceta Sanitaria. 2011 Aug;25(4):267-73.</t>
  </si>
  <si>
    <t>Aos S, Lieb R, Mayfield J, Miller M, Pennucci A. Benefits and costs of prevention and early intervention programs for youth. Olympia: Washington State Institute for Public Policy; 2004.</t>
  </si>
  <si>
    <t>Knapp M, McDaid D, Parsonage M. Mental health promotion and mental illness prevention: The economic case. 2011.</t>
  </si>
  <si>
    <t>Gross J. The long term costs of literacy difficulties: KPMG Foundation; 2006.</t>
  </si>
  <si>
    <t>Department for Education. Conception to age 2-the age of opportunity report. 2013.</t>
  </si>
  <si>
    <t>Public Health England. Oral health of children aged 0-5 years: ROI tool. 2016.</t>
  </si>
  <si>
    <t>Taylor M. Economic analysis of interventions for smoking cessation aimed at pregnant women. Supplementary report York Health Economics Consortium. 2009.</t>
  </si>
  <si>
    <t>World Health Organization. Promoting Health, Preventing Disease The Economic Case: The Economic Case: OECD Publishing; 2015.</t>
  </si>
  <si>
    <t>Jit M, Barton P, Chen Y, Uthman O, Aveyard P, Meads C. School-based interventions to prevent the uptake of smoking among children and young people: Cost-effectiveness model. Birmingham, UK: West Midlands Health Technology Assessment Collaboration. 2009.</t>
  </si>
  <si>
    <t>Raikou M, McGuire A. Cost-effectiveness of a mass media campaign and a point of sale intervention to prevent the uptake of smoking in children and young people: economic modelling report. LSE Health. 2008.</t>
  </si>
  <si>
    <t>Campbell F, Holmes M, Everson-Hock E, Davis S, Woods HB, Anokye N, Tappenden P, Kaltenthaler E. A systematic review and economic evaluation of exercise referral schemes in primary care: a short report. Health technology assessment. 2015;19(60).</t>
  </si>
  <si>
    <t>Messina J, Johnson M, Campbell F, Everson Hock E, Guillaume L, Duenas A, Rawdin A, Goyder E, Chilcott J. Systematic review of weight management interventions after childbirth. The University of Sheffield: ScHARR Public Health Collaboration Centre. 2009.</t>
  </si>
  <si>
    <t>Beale S, Bending M, Trueman P. An economic analysis of environmental interventions that promote physical activity. University of York: York Health Economics Consortium. 2007 May.</t>
  </si>
  <si>
    <t>Ara R, Blake L, Gray L, Hernández M, Crowther M, Dunkley A, et al. What is the clinical effectiveness and cost-effectiveness of using drugs in treating obese patients in primary care? A systematic review. 2012.</t>
  </si>
  <si>
    <t>Gillett M, Brennan A, Blake L, Payne N, Goyder L, Woods HB, Everson-Hock E, Johnson M, Chilcott J, Hernandez M. Prevention of type 2 diabetes: preventing pre-diabetes among adults in high-risk groups. Report on use of evidence from effectiveness reviews and cost-effectiveness modelling. London: NICE Public Health Collaborating Centre, School of Health and Related Research, University of Sheffield. 2010 Nov 8:1-69.</t>
  </si>
  <si>
    <t>Harris J, Felix L, Miners A, Murray E, Michie S, Ferguson E, et al. Adaptive e-learning to improve dietary behaviour: a systematic review and cost-effectiveness analysis. Health Technology Assessment. 2011;15(37).</t>
  </si>
  <si>
    <t>Marsh K, Bertranou E, Samanta K. Cost-benefit analysis and social impact bond feasibility analysis for the Birmingham Be Active scheme. Matrix Evidence. 2011.</t>
  </si>
  <si>
    <t>Gorell RS, Tootill W. Monitoring Local Authority road safety schemes using MOLASSES. TRL REPORT 512. 2001 Dec.</t>
  </si>
  <si>
    <t>Windle G, Hughes D, Linck P, Morgan R, Burholt V, Edwards RT, Reeves C, Yeo ST, Woods R, Russell I. Public health interventions to promote mental well-being in people aged 65 and over: systematic review of effectiveness and cost-effectiveness. Bangor: University of Wales. 2007.</t>
  </si>
  <si>
    <t>Stevenson M, Pandor A, Stevens JW, Rawdin A, Rice P, Thompson J, et al. Nalmefene for reducing alcohol consumption in people with alcohol dependence: an evidence review group perspective of a NICE single technology appraisal. Pharmacoeconomics. 2015;33(8):833-47.</t>
  </si>
  <si>
    <t>Leppo K, Ollila E, Peña S, Wismar M, Cook S. eds. Health in all Policies: Seizing opportunities, implementing policies.</t>
  </si>
  <si>
    <t>Frontier Economics. Specialist drug and alcohol services for young people–a cost benefit analysis. Benefits. 2008:09.</t>
  </si>
  <si>
    <t>Flack SA, Taylor M, Trueman P. Cost-effectiveness of interventions for smoking cessation. York Health Economics Consortium. 2007.</t>
  </si>
  <si>
    <t>Parrott S, Godfrey C, Kind P. Cost-effectiveness of brief intervention and referral for smoking cessation.</t>
  </si>
  <si>
    <t>Anokye N LJ, Fox-Rushby J. Public Health Intervention Guidance on Physical Activity– Brief advice for adults in primary care: Economic Analysis. National Institute for Health and Clinical Excellence. 2012.</t>
  </si>
  <si>
    <t>National Institute for Health and Clinical Excellence. Obesity Prevention (CG43). Section 6 Health Economics Evidence Statements 2006.</t>
  </si>
  <si>
    <t>School of Health and Related Research. Walking and cycling: local measures to promote walking and cycling as forms of travel or recreation: Health economic and modelling report. National Institute for Health and Clinical Excellence. 2012.</t>
  </si>
  <si>
    <t>Bending M, Beale S, Hutton J. An economic analysis of workplace interventions that promote physical activity. PHIAC Report. York, England: York Health Economics Consortium. 2008.</t>
  </si>
  <si>
    <t>Vickerman P, Miners A, Williams A. Assessing the cost-effectiveness of interventions linked to needle and syringe programmes for injecting drug users: An economic modelling report. 2008. Department of Public Health and Policy, London School of Hygiene and Tropical Medicine: London. 2012.</t>
  </si>
  <si>
    <t>QALY gains for service users, NHS, PSS, costs of crime</t>
  </si>
  <si>
    <t>Base Case Analysis</t>
  </si>
  <si>
    <t>National Institute for Health and Care Excellence. Costing statement: Needle and syringe programmes. Implementing the NICE guidance on Needle and syringe programmes (PH52). 2014.</t>
  </si>
  <si>
    <t>National Collaborating Centre for Mental Health. Drug misuse: psychosocial interventions. National Clinical Practice Guideline Number 51 National Institute for Health and Clinical Excellence 2008.</t>
  </si>
  <si>
    <t xml:space="preserve">National Institute for Health and Clinical Excellence. Weight management: lifestyle services for overweight or obese children and young people (PH47).
</t>
  </si>
  <si>
    <t>National Institute for Health and Care Excellence. Drug misuse prevention: targeted interventions (NG64). Evidence statements from evidence review 1, evidence review 2, cost effectiveness review and health economic modelling. 2017.</t>
  </si>
  <si>
    <t>National Institute for Health and Clinical Excellence. Cardiovascular disease: identifying and supporting people most at risk of dying early (PH15). Supplementary economic analysis on interventions to reduce health inequalities. 2008.</t>
  </si>
  <si>
    <t>Matrix Insight. Prioritising investments in preventative health. Health England. 2009.</t>
  </si>
  <si>
    <t>Low N, Redmond S, Alexander K, van Bergen J, Ward H, Uüskula A, Andersen B, Götz H, Herrmann B, van den Broek I, Woodhall S. Chlamydia control in Europe: literature review.</t>
  </si>
  <si>
    <t>Dominant-£17,000</t>
  </si>
  <si>
    <r>
      <t xml:space="preserve">  • Evidence</t>
    </r>
    <r>
      <rPr>
        <sz val="9"/>
        <rFont val="Arial"/>
        <family val="2"/>
      </rPr>
      <t xml:space="preserve"> published prior to 1995</t>
    </r>
    <r>
      <rPr>
        <sz val="9"/>
        <color rgb="FF000000"/>
        <rFont val="Arial"/>
        <family val="2"/>
      </rPr>
      <t xml:space="preserve"> has been excluded.</t>
    </r>
  </si>
  <si>
    <t>v1</t>
  </si>
  <si>
    <t>BETA</t>
  </si>
  <si>
    <t>alpha version sent for comments</t>
  </si>
  <si>
    <t>added 'alpha feedback' sheet</t>
  </si>
  <si>
    <t>Public Health England. A Rapid Review of Evidence on the Cost-Effectiveness of Interventions to Improve the Oral Health of Children. 2016.</t>
  </si>
  <si>
    <t>Owen L, Morgan A, Fischer A, Ellis S, Hoy A, Kelly MP. The cost-effectiveness of public health interventions. Journal of Public Health. 2012;34(1):37-45.</t>
  </si>
  <si>
    <t>Public Health Wales. Making a Difference: Investing in Sustainable Health and Well-being for the People of Wales. 2016.</t>
  </si>
  <si>
    <t>The Kings Fund, Local Government Association. Making the case for public health interventions. 2014.</t>
  </si>
  <si>
    <t>World Health Organization. The case for investing in public health. 2014.</t>
  </si>
  <si>
    <t>vancouver reference - sources page</t>
  </si>
  <si>
    <t>working through comments (noted by action complete column)</t>
  </si>
  <si>
    <t>added hover comments on data sheet</t>
  </si>
  <si>
    <t>Country</t>
  </si>
  <si>
    <t>Discount rate</t>
  </si>
  <si>
    <t>Publication year</t>
  </si>
  <si>
    <t>c£330 per injecting drug user</t>
  </si>
  <si>
    <t>NICE identified eight RCTs including over 4,200 participants, of which three RCTs including 433 participants compared MET to a control. Compared to control, MET was more effective at reducing the average number of drinks per day at one month follow-up SMD= -0.67 (-1.20, -0.15). The quality of this evidence was moderate.</t>
  </si>
  <si>
    <t>Motivational enhancement therapy (MET) is counselling to evoke rapid and internally motivated change. 
It was cost-effective compared with no active treatment with an incremental cost-effectiveness ratio (ICER) ranging from approximately AUS$80 per QALY for the simple intervention to approximately AUS$280 per QALY for the extended intervention. Compared to no further counselling after initial assessment, MET was cost-effective with an ICER of approximately AUS$3,400 per QALY.</t>
  </si>
  <si>
    <t>Motivational enhancement therapy (MET) is counselling to evoke rapid and internally motivated change. 
It had an incremental cost-effectiveness ratio (ICER) of £18,230 (marginal cost of 206 divided by marginal utility gain of 0.0113 QALYs) in comparison with social therapy.</t>
  </si>
  <si>
    <t xml:space="preserve">Social behaviour network therapy (SBNT) is a psychosocial intervention which builds upon the premise that social network support for change is central to the resolution of addictive behaviour. 
Participants reported highly significant reductions in drinking and associated problems and costs. The novel SBNT did not differ significantly in cost effectiveness from the proved motivational enhancement therapy (MET), counselling to evoke rapid and internally motivated change. </t>
  </si>
  <si>
    <t>Effectiveness: a consultant-led, multi-disciplinary ACT in Bolton saved 2,000 alcohol related bed days and reduced readmissions by 3%. An external evaluation showed a 43% reduction (3,814 to 2,155) in alcohol-related A&amp;E attendances alone, in the year following the introduction of a small alcohol care team in the Alexandra Hospital, Worcestershire. Costs: cost per nurse c£41,250 p.a., including on-costs. Depending on the size of the hospital, 3-5 specialist nurses would be needed to effectively deliver ACT. For example, to achieve this, Royal Bolton deployed a team of 4 alcohol specialist nurses providing a 7-day service costing c£165,000 p.a. Net savings: net savings per nurse can be c£111,930 p.a. on average, based on this case study which demonstrated net savings of £471,000 p.a. 
3.85 = (471+165)/165
NICE endorsed study.</t>
  </si>
  <si>
    <t>Secondary care alcohol specialist services alleviate the enormous impact of alcohol misuse on secondary care by improving
care for alcohol misusing patients who present to hospitals. 
It gives a return of investment (ROI) of £3.85 for every £1 invested, a year from implementation.</t>
  </si>
  <si>
    <t>IBA typically involves identification of a risky drinker (using a validated screening tool) and brief advice (short, structured advice to encourage a risky drinker to reduce their consumption).
Net savings: PHE estimates that the net saving to the NHS per person receiving brief advice could be on average £27 p.a. (or equivalently a saving of £136 over 5 years).</t>
  </si>
  <si>
    <t>IBA typically involves identification of a risky drinker (using a validated screening tool) and brief advice (short, structured advice to encourage a risky drinker to reduce their consumption).
A review of 23 studies reported strong evidence that IBA in primary healthcare is a cost-effective option for reducing alcohol misuse.</t>
  </si>
  <si>
    <t>IBA typically involves identification of a risky drinker (using a validated screening tool) and brief advice (short, structured advice to encourage a risky drinker to reduce their consumption).
While IBA in sexual health clinics was relatively inexpensive to deliver, costing less than £13 per participant, when other costs and QALY outcomes were taken into account, it did not appear to be a cost-effective use of resources.</t>
  </si>
  <si>
    <t>Restricting alcohol availability, for example through reduced access to retail outlets for specified periods of the week.
It has the potential to be very cost-effective if fully enforced – saving $550 to $1,450 for each year in good health restored (cost per DALY saved).</t>
  </si>
  <si>
    <t>(1) Victoria campaign: for first 23 months, the cost $403,174 per month for advertisement development, supporting media, media placement, and concept research.  Estimated savings from medical costs, productivity losses, pain and suffering, and property damage were $8,324,532 per month, with $3,214,096 of these savings accruing from saved healthcare costs (CBR of 20.6).
Effectiveness: based on a systematic review the median decrease in alcohol-related crashes resulting from mass media campaigns was 13% (interquartile range: 6% to 14%). 
The mass media campaigns reviewed were generally carefully planned, well executed, attained adequate audience exposure, and were implemented in conjunction with other ongoing prevention activities, such as high visibility enforcement.</t>
  </si>
  <si>
    <t>Structured drug treatment comprises of inpatient drug treatment, specialist and
GP prescribing, counselling, structured day programmes, residential rehabilitation, structured alcohol interventions and other structured interventions.
Every £1 spent on drugs treatment saves society around £2.50 in reduced NHS and social care costs and reduced crime. Almost 15 per cent of these savings are due to reductions in health and social care costs whereas 85 per cent are due to reductions in offending.</t>
  </si>
  <si>
    <t xml:space="preserve">OST is used as substitution therapy in opioid dependence.
It is likely that OST in general is cost‑effective, with certain forms of OST likely to be more cost‑effective than others. Comparing methadone with buprenorphine, NICE reports £13,700 per QALY for methadone and £26,400 per QALY gained for buprenorphine (NICE, 2007a). </t>
  </si>
  <si>
    <t>Programmes to identify and divert problematic drug users to treatment (voluntary, court mandated or monitored services) at any point within the criminal justice system (CJS). Aftercare follows diversion and treatment, excluding care following prison or non-diversionary drug treatment.
For many of the analyses, the likelihood that diversion is cost-effective, if decision-makers were willing to pay up to £30,000 to gain one additional QALY for arrested drug users, was between 48% and 52%.  These findings suggest that there is
a lack of evidence either way, which is supported by the use of multiple-way sensitivity analyses to reflect changes in more than one parameter at a time.</t>
  </si>
  <si>
    <t>£2,660 cost per person (comparator cost = £2,372), average QALY gain = 0.79 (incremental QALY gain over comparator, 0.77).</t>
  </si>
  <si>
    <t>Contingency management is the provision of incentives to clients; these are contingent on maintaining or avoiding specified behaviours, such as avoiding the use of illicit drugs.
It had a cost of £11,192 to gain 1 QALY over standard care.</t>
  </si>
  <si>
    <t>Cognitive behavioural therapy (CBT) is a discrete, time limited, structured psychological intervention to identify and modify irrational thoughts, manage negative mood and intervene after a lapse to prevent a full blown relapse.
It had a cost of £31,151 per QALY for cannabis users, suggesting that it is not cost‑effective in this instance. However, as this is just over the standard NICE threshold, consideration of additional benefits outside of QALYs may mean that it is cost-effective.</t>
  </si>
  <si>
    <t>Needle and syringe programmes (NSPs) for people  who inject drugs aim is to reduce the transmission of viruses and other infections caused by sharing injecting equipment, such as HIV, hepatitis B and C.
A 10% increase of people who inject drugs using NSPs amounts to a potential £31m return on investment, around £330 per injecting drug users.</t>
  </si>
  <si>
    <t>The intervention is defined as a care planned medical, psychosocial or specialist harm reduction intervention, aimed at preventing escalation of use or harm.
The in-year return on investment from youth services treatment is £1.93 for every £1 spent (£1.87 relates to reductions in offending, £0.06 relates to health benefits). 
In the long-term this increases to £4.66-£8.38 return for every £1 spent. This includes: the in-year benefits; £1.95-£3.90 which relates to reducing the 'scar' on earning associated with poor education and employment outcomes; £0.78-£2.56 relates to halting the escalation of young people's substance misuse and preventing subsequent problems as adults.</t>
  </si>
  <si>
    <t>The report states that this is “…based on a conservative set of assumptions”, although this appears relatively high compared with the CBR identified for adult structured treatment by DTORS (see ID G12). This high CBR comes from the level of predicted long-term benefits, with the high level of uncertainty that comes about when predicting over a long timescale; when only the immediate benefits are considered, the ratio falls to 1.93:1 spent.
S-T benefits average of 2 years; L-T 20 years.</t>
  </si>
  <si>
    <t>Familias Unidas to reduce drug use (in particular, cannabis) and alcohol use is most effective for adolescents with parents exhibiting high stress and lower levels of social support. It includes eight 2-hour multi-parent group sessions and four 1-hour family visits. 
The ICER (incremental cost effectiveness ratio) in the base case scenario was around £241,000 per QALY gained.</t>
  </si>
  <si>
    <t>Brief, web-based
personalized feedback selective intervention for college student cannabis use. 
The ICER (incremental cost effectiveness ratio) in the base case scenario was around £329,000 per QALY gained</t>
  </si>
  <si>
    <t xml:space="preserve">Motivational interviewing to reduce ecstasy use in those attending nightclubs.
The ICER (incremental cost effectiveness ratio) in the base case scenario was around £485,000 per QALY gained. </t>
  </si>
  <si>
    <t xml:space="preserve">Motivational interviewing to reduce drug use in young gay and bisexual men.
The ICER (incremental cost effectiveness ratio) in the base case scenario was around £301,000 per QALY gained. </t>
  </si>
  <si>
    <t xml:space="preserve">Motivational interviewing intervention to reduce club drug use and HIV risk behaviours among men who have sex with men.
The ICER (incremental cost effectiveness ratio) in the base case scenario was around £131,000 per QALY gained. </t>
  </si>
  <si>
    <t>Family Intervention STRIVE (Support to Reunite, Involve and Value Each Other).
The ICER (incremental cost effectiveness ratio) in the base case scenario was around £117,000 per QALY gained.</t>
  </si>
  <si>
    <t>Quitting smoking in pregnancy through stages of change (model to help patients change behaviour).
The intervention has an ICER of £3,033 per QALY.</t>
  </si>
  <si>
    <t>Quitting smoking in pregnancy through cognitive behaviour strategies (changing maladaptive thinking patterns and the negative behaviours associated with them).
The intervention has an ICER of £4,005 per QALY.</t>
  </si>
  <si>
    <t>Quitting smoking in pregnancy through rewards (based on 'Quit to Win' campaign, quitting smoking for an established period of time, with rewards for success).
Dominant - intervention is less costly and more effective than comparator.</t>
  </si>
  <si>
    <t>Quitting smoking in pregnancy through pharmacotherapies (nicotine replacement therapy).
The intervention has an ICER of £2,253 per QALY.</t>
  </si>
  <si>
    <t>Quitting smoking in pregnancy through feedback (no further information provided).
The intervention has an ICER of £1,992 per QALY.</t>
  </si>
  <si>
    <t>Evidence based on the Perry Preschool Program, a 2-year experimental intervention for disadvantaged African-American children initially ages 3 to 4 that involved morning programs at school and afternoon visits by the teacher to the child’s home.
Targeted interventions for disadvantaged children gives a CBR of 8.6, which is reduced to 6.2 when adjusted for deadweight costs (preferred estimate by authors).</t>
  </si>
  <si>
    <t>The intervention group were followed up at 40 years. Results summarised for CBR of 8.6:
Initial programme cost = $26,639
Total benefit = $165,053, of which increased earnings ($78,010), reduced crime costs ($75,062), reduced welfare spend ($5,547), reduced education costs ($6,434).
Deadweight costs: the impact of raising taxes to finance programmes. In this instance, the program incurs deadweight costs with initial funding but saves deadweight costs associated with taxes used to fund transfer recipients (e.g. subjects of Perry preschool programme).</t>
  </si>
  <si>
    <t>Parenting programmes can be targeted at parents of children with, or at risk of, developing conduct disorder,
and are designed to improve parenting styles and parent-child relationships.
They pay back £8 over six years for every £1 invested.</t>
  </si>
  <si>
    <t>Heckman J, Grunewald R, Reynolds A. The Dollars and Cents of Investing Early: Cost-Benefit Analysis in Early Care and Education. Zero to Three. 2006 Jul;26(6):10-7.</t>
  </si>
  <si>
    <t>An economic analysis of the benefits of Every Child a Reader (Expert literacy teaching to 6 year old children who are struggling to learn to read and write) by KPMG estimated that the scheme could offer a return of £14.81-£17.56 in the next 31 years for every £1 spent now, based on the estimated costs of problems associated with poor literacy such as truancy and poor employment prospects.</t>
  </si>
  <si>
    <t xml:space="preserve">The scheme costs £10m over 3 years, £2,389 per child.
Benefits: Savings to public purse from failure to learn to read in primary school years, estimated at between £44,797 and £53,098. For each intervention, which costs £2,389 the sum of £35,390 is saved in today’s money.
Estimated savings are conservative (do not include savings that could not be readily quantified, such as economic effects of reduced spending power, social housing costs, costs of generally poorer health, intergenerational effects on literacy).
</t>
  </si>
  <si>
    <t>Cost per participant is $9.118, with benefits of reduced child maltreatment and criminal behaviour estimated at $26,298.</t>
  </si>
  <si>
    <t>The Nurse Family Partnership provides intensive visitation by nurses during a woman’s pregnancy and the first two years after birth.
The programme (implemented in the UK) has been found to generate a saving of US$2.88 for every US$1 invested. Savings are greatest when NFP is targeted at high risk groups.</t>
  </si>
  <si>
    <t xml:space="preserve">The Abecedarian project was a preschool program that provided intensive education during full-day child care.
For every $1 spend, there are $2.50 of benefits.
</t>
  </si>
  <si>
    <t>grouped all oral health interventions</t>
  </si>
  <si>
    <t>$2.25-$7:£1</t>
  </si>
  <si>
    <t>Offering $1,000 of grant aid (i.e. subsidising education) results in an increase in education of 0.16 years, which translates into 0.03-0.10 years of additional life (based on 3% and 0% discount rates). This is roughly $2,250-$7,200 in present
value (using a $75,000 value of a year of health).</t>
  </si>
  <si>
    <t>Study implies that for every £1 spent on parenting programmes to reduce conduct problems, £8 can be saved. 
For Wales, the total value of prevention in a one-year cohort (33,000 births) would be £247.5 million, with the total value of promoting positive mental health amounting to £1,113.75 million. 
Substantial investment in these programmes is therefore justified even if their effectiveness is limited, given the size of potential benefits relative to cost. A range of evidence suggests that success rates at the level required can be achieved in real life settings (i.e. only need 2-4% effectiveness rate, whereas literature suggests effectiveness of around 10-40%).</t>
  </si>
  <si>
    <t>Social and emotional wellbeing in primary education. Universal mental health promotion intervention (emotional function only)  requires 3x 20 minute sessions per week for each class run by a teacher.</t>
  </si>
  <si>
    <t>Social and emotional wellbeing in primary education (ages 7-11). Universal mental health promotion intervention (emotion + cognition) requires 3x 20 minute sessions per week for each class run by a teacher. 
The expected ICER for this intervention is £5,278 per QALY.</t>
  </si>
  <si>
    <t>Social and emotional wellbeing in primary education (ages 7-11). Focussed intervention (two-level improvement)  requires 3x 20 minute sessions per week for each small group / individual, who have identified problems and is delivered in a setting outside the classroom. 
The expected ICER for this intervention is £177,560 per QALY.</t>
  </si>
  <si>
    <t>Social and emotional wellbeing in primary education (ages 7-11). Focussed intervention (1 level improvement) requires 3x 20 minute sessions per week for each small group / individual, who have identified problems and is delivered in a setting outside the classroom. 
The expected ICER for this intervention is £988,404 per QALY.</t>
  </si>
  <si>
    <t>Counselling support services, including 1-1 counselling and a self-referral service for children and young people, give a CBR of 7.5:1. This includes reduced costs associated with social services, welfare benefits and the criminal justice system.
Costs of the intervention are repaid after 5 years, with cost savings accruing in the years after.</t>
  </si>
  <si>
    <t xml:space="preserve">Antimicrobial stewardship (AMS) team are multidisciplinary healthcare teams formed to optimize anti-infective therapy and to combat antimicrobial resistance and medication errors through improper utilisation of antimicrobials.
AMS teams cost $2367 per QALY gained with a 90% likelihood of cost-effectiveness at a threshold of $10,000 per QALY (and with an even higher probability of cost-effectiveness, and a net monetary benefit of approximately £18,000, using the NHS threshold). </t>
  </si>
  <si>
    <t>Antimicrobial stewardship (AMS) team are multidisciplinary healthcare teams formed to optimize anti-infective therapy and to combat antimicrobial resistance and medication errors through improper utilisation of antimicrobials.
Decreased antimicrobial costs of $261,630 were observed over a two-year period after implementation of an ASP that incorporated pharmacy students as integral members of the program in a long-term acute care hospital.</t>
  </si>
  <si>
    <t>Antimicrobial stewardship (AMS) team are multidisciplinary healthcare teams formed to optimize anti-infective therapy and to combat antimicrobial resistance and medication errors through improper utilisation of antimicrobials.
The AMS program, using an antimicrobial monitoring team, was extremely cost effective over this 7-year period.</t>
  </si>
  <si>
    <t>Antimicrobial stewardship (AMS) team are multidisciplinary healthcare teams formed to optimize anti-infective therapy and to combat antimicrobial resistance and medication errors through improper utilisation of antimicrobials.
Review finds studies of AMS programmes to be cost minimising (lower drug costs with no worsening in outcomes in terms of hospital readmissions or mortality).</t>
  </si>
  <si>
    <t>Vaccinating healthcare workers against influenza to protect the vulnerable.
It is estimated that there would be savings of £12 per vaccination when health care workers are vaccinated.</t>
  </si>
  <si>
    <t>The current practice (LTBI treatment for TB contacts with a tuberculin skin test (TST) size &gt; or = 5 mm) is cost-effective. A customised approach based on excluding low risk groups from screening and providing treatment to high risk contacts without screening could improve the performance of the program, by reducing healthcare costs from TST tests with a minimal increase in active TB cases.</t>
  </si>
  <si>
    <r>
      <t xml:space="preserve">Effectiveness: bladder scanners reduced catheter associated UTI by 75%. Similarly, a quality improvement programme in intensive care units reduced CVC-BSI by 80%, while another for urinary catheters reduced catheter-associated UTI by 75%. Assuming 50% of the 50,000 annual GNBSI are related to urinary tract infections, and 50% </t>
    </r>
    <r>
      <rPr>
        <u/>
        <sz val="11"/>
        <rFont val="Arial"/>
        <family val="2"/>
      </rPr>
      <t>of these</t>
    </r>
    <r>
      <rPr>
        <sz val="11"/>
        <rFont val="Arial"/>
        <family val="2"/>
      </rPr>
      <t xml:space="preserve"> are catheter associated, a 75% reduction estimate results in 9,375 cases of GNBSI related to catheter-associated UTI prevented per year. 
Costs: costs of implementing bladder scanners are £49 per scan. Assuming the equivalent of all GNBSI related to UTI are scanned, this gives costs of £1.4m p.a. nationally. Quality improvement programme costs will vary. </t>
    </r>
  </si>
  <si>
    <t>The NHS Health Check is a health check-up for adults in England aged 40-74. It's designed to spot early signs of stroke, kidney disease, heart disease, type 2 diabetes or dementia.
Cost per QALY of NHS health check programme is £2,142.</t>
  </si>
  <si>
    <t>The NHS Health Check is a health check-up for adults in England aged 40-74. It's designed to spot early signs of stroke, kidney disease, heart disease, type 2 diabetes or dementia.
Offering health checks to all (every 5 years). Results shown for United Kingdom. Other scenarios:
(1) £887 / QALY
(2) Cost saving
(3)  Cost saving
(4) £48 / QALY
(5) £1,577 / QALY
(6) £6,684 / QALY</t>
  </si>
  <si>
    <t>The NHS Health Check is a health check-up for adults in England aged 40-74. It's designed to spot early signs of stroke, kidney disease, heart disease, type 2 diabetes or dementia.
Cost per QALY of NHS health check programme is £3,000.</t>
  </si>
  <si>
    <t>Screening for diabetes and impaired glucose tolerance followed by lifestyle interventions (e.g. exercise, diet): £6,242 / QALY
Screening for type 2 diabetes: £14,150 / QALY
Screening for diabetes and impaired glucose tolerance followed by pharmacological interventions (metformin): £7,023 / QALY</t>
  </si>
  <si>
    <t>£6,242-£14,150</t>
  </si>
  <si>
    <t xml:space="preserve">Targeted case finding for cardiovascular disease (CVD) prevention.
The optimum strategy is to rank patients by prior risk estimate and invite 8% of those who are assessed as being at highest CVD risk (those at ≥12.76% predicted 10-year CVD risk). (£9,257 / QALY). </t>
  </si>
  <si>
    <r>
      <t xml:space="preserve">
 In probabilistic sensitivity analyses,
ODPP was cost-effective in 20–58% of model iterations using an acceptability threshold of $20,000</t>
    </r>
    <r>
      <rPr>
        <b/>
        <sz val="11"/>
        <rFont val="Arial"/>
        <family val="2"/>
      </rPr>
      <t>.</t>
    </r>
  </si>
  <si>
    <t xml:space="preserve">Lipid monitoring. Annual testing to monitor blood lipids (fat and cholesterol) was both effective and saved money long term in by reducing cardiovascular disease in people with or without known heart disease. This applied to primary prevention in people with 10%, 15% or 20% risk of cardiovascular disease (CVD) over ten years according to the Qrisk score and those already with heart disease. </t>
  </si>
  <si>
    <t>added info on intervention description - ADM, 0-5, 5-9, HP, NHS HC</t>
  </si>
  <si>
    <t>Early intensive treatment in people with screen-detected diabetes.
Given conventional thresholds of cost-effectiveness, the intensive treatment delivered in ADDITION was not cost-effective compared with routine care for individuals with screen-detected diabetes in the UK. The intervention may be cost-effective if it can be delivered at reduced cost.</t>
  </si>
  <si>
    <t>Using a risk score such as the Leicester Practice Database Score (LPDS) for pre-screening to prioritise screening for Type 2 diabetes appears to be more cost-effective than using a random capillary glucose (RCG) test to identify individuals with the highest risk of diabetes who should undergo blood testing.</t>
  </si>
  <si>
    <t>The cost per QALY of multi-component small scale diabetes prevention is £562.</t>
  </si>
  <si>
    <t>Representative sample of the England and Wales population using over 15,000 individuals</t>
  </si>
  <si>
    <t>Effectiveness: the quit rates among patients who want to quit and take up a referral are between 15% and 20% compared to 3% to 4% among those without a referral.
Costs: PHE estimates total costs of the intervention to be more than c£690 per successful quitter. Of these, the NHS could incur a one-off c£190 per successful long-term
quitter from delivery of nicotine replacement therapy and follow-up, and could face a potential one-off investment from setting up an electronic referral system (ERS) of c£11k and annual ERS maintenance costs of c£3.5k. Local authorities could incur £500 of costs per successful quitter, through commissioning local stop smoking services.</t>
  </si>
  <si>
    <t>Offering very brief advice (VBA)  to all hospitalised patients, regardless of admitting diagnosis. 
Cumulative minimum of c£119 per quitter over the first 5 years to NHS (excluding ERS investment). Cost savings assume costs are phased and excluding the ERS investment. The intervention can become net saving in year 5 after implementation. NB this is a conservative estimate.</t>
  </si>
  <si>
    <t>Three minutes of a GPs
time, assessing current and past smoking behaviour, providing information on consequences of smoking, providing options for support, providing advice on stop smoking medications.
Dominant - intervention is less costly and more effective than comparator.</t>
  </si>
  <si>
    <t>Nicotine replacement therapy (NRT) for five weeks, five pharmacist, consultations, five behavioural clinic visits.
Dominant - intervention is less costly and more effective than comparator.</t>
  </si>
  <si>
    <t>Four minutes of a GPs time, assessing current and past smoking behaviour, providing information on consequences of smoking, providing options for support, providing advice on stop smoking medications; self-help material.
Dominant - intervention is less costly and more effective than comparator.</t>
  </si>
  <si>
    <t>Four minutes of a GPs time, assessing current and past smoking behaviour, providing information on consequences of smoking, providing options for support, providing advice on stop smoking medications; self-help material; NRT; clinic costs. 
Dominant - intervention is less costly and more effective than comparator.</t>
  </si>
  <si>
    <t>8 weeks of bupropion; self-help material; 5- 10 min scripted call. 
Dominant - intervention is less costly and more effective than comparator.</t>
  </si>
  <si>
    <t>Nicotine replacement therapy (NRT) for five weeks, five group visits. 
Dominant - intervention is less costly and more effective than comparator.</t>
  </si>
  <si>
    <t>Nicotine replacement therapy (NRT) for five weeks, five clinic visits. 
Dominant - intervention is less costly and more effective than comparator.</t>
  </si>
  <si>
    <t>Nicotine replacement therapy (NRT) for five weeks. 
Dominant - intervention is less costly and more effective than comparator.</t>
  </si>
  <si>
    <t xml:space="preserve">Seven minutes of a GPs time; self-help material; nicotine replacement therapy (NRT). 
The cost per QALY is estimated at £984. </t>
  </si>
  <si>
    <t>Brief intervention (5 minutes plus NRT)</t>
  </si>
  <si>
    <t>5 minutes of a GP's time. The addition of nicotine replacement therapy (NRT) to the brief intervention assumes 5 minutes of brief advice and advice to use NRT, following which 50% of patients will use a full NRT course and 50% will use NRT for one month.
The cost per QALY is estimated at £2,110, based on 8 estimates ranging from £1,664-£4,833.</t>
  </si>
  <si>
    <t xml:space="preserve"> Improving uptake of smoking cessation interventions among the general population.
The cost / QALY is estimated at £50, based on 8 estimates ranging from £0-£437.</t>
  </si>
  <si>
    <t>Mass-media campaign to prevent the uptake of smoking by children and young people is estimated to have a cost / QALY of £49.</t>
  </si>
  <si>
    <t xml:space="preserve"> Improving uptake of smoking cessation interventions among the general population.
The cost / QALY is estimated at £91.</t>
  </si>
  <si>
    <t xml:space="preserve"> Improving uptake of smoking cessation interventions among the general population.
The cost per QALY is based on 3 estimates, ranging from dominated to £360.</t>
  </si>
  <si>
    <t xml:space="preserve"> Improving uptake of smoking cessation interventions among the general population.
The cost per QALY is based on 3 estimates ranging from £144-£880.</t>
  </si>
  <si>
    <t xml:space="preserve"> Improving uptake of smoking cessation interventions among the general population.
The cost per QALY is based on 4 estimates ranging from dominated to £4,178.</t>
  </si>
  <si>
    <t>Free NRT: The cost per QALY gained of free NRT is dominated  to £671 when targeted at the general population and £1,627 when targeted at disadvantaged groups. 
The cost per QALY are based on 2 estimates (for general population and disadvantaged groups).</t>
  </si>
  <si>
    <t>5 minutes of a GP's time, assessing current and past smoking behaviour, providing information on consequences of smoking, providing options for support, providing advice on stop smoking medications, plus self-help material.
The cost / QALY is estimated at £732, based on 8 estimates ranging from £577-1,677.</t>
  </si>
  <si>
    <t>5 minutes of a GP's time, assessing current and past smoking behaviour, providing information on consequences of smoking, providing options for support, providing advice on stop smoking medications, plus self-help material.
The cost / QALY is estimated at £370, based on 8 estimates ranging from £292-847.</t>
  </si>
  <si>
    <t xml:space="preserve"> Improving uptake of smoking cessation interventions among the general population.
The cost per QALY is estimated at £1,399.
</t>
  </si>
  <si>
    <t xml:space="preserve"> Improving uptake of smoking cessation interventions among the general population.
The cost per QALY is estimated at £1,564.</t>
  </si>
  <si>
    <t xml:space="preserve"> Improving uptake of smoking cessation interventions among the general population.
The cost per QALY is estimated at £1,593.</t>
  </si>
  <si>
    <t>Preventing the uptake of smoking by children and young people.
The cost per QALY is estimated at £1,690.</t>
  </si>
  <si>
    <t xml:space="preserve"> Improving uptake of smoking cessation interventions among the general population.
The cost per QALY is estimated at £1,837.</t>
  </si>
  <si>
    <t xml:space="preserve"> Improving uptake of smoking cessation interventions among the general population.
The cost per QALY is estimated at £2,089.</t>
  </si>
  <si>
    <t xml:space="preserve"> Improving uptake of smoking cessation interventions among the general population.
The cost per QALY is estimated at £2,686, based on 2 estimates ranging from £2,535-£2,837.</t>
  </si>
  <si>
    <t>Identifying and supporting people most at risk of dying prematurely.
The cost per QALY is estimated at £4,260.</t>
  </si>
  <si>
    <t xml:space="preserve"> Improving uptake of smoking cessation interventions among the general population.
The cost per QALY is estimated at £3,151, based on 2 estimates ranging from £1,030-£5,272.</t>
  </si>
  <si>
    <t>Identifying and supporting people most at risk of dying prematurely.
The cost per QALY is estimated at £4,346. based on 2 estimates ranging from £4,000-£4,692.</t>
  </si>
  <si>
    <t xml:space="preserve"> Improving uptake of smoking cessation interventions among the general population.
The cost per QALY is estimated at £4,892,  based on 4 estimates ranging from £1,648–£8,234.</t>
  </si>
  <si>
    <t>Identifying and supporting people most at risk of dying prematurely.
The cost per QALY is estimated at £5,992.</t>
  </si>
  <si>
    <t>Drink-driving legislation and enforcement (via random breath-testing campaigns) has a cost per DALY saved of $859 for European countries.</t>
  </si>
  <si>
    <t>School-based interventions to prevent the uptake of smoking.
The cost per QALY is estimated at £7,200, based on 4 estimates ranging from £2,030–£12,700.</t>
  </si>
  <si>
    <t>For pedometer interventions (long term), for a scenario where the ongoing cost per participant is around £25, the cost per QALY is estimated to be of the order of £1,700 (continuous risk function), or £7,800 (step risk function). With ongoing costs of around £9 per participant, results are estimated at £750 per QALY (continuous risk function), or £3,400 per QALY (step risk function).</t>
  </si>
  <si>
    <t>Cost of uptake pp. = £55
Annual decay in effectiveness = 40%
Change in physically active = 22.4%</t>
  </si>
  <si>
    <t>v2</t>
  </si>
  <si>
    <t>added info on intervention description - S&amp;T, Obesity</t>
  </si>
  <si>
    <t>removed  Weight management interventions during pregnancy</t>
  </si>
  <si>
    <t xml:space="preserve">This figure has been derived based on figures reported in the literature, which may be optimistic. Further, the standardised figure is sensitive to changes in the assumption related to the number of new trips per user. Nevertheless, on balance, cautious support could be given to an economic case related to increasing cycling levels in the general population.
Benefits included in this analysis are health benefit, comfort and insecurity, time travel benefit and short-term absenteeism. Capital and maintenance costs have been included in this analysis. </t>
  </si>
  <si>
    <t>The cost per QALY is estimated at £10,445, based on 4 estimates ranging from £2,640-£25,150.</t>
  </si>
  <si>
    <t xml:space="preserve">The cost per QALY is estimated at £27,570.
Best case £15,000 to worst case £151,000
The effectiveness reviews undertaken did not report any evidence with regard to the effectiveness of dance classes. However, NICE sought to investigate the potential cost-effectiveness of this intervention, where in the absence of such evidence it would be necessary to make a number of assumptions in order to estimate both the costs and benefits of the intervention. </t>
  </si>
  <si>
    <t>The cost per QALY is estimated at £4,007. The cost per QALY under ‘best case’ and ‘worst case’ scenarios was estimated to be £2,431.51 and £26,306.42, respectively.</t>
  </si>
  <si>
    <t>The cost per QALY is estimated at £40,500. 
We estimated the cost per additional attendance at a free swimming programme, informed by the costs and increased levels of attendance that had been estimated to have occurred in the aforementioned Glasgow programme. 
In order to estimate the level of increase in physical activity associated the free swimming we estimated the proportion of children who undertook additional physical activity, and the additional level of physical activity that would be associated with each free swimming session.</t>
  </si>
  <si>
    <t>The cost per QALY is estimated at £1,665.
Currently, Orlistat is the only licensed medication for the management of obesity.
In children aged 12 years and older, treatment with Orlistat is recommended only if physical comorbidities (such as orthopaedic problems or sleep apnoea) or severe psychological comorbidities are present. Treatment should be started in a specialist paediatric setting, by multidisciplinary teams with experience of prescribing in this age group.</t>
  </si>
  <si>
    <t xml:space="preserve">The cost per QALY is estimated at £562.
12-week weight management programme with four main components: 1. A 40min appointment at a men’s health clinic 2. A pre-programme assessment: 20min individual appointments 3. The weight management programme: Each group (max 12 men) met over 3 months, in 12 1- hour evening sessions ... Modelled on an initiative from NHS Forth Valley dietitians 4. Post-programme meetings: Held quarterly at Camelon (for 4 years?)
</t>
  </si>
  <si>
    <t>The cost per QALY is estimated at £878.
Two to three hour group session for 10 weeks. Informal educational session covering food hygiene, nutrition and food tasting and a standardised two hour food skills intervention programme delivered over seven weeks. Delivered by CookWell project worker/facilitator
(assumed to be health promotion professional).</t>
  </si>
  <si>
    <t>Intervention is not cost-effective. Estimated effects on markers of CVD risk and diabetes are not significant enough to result in a reduction in events.</t>
  </si>
  <si>
    <t>The cost per QALY is estimated at £102,112. 
The current clinical and economic evidence base suggests that e-learning devices designed to promote dietary behaviour change will not produce clinically significant changes in dietary behaviour and are at least as expensive as other individual behaviour change interventions.</t>
  </si>
  <si>
    <t>See summary</t>
  </si>
  <si>
    <t>This is a hypothetical intervention of a GP referred intervention costing £353 to reduce weight in children.  Reduction in BMI assumed to carry on into later life which will then decrease the incidence of various obesity related disease.
Cost per QALY ranged from £200-£15,800, depending on assumptions used.</t>
  </si>
  <si>
    <t xml:space="preserve">The cost per QALY ranges from dominant (less costly and more effective than comparator) to £25,845. 
Behavioural weight management schemes for adults: 6-12 month programme. </t>
  </si>
  <si>
    <t xml:space="preserve">Assumed 0.3 BMI loss (about 0.8kg Loss) costing £100 per head.
Reduction in BMI, assumed to carry on into later life -&gt; decreased incidence of various obesity-related diseases
Uses cost consequence analysis to examine effect of various rates of weight regain. General consideration is that the slower the weight regain rate the more cost effective and interventions are generally most cost effective in older, heavier populations.  </t>
  </si>
  <si>
    <t xml:space="preserve">The cost per QALY ranges from dominant (less costly and more effective than comparator) to £5,452. 
Behavioural weight management schemes for adults: &gt;12 month programme. </t>
  </si>
  <si>
    <t xml:space="preserve">Assumed 0.6 BMI loss (about 1.6kg Loss) for life, costing £100 per head.
Reduction in BMI, assumed to carry on into later life -&gt; decreased incidence of various obesity-related diseases
Uses cost consequence analysis to examine effect of various rates of weight regain. General consideration is that the slower the weight regain rate the more cost effective and interventions are generally most cost effective in older, heavier populations.  </t>
  </si>
  <si>
    <t xml:space="preserve">Assumed 1 BMI loss (about 2.6 kg loss) for life, costing £100 per head.
Reduction in BMI, assumed to carry on into later life -&gt; decreased incidence of various obesity-related diseases
Uses cost consequence analysis to examine effect of various rates of weight regain. General consideration is that the slower the weight regain rate the more cost effective and interventions are generally most cost effective in older, heavier populations.  </t>
  </si>
  <si>
    <t>The cost per QALY ranges from dominant (less costly and more effective than comparator) to £2,897. 
Behavioural weight management schemes for adults involving weight loss via group sessions.</t>
  </si>
  <si>
    <t>The cost per QALY ranges from dominant (less costly and more effective than comparator) to £832. 
Behavioural weight management schemes involving supervision.</t>
  </si>
  <si>
    <t xml:space="preserve">Assumed BMI loss of 3 kg/m2 corresponding to a weight loss of approximately 7.8kg, costing £100 per head.
Reduction in BMI, assumed to carry on into later life -&gt; decreased incidence of various obesity-related diseases.
Uses cost consequence analysis to examine effect of various rates of weight regain. General consideration is that the slower the weight regain rate the more cost effective and interventions are generally most cost effective in older, heavier populations.  </t>
  </si>
  <si>
    <t>Largest average loss for behavioural weight management schemes</t>
  </si>
  <si>
    <t>The cost per QALY ranges from dominant (less costly and more effective than comparator) to £200.</t>
  </si>
  <si>
    <t xml:space="preserve">Intervention: One 30 minute health promotion consultation and one 30 minute follow-up telephone call consultation conducted by an occupational nurse. 
The total estimated NHS health cost saving results from averting cases of CHD, stroke and type 2 diabetes through implementing a workplace physical activity programme for a cohort of 1,000 sedentary employees.
However, there is considerable uncertainty surrounding the health cost saving estimates. </t>
  </si>
  <si>
    <t>The cost per QALY is estimated at £7,300.
A thrice weekly community-based walking programme, delivered to sedentary older people who are able to walk without assistance (Fisher &amp; Li, 2004; Cluster RCT+).</t>
  </si>
  <si>
    <t>Effect of exercise on mental well-being was found (standardised effect size = 0.27; CI = 0.14–0.40).</t>
  </si>
  <si>
    <t>The cost per QALY is estimated at £12,100.</t>
  </si>
  <si>
    <t>In 2011, food and drink sales in public sector organisations accounted for 6.5% of total sales in the food service sector. At £2.1bn, this provides a large-scale opportunity with significant purchasing power to influence the diets of those who use these services.
While higher catering standards cost more in some areas, the Hull and East Yorkshire Hospital NHS Trust achieved savings of £60k per annum by producing some meals in-house, which have been reinvested in wider catering improvements.</t>
  </si>
  <si>
    <t>Brief advice and one motivational interview with a health visitor, compared to just brief advice. 
Negative cost / QALY implies the intervention is cost saving.</t>
  </si>
  <si>
    <t>user guide changes</t>
  </si>
  <si>
    <t>v3</t>
  </si>
  <si>
    <t xml:space="preserve"> To produce PDF reports of selected interventions (see example report):</t>
  </si>
  <si>
    <t>amended user guide print area</t>
  </si>
  <si>
    <t>Select for report</t>
  </si>
  <si>
    <t>renamed "for output" to "Select for report"</t>
  </si>
  <si>
    <t>front end re-jig and amends to content</t>
  </si>
  <si>
    <t>Dental interventions to prevent dental caries and full mouth reconstructions. All of the dental interventions evaluated were shown to produce cost savings. However, the level of that cost saving is dependent on the intervention chosen.</t>
  </si>
  <si>
    <t>Dental interventions to prevent dental caries.
Full water fluoridation to New York City: ROI = 9.99:1; intervention is cost-saving.
Fluoride varnish to pre-schoolers receiving Medicaid: ROI = 0.29:1
Tooth brushing: ROI = 1.48:1; intervention is cost-saving.</t>
  </si>
  <si>
    <t>Ahern AL, Wheeler GM, Aveyard P, Boyland EJ, Halford JCG, Mander AP, et al. Extended and standard duration weight-loss programme referrals for adults in primary care (WRAP): a randomised controlled trial. The Lancet.389(10085):2214-25.</t>
  </si>
  <si>
    <t>Intervention - current practice (12-week referral); brief advice and self-help materials.</t>
  </si>
  <si>
    <t>1267 eligible participants were randomly assigned to the brief intervention (n=211), the 12-week programme (n=528), and the 52-week programme (n=528).</t>
  </si>
  <si>
    <t>Extended (52 week) and standard duration (12 week) weight-loss programmes for adults</t>
  </si>
  <si>
    <t>2 / 25 years</t>
  </si>
  <si>
    <t>Cost: £18.50 (brief intervention, incl. GP referral time); £60 (12-week programme); £195 (52-week programme).
At 12-month follow-up (primary outcome), 57% of participants in the 52-week programme had lost 5% or more of weight, compared with 42% in the 12-week programme and 25% in the brief intervention.
Over 2 years, the incremental cost-effectiveness ratio (ICER; compared with brief intervention) was £159 per kg lost for the 52-week programme and £91 per kg for the 12-week programme. 
Over 25 years, the 12-week programme resulted in 623 fewer incident cases of disease, 643 additional QALYs, and a cost-saving of approximately £268,000 per 100,000 individuals. By comparison with the 12-week programme, the 52-week programme resulted in 1,786 fewer incident cases of disease and generated 1,282 additional QALYs, at a cost of approximately £4.9 million per 100,000 individuals.</t>
  </si>
  <si>
    <t>Cost-effectiveness analysis; Cost-utility analysis</t>
  </si>
  <si>
    <t xml:space="preserve"> To clear selection of interventions:</t>
  </si>
  <si>
    <t>4-15% of new infections averted. A quarter as many tests are required to diagnose people living with HIV.£0.75 per test; 42,900 QALYs gained.</t>
  </si>
  <si>
    <t>Targeted annual HIV testing (annual testing for men who have sex with men (MSM), people who inject drugs (PWID), people from HIV-endemic countries and one-time testing to other adults) prevents infections and requires less tests to diagnose people living with HIV.</t>
  </si>
  <si>
    <t>Targeted annual HIV ( (annual testing for men who have sex with men (MSM), people who inject drugs (PWID), people from HIV-endemic countries and one-time testing to other adults) and anti-retroviral therapy (ART) access prevents infections and requires less tests to diagnose people living with HIV.</t>
  </si>
  <si>
    <t>23% of new infections averted. £0.75 per test; 145,000 QALYs gained.</t>
  </si>
  <si>
    <t>NICE types of economic analysis</t>
  </si>
  <si>
    <t>Lifestyle weight management services</t>
  </si>
  <si>
    <t>Brown M, Marsh T, Rtveladze K, Fordham R, Suhrcke M, Turner D, et al., editors. Managing overweight and obesity among children Report on Economic Modelling and Cost Consequence Analysis 2013: NICE, UK Health Forum, University of East Anglia.</t>
  </si>
  <si>
    <t>The range in cost-effectiveness of the intervention relates to:
- Gender of participants
- BMI of participant
- Effectiveness of intervention ranging from -0.5%  to 5% reduction in BMI</t>
  </si>
  <si>
    <t>This is a hypothetical intervention of a family intervention costing £651 to reduce weight in children.  Reduction in BMI assumed to carry on into later life which will then decrease the incidence of various obesity related disease.
The cost per QALY ranges from £1,000 to £29,200, depending on inputs and assumptions used.</t>
  </si>
  <si>
    <t>This is a hypothetical intervention of a residential intervention costing £1,980 to reduce weight in children. Reduction in BMI assumed to carry on into later life which will then decrease the incidence of various obesity related disease.
The cost per QALY ranges from £4,200 to £89,400, depending on inputs and assumptions used.</t>
  </si>
  <si>
    <t>This is a hypothetical intervention of a family intervention costing £437 to reduce weight in children.  Reduction in BMI assumed to carry on into later life which will then decrease the incidence of various obesity related disease.
The cost per QALY ranges from £600 to £19,600, depending on inputs and assumptions used.</t>
  </si>
  <si>
    <t>Published PHE ROI tool</t>
  </si>
  <si>
    <t>v4</t>
  </si>
  <si>
    <t>Road Safety</t>
  </si>
  <si>
    <t>rearranged D&amp;O interventions</t>
  </si>
  <si>
    <t>amendments to D&amp;O interventions (typos)</t>
  </si>
  <si>
    <t>Walking buses for children and young people</t>
  </si>
  <si>
    <t>Free swimming for children and young people</t>
  </si>
  <si>
    <t>v5</t>
  </si>
  <si>
    <t>removed macro walking evidence £17 billion "Active Travel"</t>
  </si>
  <si>
    <t>Based on evidence from evaluations conducted by NICE (PH35)</t>
  </si>
  <si>
    <t>Based on evidence from evaluations conducted by NICE (PH41)</t>
  </si>
  <si>
    <t>Based on evidence from evaluations conducted by NICE (PH44)</t>
  </si>
  <si>
    <t>Based on evidence from evaluations conducted by NICE (PH17)</t>
  </si>
  <si>
    <t>Based on evidence from evaluations conducted by NICE (PH54)</t>
  </si>
  <si>
    <t>Based on evidence from evaluations conducted by NICE (PH13)</t>
  </si>
  <si>
    <t>Based on evidence from evaluations conducted by NICE (CG43)</t>
  </si>
  <si>
    <t>Based on evidence from evaluations conducted by NICE (PH8)</t>
  </si>
  <si>
    <t>Based on evidence from evaluations conducted by NICE (CG189)</t>
  </si>
  <si>
    <t>Based on evidence from evaluations conducted by NICE (PH27)</t>
  </si>
  <si>
    <t>Based on evidence from evaluations conducted by NICE (PH53)</t>
  </si>
  <si>
    <t>Based on evidence from evaluations conducted by NICE (PH47)</t>
  </si>
  <si>
    <t>Based on evidence from evaluations conducted by NICE (PH26).</t>
  </si>
  <si>
    <t>Plonka (Link #2)</t>
  </si>
  <si>
    <t>added links to NICE guidance - further information</t>
  </si>
  <si>
    <t>Intervention to improve access to healthy food by opening a new food retail outlet.
Intervention is not cost-effective. Estimated effects on markers of CVD risk and diabetes are not significant enough to result in a reduction in events.</t>
  </si>
  <si>
    <t>C15</t>
  </si>
  <si>
    <t>C16</t>
  </si>
  <si>
    <t>C17</t>
  </si>
  <si>
    <t>C18</t>
  </si>
  <si>
    <t>Jit M, Stagg HR, Aldridge RW, White PJ, Abubakar I. Dedicated outreach service for hard to reach patients with tuberculosis in London: observational study and economic evaluation. BMJ : British Medical Journal. 2011;343.</t>
  </si>
  <si>
    <t>£6,400-£10,000</t>
  </si>
  <si>
    <t>Active Tuberculosis</t>
  </si>
  <si>
    <t>Cohort model of hard to reach individuals with active pulmonary tuberculosis screened or managed by the Find and Treat service</t>
  </si>
  <si>
    <t>The Find and Treat service for diagnosing and managing hard to reach individuals with active tuberculosis in London.
The incremental cost effectiveness of the Find and Treat service is estimated to be £6,400-£10,000 / QALY gained. Both the mobile screening unit (£18,000-£26,000 / QALY) and the case management component (£4,100-£6,800 / QALY) of the service seem to be cost effective, even in unfavourable (and highly unlikely) scenarios.</t>
  </si>
  <si>
    <t>Cost: Net cost of £1.4m / year (£1m = Find and Treat Service; £400k = treatment costs).
Outcomes: On average, the service identifies 16 and manages 123 active cases of tuberculosis each year in hard to reach groups in London. Under conservation assumptions, the service gains 220 QALYs (approx. 30 QALYs from screening; 190 from referrals).</t>
  </si>
  <si>
    <t>Robotham JV, Graves N, Cookson BD, Barnett AG, Wilson JA, Edgeworth JD, et al. Screening, isolation, and decolonisation strategies in the control of meticillin resistant Staphylococcus aureus in intensive care units: cost effectiveness evaluation. BMJ. 2011;343.</t>
  </si>
  <si>
    <t>Dynamic transmission model for theoretical population of patients on an intensive care unit</t>
  </si>
  <si>
    <t xml:space="preserve"> Meticillin resistant Staphylococcus aureus (MRSA)</t>
  </si>
  <si>
    <t>Jit M, Chapman R, Hughes O, Choi YH. Comparing bivalent and quadrivalent human papillomavirus vaccines: economic evaluation based on transmission model. BMJ. 2011;343.</t>
  </si>
  <si>
    <t>Human papillomavirus vaccine</t>
  </si>
  <si>
    <t>100 years</t>
  </si>
  <si>
    <t>Screening, isolation, and decolonisation strategies in the control of meticillin resistant Staphylococcus aureus (MRSA) in intensive care units.
For a willingness to pay of up to about £17,000 per QALY the approach to do nothing was favoured. Within the usual NHS willingness to pay range of £20,000 to £30,000, the best strategy was to isolate only those patients at high risk of carrying MRSA.</t>
  </si>
  <si>
    <t>Costs: Estimated costs included direct costs of the intervention, infection related treatment costs, and extra bed days and their associated opportunity costs
Health benefits (summarised by QALYs) were reduced morbidity (during an episode on the intensive care unit) and reduced mortality owing to avoided infections.
MRSA control strategies that use decolonisation (eliminate or suppress MRSA using topical antimicrobials) are likely to be cost saving in an intensive care unit setting provided resistance is lacking. All decolonisation strategies improved health outcomes and reduced costs. Universal decolonisation was most cost effective in the short-term, although targeted strategies may be preferred owing to the reduced risk of selecting for resistance.</t>
  </si>
  <si>
    <t>Evidence compares bivalent (stimulates immune response against 2 antigens) and quadrivalent (stimulates immune response against 4 antigens) human papillomavirus (HPV) vaccinations.
The quadrivalent vaccine seems to be cost-effective under most scenarios (£12,000-£19,000 / QALY); bivalent vaccination is less cost-effective, ranging from £16,000-£25,000 / QALY. Under the most pessimistic scenarios, both vaccination may not be cost-effective at £20k threshold, quadrivalent (£22k) bivalent (£41k).
The quadrivalent vaccine may have an advantage over the bivalent vaccine in reducing healthcare costs and QALYs lost. The bivalent vaccine may have an advantage in preventing death due to cancer. However, considerable uncertainty remains about the differential benefit of the two vaccines.</t>
  </si>
  <si>
    <t>Transmission model for males and females aged 12–75 years.</t>
  </si>
  <si>
    <t>Costs: vaccination = £84.50 per dose; administration = £28 per dose; screening = £54; treating anogenital warts = £112; per cancer case = £15,000; Recurrent respiratory papillomatoses = £4,900 (adults); £30,000 (child)
QALY loss: cervical cancer diagnosis (0.26-0.33)
The price difference per dose ranges from a median of £19 (interquartile range £12–£27) to £35 (£27–£44)</t>
  </si>
  <si>
    <t>Postma MJ JM, Rozenbaum MH, Standaert B, Tu H-A, Hutubessy RC. Comparative review of three cost-effectiveness models for rotavirus vaccines in national immunization programs; a generic approach applied to various regions in the world. 2011;9(84).</t>
  </si>
  <si>
    <t>€40,041-€44,263; €56,656-€57,897</t>
  </si>
  <si>
    <t>Hypothetical scenario presented from 3 models, representing developed countries in the European setting.
The three models provided a cost per QALY of €40,041-€44,263 (from a societal perspective) and €56,656-€57,897 (from a healthcare perspective).</t>
  </si>
  <si>
    <t xml:space="preserve">For further information on key figures and outcomes on European scenario, see original source (Tables 3-10).
</t>
  </si>
  <si>
    <t>Original source - Table 2</t>
  </si>
  <si>
    <t>Jit M, Mangen M-JJ, Melliez H, Yazdanpanah Y, Bilcke J, Salo H, et al. An update to “The cost-effectiveness of rotavirus vaccination: Comparative analyses for five European countries and transferability in Europe”. Vaccine. 2010;28(47):7457-9.</t>
  </si>
  <si>
    <t>C19</t>
  </si>
  <si>
    <t>England and Wales</t>
  </si>
  <si>
    <t>€ EUR 2006</t>
  </si>
  <si>
    <t>€76,000-€110,000</t>
  </si>
  <si>
    <t>Cost: €27.50-€35 per dose</t>
  </si>
  <si>
    <t xml:space="preserve"> Rotavirus vaccination in England and Wales.
Evidence concludes that the vaccination is not cost-effective and has an ICER of €76,000-€110,000 (lower estimate assumes no waning of vaccine protection).</t>
  </si>
  <si>
    <t>public health protection - 2011 papers added</t>
  </si>
  <si>
    <t>Introducing pedestrian crossings and other pedestrian facilities for 579 schemes.
The net first year rate of return is 246%.</t>
  </si>
  <si>
    <t>Using a 15-year time horizon, the estimated cost per quality-adjusted life year (QALY) gained was £44,000. Using a lifetime horizon (the usual measure of cost effectiveness) it was £9,000.</t>
  </si>
  <si>
    <t>v6</t>
  </si>
  <si>
    <t>The economic model estimated that interventions costing £100 per person would usually be cost effective from a public sector perspective. This would be the case if a group of overweight or obese children could be moved to a lower average weight trajectory and this was maintained throughout life. (This is true for a weight loss of as little as 0.5%). Interventions that permanently lower weight trajectory by an average 3% are estimated to be cost effective, if their average cost is less than £1000 per child.</t>
  </si>
  <si>
    <t xml:space="preserve">The British Psychological Society, The Royal College of Psychiatrists. Alcohol-use disorders: The NICE guideline on diagnosis, assessment and management of harmful
drinking and alcohol guidance. National Clinical Practice Guideline 115. NICE; 2011. </t>
  </si>
  <si>
    <t>Standard Care:
 12-month mean costs per 1000 patients: £1,664,382
QALYs per 1000 patients: 656
Naltrexone:
12-month mean costs per 1000 patients: £1,797,737
QALYs per 1000 patients: 680
Acamprosate:
12-month mean costs per 1000 patients: £1,802,982m
QALYs per 1000 patients: 683</t>
  </si>
  <si>
    <t>Hypothetical cohort of 1000 patients</t>
  </si>
  <si>
    <t>Naltrexone is a drug that is used in the management of alcohol dependence by
decreasing the desire for alcohol, heavy drinking and the volume and frequency of
drinking occasions.
It has an ICER of £5,395 per QALY versus standard care and was extendedly dominated (i.e. less cost-effective) versus acamprosate.</t>
  </si>
  <si>
    <t>£1.86:£1</t>
  </si>
  <si>
    <t>A hospital-led alcohol assertive outreach service, which works with a cohort of the top 30 patients (frequent attenders) with the highest levels of alcohol-related admissions over a 6-month period. Each 6 months, this cohort is refreshed. The team also works proactively with any patient, who has had 2 alcohol-related admissions within a short period of time, the so-called ‘fast risers’.
The service generates a return of £1.86 for every £1.00 invested.</t>
  </si>
  <si>
    <t>No intervention - standard care</t>
  </si>
  <si>
    <t>Moriarty KJ. Alcohol Care Teams: reducing acute hospital admissions and improving quality of care. 2014. NICE Quality and Productivity: Proven Case Study. Provided by the British Society of Gastroenterology and Bolton NHS Foundation Trust.</t>
  </si>
  <si>
    <t>Work with the first top 30 cohort resulted in a 59% reduction in emergency department attendances in the three-month period post-intervention, when compared with the three-month period before intervention (average monthly attendances were reduced from 120 to 49). There was also a 66% reduction in average monthly hospital admissions (50 to 17).
Annual service cost is £300,000, liberating two to three hospital beds and amounting to £556,500 in benefits. This does not take into account benefits from prevented admissions in the 'fast riser' population, since these cannot be measured. Other wider savings that would come from these alcohol interventions include improving the quality of life of the patients, reducing mortality and clinical accidents, as well as improved outpatient care, teaching and training.</t>
  </si>
  <si>
    <t>3 months</t>
  </si>
  <si>
    <t>Published NICE evidence</t>
  </si>
  <si>
    <t xml:space="preserve">Frequent attenders / 'fast risers' in Salford. </t>
  </si>
  <si>
    <t>Drink-driving enforcement (via breathalysing)</t>
  </si>
  <si>
    <t>Shults RA, Elder RW, Sleet DA, Nichols JL, Alao MO, Carande-Kulis VG, et al. Reviews
of evidence regarding interventions to reduce alcohol-impaired driving. Am J Prev Med.
2001 Nov;21(4, Supplement 1):66–88.</t>
  </si>
  <si>
    <t>$ USD 1997</t>
  </si>
  <si>
    <t>$2-$57:$1</t>
  </si>
  <si>
    <t xml:space="preserve"> All showed that the economic benefits of the interventions were greater than the costs, with benefit-cost ratios ranging from 2:1 to 57:1. Costs included the costs of operation and management, the driver’s time and media advertising and publicity. Benefits included potential averted crash costs such as healthcare and ambulance costs, police and court expenditures, property damage and productivity losses, revenues generated by the programme such as, police fines and towing fees and the monetary value of averted deaths. 
Not all studies included the same components which in part explain the differences in estimates.
</t>
  </si>
  <si>
    <t xml:space="preserve"> Hypothetical cohort of 1000 patients</t>
  </si>
  <si>
    <t>Coping and skills training  tries to strengthen the patient’s skills in coping with situations associated with a high risk of drinking.
Net savings were estimated at £274,008.</t>
  </si>
  <si>
    <t xml:space="preserve">Månsdotter AM, Rydberg MK, Wallin E, Lindholm LA, Andréasson S. A cost-effectiveness
analysis of alcohol prevention targeting licensed premises. Eur J Public Health. 2007
Dec;17(6):618–23. </t>
  </si>
  <si>
    <t>A multi-part programme in Stockholm combining community mobilization, training of responsible beverage service (RBS) which means not serving alcohol to intoxicated and underage patrons, and stricter enforcement of existing alcohol laws.
A cost-effectiveness analysis of the programme showed that the
intervention saved €39 for every €1 invested.</t>
  </si>
  <si>
    <t>Healthcare savings, QALY gains for service users, criminal justice system, productivity gains</t>
  </si>
  <si>
    <t>Sweden</t>
  </si>
  <si>
    <t xml:space="preserve"> € EUR</t>
  </si>
  <si>
    <t>Analysis is based on effectiveness study, reporting a 29% reduction in police-reported violence.
The overall cost of the programme was estimated at €796,000 (mostly administration and training costs) and the average cost of a single violent crime was estimated
to be €19,049, resulting in an overall saving of €31.3 million relating to savings to:
- the judicial system (78%)
- production losses (15%)
- health care issues (5%)
- other damages (2%)
The average loss of health state weighting among the victims at 0.09 translates into 236 gained QALYs for society as a whole.</t>
  </si>
  <si>
    <t>€39: €1</t>
  </si>
  <si>
    <t>Multicomponent community programmes</t>
  </si>
  <si>
    <t>Identification and brief advice (IBA) in primary care settings</t>
  </si>
  <si>
    <t>v7</t>
  </si>
  <si>
    <t>added alcohol evidence</t>
  </si>
  <si>
    <t>Alcohol Misuse</t>
  </si>
  <si>
    <t>Drug Misuse</t>
  </si>
  <si>
    <t>Specialist drugs misuse services for children and young people</t>
  </si>
  <si>
    <t>I26</t>
  </si>
  <si>
    <t>I27</t>
  </si>
  <si>
    <t>I28</t>
  </si>
  <si>
    <t>I29</t>
  </si>
  <si>
    <t>I30</t>
  </si>
  <si>
    <t>I31</t>
  </si>
  <si>
    <t>I32</t>
  </si>
  <si>
    <t>I33</t>
  </si>
  <si>
    <t>I34</t>
  </si>
  <si>
    <t>I35</t>
  </si>
  <si>
    <t>I39</t>
  </si>
  <si>
    <t>I40</t>
  </si>
  <si>
    <t>J13</t>
  </si>
  <si>
    <t>J14</t>
  </si>
  <si>
    <t>J15</t>
  </si>
  <si>
    <t>J16</t>
  </si>
  <si>
    <t>J17</t>
  </si>
  <si>
    <t>J18</t>
  </si>
  <si>
    <t>K1</t>
  </si>
  <si>
    <t>K2</t>
  </si>
  <si>
    <t>K3</t>
  </si>
  <si>
    <t>K4</t>
  </si>
  <si>
    <t>K5</t>
  </si>
  <si>
    <t>K6</t>
  </si>
  <si>
    <t>K7</t>
  </si>
  <si>
    <t>K8</t>
  </si>
  <si>
    <t>K9</t>
  </si>
  <si>
    <t>K10</t>
  </si>
  <si>
    <t>K11</t>
  </si>
  <si>
    <t>School based group education for increasing rates of condom use and reducing STIs and unwanted pregnancy.
The intervention involved weekly lessons following a health curriculum that highlights the impacts of drug and alcohol
use, violence and sexual behaviour on health. The curriculum was developed throughout with input from students,
teachers and parents. Teaching staff were trained to deliver the program.</t>
  </si>
  <si>
    <t>Public Health England. The Public Health Burden of Alcohol and the Effectiveness and Cost-Effectiveness of Alcohol Control Policies: An evidence review.</t>
  </si>
  <si>
    <t>Pokhrel S, Owen L, Lester-George A, Coyle K, Coyle D, West R, Trapero-Bertran M, Meads C. 2014. Tobacco and Control Return on Investment Tool v3. London: National Institute for Health and Care Excellence.</t>
  </si>
  <si>
    <t>Based on NICE ROI tool for tobacco control. Illustrative results for Sunderland are presented. 
Benefits include productivity losses, treatment costs and the value of health gains.
The ROI is much lower when a shorter timeframe is considered. Over 2 years, there is a return of £0.90 for every £1 spent; over 5 years, there is a return of £2.10 for every £1 spent.</t>
  </si>
  <si>
    <t>Over a lifetime, for every £1 spent in tobacco control services, the return will be £11.20  when impacts to the local economy, wider healthcare sector and QALYs are considered, equalling a net present value per smoker of £499.34.
The net present value is 1.9 when excluding QALYs (CBR = 1.9).</t>
  </si>
  <si>
    <t>B20</t>
  </si>
  <si>
    <t>B21</t>
  </si>
  <si>
    <t>B22</t>
  </si>
  <si>
    <t>£484,944 per 1,000 sedentary employees.</t>
  </si>
  <si>
    <t>£292,388 per 1,000 sedentary employees.</t>
  </si>
  <si>
    <t>£311,547 per 1,000 sedentary employees.</t>
  </si>
  <si>
    <t>Primary benefits  measured in mortality / morbidity due to influenza in high risk contacts. Secondary outcomes were also considered (e.g. reduced absenteeism due to vaccination).
Cost: £6.59 (vaccine), £0.70 (promotion)
Outcomes: absenteeism reduced by 3 hours pp.. 
Assumes 50% uptake.
Intervention is still considered highly cost-effective (£51-405 / life year gained) if absenteeism effects removed.</t>
  </si>
  <si>
    <t>FPG is a slightly cheaper test, but does not require an 8-hour overnight fast beforehand.
FPG = fasting plasma glucose test
HbA1c =  a glycated haemoglobin test</t>
  </si>
  <si>
    <t xml:space="preserve">CVD prevention and management to improve vascular health in communities.
At one year, the CVDPMI program is economically acceptable for patients at moderate (ICER of $47,439 per CV event avoided) to high risk for CV events. It is very cost ineffective for low risk groups. The program increased life expectancy at an incremental cost saving ($192) to the healthcare system over a ten year period. </t>
  </si>
  <si>
    <t>$47,439 per CV event avoided.</t>
  </si>
  <si>
    <t>v8</t>
  </si>
  <si>
    <t>formatting - so fits on 1 laptop screen (horizontally)</t>
  </si>
  <si>
    <t xml:space="preserve">  • As a tool that focuses on local delivery, it contains localised cost-effectiveness evidence (with the exception of vaccination evidence which, by nature, requires extensive coverage at a</t>
  </si>
  <si>
    <t xml:space="preserve">    national level in order to be cost-effective) and excludes interventions implementable at a national level. </t>
  </si>
  <si>
    <t>The standard (for example, another intervention or usual care) against which an intervention is compared in a study. The comparator can be</t>
  </si>
  <si>
    <t>no intervention.</t>
  </si>
  <si>
    <t>Cost-effectiveness analysis (CEA) compares the relative costs and outcomes (effects) of two or more courses of action. The benefits are</t>
  </si>
  <si>
    <t>option that is more effective and costs less is said to 'dominate' the alternative (see diagram in comment box).</t>
  </si>
  <si>
    <t>Also known as marginal analysis, it is an examination of the additional benefits of an activity compared to the additional costs incurred by</t>
  </si>
  <si>
    <t>that same activity.</t>
  </si>
  <si>
    <t>The difference in the change in mean costs in the population of interest divided by the difference in the change in mean outcomes in the</t>
  </si>
  <si>
    <t>A measure of the state of health of a person or group in which the benefits, in terms of length of life, are adjusted to reflect the quality of life.</t>
  </si>
  <si>
    <t>One QALY is equal to 1 year of life in perfect health. QALYs are calculated by estimating the years of life remaining for a patient following a</t>
  </si>
  <si>
    <t xml:space="preserve">alternative intervention, a dummy intervention (placebo) or no intervention at all. </t>
  </si>
  <si>
    <t>A form of modelling that evaluates the impact of alternative values for some of the model parameters and other aspects of the analytical</t>
  </si>
  <si>
    <t>Harris J, Mason J, Spalding J, Knuckley S, Jones L, Perkins C, et al. A review of the cost-effectiveness of individual level behaviour change interventions. Liverpool: North West</t>
  </si>
  <si>
    <t>Public Health Observatory. 2011.</t>
  </si>
  <si>
    <t>Public Health England. A systematic review and meta-analysis assessing the effectiveness of pragmatic lifestyle interventions for the prevention of type 2 diabetes mellitus in</t>
  </si>
  <si>
    <t>Key outcome measure of evidence</t>
  </si>
  <si>
    <t>Menu of Interventions</t>
  </si>
  <si>
    <t xml:space="preserve">  • Sources</t>
  </si>
  <si>
    <t xml:space="preserve">  • Glossary</t>
  </si>
  <si>
    <t xml:space="preserve">  • Evidence</t>
  </si>
  <si>
    <t xml:space="preserve">  • User Guide</t>
  </si>
  <si>
    <t>Contains economic evidence</t>
  </si>
  <si>
    <t xml:space="preserve"> Pages in this tool</t>
  </si>
  <si>
    <t>&gt;&gt;</t>
  </si>
  <si>
    <t>Glossary of economic terms</t>
  </si>
  <si>
    <t>Link to original source</t>
  </si>
  <si>
    <t>Yes</t>
  </si>
  <si>
    <r>
      <rPr>
        <b/>
        <sz val="9"/>
        <color theme="1"/>
        <rFont val="Arial"/>
        <family val="2"/>
      </rPr>
      <t xml:space="preserve"> </t>
    </r>
    <r>
      <rPr>
        <b/>
        <u/>
        <sz val="9"/>
        <color theme="1"/>
        <rFont val="Arial"/>
        <family val="2"/>
      </rPr>
      <t>User Guide</t>
    </r>
  </si>
  <si>
    <t>routine practice. 2015.</t>
  </si>
  <si>
    <t>v8a-v12</t>
  </si>
  <si>
    <t>macros do not work (but formatting updated on them)</t>
  </si>
  <si>
    <t>macros debugged</t>
  </si>
  <si>
    <t>Inclusion criteria: RCTs which looked at the effects of systematic risk assessment in healthy adults or those at high risk of developing CVD.
Data were also limited for cardiovascular risk factors (blood lipids and blood pressure) where there were some favourable effects with systematic risk assessment, but there were differences between studies and so results are not certain.
The evidence was generally of low or very low quality. Included studies were at some risk of bias, with four studies judged at high risk of bias. Bearing this in mind, the results of this review need to be interpreted cautiously.</t>
  </si>
  <si>
    <t>Healthcare savings, police and court expenditures, property damage, productivity loss, monetary value of averted deaths.</t>
  </si>
  <si>
    <t>max length for report checks</t>
  </si>
  <si>
    <t>Dominant - intervention is less costly and more effective than comparator.
Appears to be not only highly cost-effective but also possibly cost-saving (depending on assumptions around cost of maintenance intervention), giving cost saving and health benefits.</t>
  </si>
  <si>
    <t>List of secondary sources used to select evidence</t>
  </si>
  <si>
    <t>cleaned up version</t>
  </si>
  <si>
    <t xml:space="preserve">    and expanded over time.</t>
  </si>
  <si>
    <t xml:space="preserve">Assumed BMI loss of 2 kg/m2 corresponding to a weight loss of approximately 5.2kg, costing £100 per head.
Reduction in BMI, assumed to carry on into later life -&gt; decreased incidence of various obesity-related diseases
Uses cost consequence analysis to examine effect of various rates of weight regain. General consideration is that the slower the weight regain rate the more cost effective and interventions are generally most cost effective in older, heavier populations.  </t>
  </si>
  <si>
    <t>I36</t>
  </si>
  <si>
    <t>I37</t>
  </si>
  <si>
    <t>I38</t>
  </si>
  <si>
    <t>I41</t>
  </si>
  <si>
    <t>I42</t>
  </si>
  <si>
    <t>I43</t>
  </si>
  <si>
    <t>£2,394-£3,804</t>
  </si>
  <si>
    <t>For overweight or obese adults, referral to this open-group behavioural weight-loss programme for at least 12 weeks is dominant (more effective and cost-saving) compared to brief advice and self-help materials. 
A 52-week programme was cost-effective relative to the brief intervention (ICER £2,394 per QALY). It produces greater weight loss and other clinical benefits than a 12-week programme (ICER £3,804 per QALY) and, although it costs more, modelling suggests that the 52-week programme is cost-effective in the longer term.</t>
  </si>
  <si>
    <t xml:space="preserve">The incidence of avoidable AF-related strokes can be reduced by identifying people at risk who are not anticoagulated / sub optimally anticoagulated.
PHE estimates that the intervention would result in net savings to the system of c£1,453 per person p.a. by year 5. 
</t>
  </si>
  <si>
    <t>http://help.matrixknowledge.com/interventions/</t>
  </si>
  <si>
    <t>Cost: €38.36 (Synflorix) €49.91 (Prevenar13) per dose + €4.88 administration per person.
Outcomes: €22 million in savings, 143 QALYs gained, 41,513 episodes of acute otitis media (ear inflammation),  382 myringotomy procedures (treatment for ear inflammation) and 36,324 antibiotic prescriptions prevented.</t>
  </si>
  <si>
    <t>removed internal references</t>
  </si>
  <si>
    <t>changed name: CBR to BCR</t>
  </si>
  <si>
    <t>taken out internal secondary sources</t>
  </si>
  <si>
    <t>Effectiveness taken from Purath et al. 2004 USA.
When the estimated life-time cost savings are taken into account the intervention can be seen to be dominant, i.e. the intervention is both cost saving and results in a health benefit. It should be noted that the cost of the intervention is a one-off cost and life-time savings accrue over a number of years.
See table 2.12 in the report for the full summary of model assumptions.
The available effectiveness data were derived from non-UK studies and hence there could be generalisability issues.</t>
  </si>
  <si>
    <t>Based on evidence from evaluations conducted by NICE (PH48).</t>
  </si>
  <si>
    <t>3 years / lifetime</t>
  </si>
  <si>
    <t>Intervention - low intensity behavioural</t>
  </si>
  <si>
    <t>QALY gains for service users, healthcare savings, productivity gains</t>
  </si>
  <si>
    <t>Hypothetical cohort of 1,000 pregnant smokers (age at which individuals enter model varied depending on target population)</t>
  </si>
  <si>
    <t>Based on 1996 non-UK study.
(1) Cost per person: £21; QALY gains per person: 0.004; incremental effects at 12 months: 10%; healthcare cost savings: £7; productivity savings: £352.
(2) Cost per person: £21; QALY gains per person: 0.037; incremental effects at 12 months: 10%; healthcare cost savings: £44; productivity savings: £1,299.
(3)  Cost per person: £20; QALY gains per person: 0.113; incremental effects at 12 months: 10%; healthcare cost savings: £83; productivity savings: £1,299.
Short-term productivity savings (due to reduced absenteeism and time spent smoking during working hours) are presented, but not included in ICER results as they were estimated to be dominant for all results.</t>
  </si>
  <si>
    <t>High intensity behavioural aims to change patient behaviour through counselling or therapy, with extensive contact with staff and supplementary material to help quit, and were followed up for at least 4 weeks.
The intervention has an ICER (incremental cost - healthcare savings / incremental QALYs) of:
(1) Mother outcomes (3 years): £3,630
(2) Mother outcomes (lifetime): dominant
(3) Mother and children outcomes (lifetime): dominant 
Dominant - intervention is less costly and more effective than comparator.</t>
  </si>
  <si>
    <t>Based on 1997 non-UK study.
(1) Cost per person: £4; QALY gains per person: 0.003; incremental effects at 12 months: 9%; healthcare cost savings: £5; productivity savings: £277.
(2) Cost per person: £4; QALY gains per person: 0.031; incremental effects at 12 months: 9%; healthcare cost savings: £37; productivity savings: £1,092.
(3)  Cost per person: £5; QALY gains per person: 0.085; incremental effects at 12 months: 9%; healthcare cost savings: £64; productivity savings: £1,092.
Short-term productivity savings (due to reduced absenteeism and time spent smoking during working hours) are presented, but not included in ICER results as they were estimated to be dominant for all results.</t>
  </si>
  <si>
    <t>High intensity behavioural aims to change patient behaviour through counselling or therapy, with extensive contact with staff and supplementary material to help quit, and were followed up for at least 4 weeks.
The intervention has an ICER (incremental cost - healthcare savings / incremental QALYs) of:
(1) Mother outcomes (3 years): dominant
(2) Mother outcomes (lifetime): dominant
(3) Mother and children outcomes (lifetime): dominant 
Dominant - intervention is less costly and more effective than comparator.</t>
  </si>
  <si>
    <t>£634-£15,683</t>
  </si>
  <si>
    <t>High intensity behavioural aims to change patient behaviour through counselling or therapy, with extensive contact with staff and supplementary material to help quit, and were followed up for at least 4 weeks.
The intervention has an ICER (incremental cost - healthcare savings / incremental QALYs) of:
(1) Mother outcomes (3 years): £15,683
(2) Mother outcomes (lifetime): £634
(3) Mother and children outcomes (lifetime): dominant 
Dominant - intervention is less costly and more effective than comparator.</t>
  </si>
  <si>
    <t>£3,874-£155,506</t>
  </si>
  <si>
    <t>Based on 2006 non-UK study.
(1) Cost per person: £105; QALY gains per person: 0.006; incremental effects at 12 months: 16%; healthcare cost savings: £13; productivity savings: £563.
(2) Cost per person: £105; QALY gains per person: 0.056; incremental effects at 12 months: 16%; healthcare cost savings: £69; productivity savings: £2,047.
(3)  Cost per person: £105; QALY gains per person: 0.199; incremental effects at 12 months: 16%; healthcare cost savings: £143; productivity savings: £2,047.
Short-term productivity savings (due to reduced absenteeism and time spent smoking during working hours) are presented, but not included in ICER results as they were estimated to be dominant for all results.</t>
  </si>
  <si>
    <t>Based on 2003 non-UK study.
(1) Cost per person: £233; QALY gains per person: 0.001; incremental effects at 12 months: 4%; healthcare cost savings: £3; productivity savings: £150.
(2) Cost per person: £233; QALY gains per person: 0.014; incremental effects at 12 months: 4%; healthcare cost savings: £17; productivity savings: £514.
(3)  Cost per person: £233; QALY gains per person: 0.051; incremental effects at 12 months: 4%; healthcare cost savings: £36; productivity savings: £514.
Short-term productivity savings (due to reduced absenteeism and time spent smoking during working hours) are presented, but not included in ICER results as they were estimated to be dominant for all results.</t>
  </si>
  <si>
    <t>Intervention - non-conditional incentives</t>
  </si>
  <si>
    <t>Based on 2010 non-UK study.
(1) Cost per person: £312; QALY gains per person: 0.008; incremental effects at 12 months: 21%; healthcare cost savings: £18; productivity savings: £806.
(2) Cost per person: £312; QALY gains per person: 0.072; incremental effects at 12 months: 21%; healthcare cost savings: £90; productivity savings: £2,668.
(3)  Cost per person: £312; QALY gains per person: 0.278; incremental effects at 12 months: 21%; healthcare cost savings: £198; productivity savings: £2,668.
Short-term productivity savings (due to reduced absenteeism and time spent smoking during working hours) are presented, but not included in ICER results as they were estimated to be dominant for all results.</t>
  </si>
  <si>
    <t>£412-£38,712</t>
  </si>
  <si>
    <t>Based on 2000 non-UK study.
(1) Cost per person: £339; QALY gains per person: 0.006; incremental effects at 12 months: 15%; healthcare cost savings: £15; productivity savings: £640.
(2) Cost per person: £339; QALY gains per person: 0.053; incremental effects at 12 months: 15%; healthcare cost savings: £68; productivity savings: £1,997.
(3)  Cost per person: £339; QALY gains per person: 0.228; incremental effects at 12 months: 15%; healthcare cost savings: £159; productivity savings: £1,997.
Short-term productivity savings (due to reduced absenteeism and time spent smoking during working hours) are presented, but not included in ICER results as they were estimated to be dominant for all results.</t>
  </si>
  <si>
    <t>£788-£57,699</t>
  </si>
  <si>
    <t>Based on 2008 non-UK study.
(1) Cost per person: £338; QALY gains per person: 0.008; incremental effects at 12 months: 21%; healthcare cost savings: £21; productivity savings: £877.
(2) Cost per person: £338; QALY gains per person: 0.074; incremental effects at 12 months: 21%; healthcare cost savings: £94; productivity savings: £2,778.
(3)  Cost per person: £338; QALY gains per person: 0.310; incremental effects at 12 months: 21%; healthcare cost savings: £218; productivity savings: £2,778.
Short-term productivity savings (due to reduced absenteeism and time spent smoking during working hours) are presented, but not included in ICER results as they were estimated to be dominant for all results.</t>
  </si>
  <si>
    <t>£388-£40,537</t>
  </si>
  <si>
    <t>Smoking cessation delivered in mental health services</t>
  </si>
  <si>
    <t>Based on 2005 non-UK study.
(1) Cost per person: £94; QALY gains per person: 0.007; incremental effects at 12 months: 9%; healthcare cost savings: £13; productivity savings: £519.
(2) Cost per person: £94; QALY gains per person: 0.100; incremental effects at 12 months: 9%; healthcare cost savings: £220; productivity savings: £1,538.
Short-term productivity savings (due to reduced absenteeism and time spent smoking during working hours) are presented, but not included in ICER results as they were estimated to be dominant for all results.</t>
  </si>
  <si>
    <t>Based on 2010 non-UK study.
(1) Cost per person: £421; QALY gains per person: 0.004; incremental effects at 12 months: 4%; healthcare cost savings: £6; productivity savings: £254.
(2) Cost per person: £421; QALY gains per person: 0.049; incremental effects at 12 months: 4%; healthcare cost savings: £108; productivity savings: £752.
Short-term productivity savings (due to reduced absenteeism and time spent smoking during working hours) are presented, but not included in ICER results as they were estimated to be dominant for all results.</t>
  </si>
  <si>
    <t>£6,407-£114,915</t>
  </si>
  <si>
    <t>Conditional incentives provide vouchers conditional on smoking behaviour (non-conditional are incentives that do not depend on smoking behaviour).
The intervention has an ICER (incremental cost - healthcare savings / incremental QALYs) of:
(1) Mother outcomes (3 years): £40,537
(2) Mother outcomes (lifetime): £3,306
(3) Mother and children outcomes (lifetime): £388</t>
  </si>
  <si>
    <t>Conditional incentives provide vouchers conditional on smoking behaviour (non-conditional are incentives that do not depend on smoking behaviour).
The intervention has an ICER (incremental cost - healthcare savings / incremental QALYs) of:
(1) Mother outcomes (3 years): £57,699
(2) Mother outcomes (lifetime): £5,149
(3) Mother and children outcomes (lifetime): £788</t>
  </si>
  <si>
    <t>Conditional incentives provide vouchers conditional on smoking behaviour (non-conditional are incentives that do not depend on smoking behaviour).
The intervention has an ICER (incremental cost - healthcare savings / incremental QALYs) of:
(1) Mother outcomes (3 years): £38,712
(2) Mother outcomes (lifetime): £3,076
(3) Mother and children outcomes (lifetime): £412</t>
  </si>
  <si>
    <t>High intensity behavioural aims to change patient behaviour through counselling or therapy, with extensive contact with staff and supplementary material to help quit, and were followed up for at least 4 weeks.
The intervention has an ICER (incremental cost - healthcare savings / incremental QALYs) of:
(1) Mother outcomes (3 years): £155,506
(2) Mother outcomes (lifetime): £15,281
(3) Mother and children outcomes (lifetime): £3,874</t>
  </si>
  <si>
    <t xml:space="preserve"> Behavioural plus pharmacological for patients with PTSD. Behavioural interventions aim to change patient behaviour through counselling or therapy, plus anti-smoking medication (bupropion, varenicline, nicotine replacement).
The intervention has an ICER (incremental cost - healthcare savings / incremental QALYs) of:
(1) Patients with PTSD (3 years): £114,915
(2) Patients with PTSD (lifetime): £6,407</t>
  </si>
  <si>
    <t xml:space="preserve"> Behavioural plus pharmacological for patients with PTSD. Behavioural interventions aim to change patient behaviour through counselling or therapy, plus anti-smoking medication (bupropion, varenicline, nicotine replacement).
The intervention has an ICER (incremental cost - healthcare savings / incremental QALYs) of:
(1) Patients with PTSD (3 years): £11,032
(2) Patients with PTSD (lifetime): dominant
Dominant - intervention is less costly and more effective than comparator.</t>
  </si>
  <si>
    <t xml:space="preserve">Based on 4 non-UK studies.
(1) 2002 study. Cost per person: £65; QALY gains per person: 0; incremental effects at 12 months: 0%; healthcare cost savings: £30; productivity savings: £380.
(2) 2008 study. Cost per person: £214; QALY gains per person: 0; incremental effects at 12 months: 0%; healthcare cost savings: £46; productivity savings: £588.
(3) 2007 study. Cost per person: £124; QALY gains per person: 0; incremental effects at 12 months: 0%; healthcare cost savings: £124; productivity savings: £518.
(3) 2004 study. Cost per person: £119; QALY gains per person: 0; incremental effects at 12 months: 0%; healthcare cost savings: £25; productivity savings: £311.
</t>
  </si>
  <si>
    <t>Smoking cessation delivered in acute services</t>
  </si>
  <si>
    <t>Based on 2002 non-UK study.
(1) Cost per person: £97; QALY gains per person: 0.024; incremental effects at 12 months: 19%; healthcare cost savings: £273; productivity savings: £1,318.
(2) Cost per person: £97; QALY gains per person: 0.222; incremental effects at 12 months: 19%; healthcare cost savings: £716; productivity savings: £716.
Short-term productivity savings (due to reduced absenteeism and time spent smoking during working hours) are presented, but not included in ICER results as they were estimated to be dominant for all results.</t>
  </si>
  <si>
    <t>High intensity behavioural plus pharmacological delivered to preoperative patients. 
'High intensity behavioural aims to change patient behaviour through counselling or therapy, with extensive contact with staff and supplementary material to help quit, and were followed up for at least 4 weeks, plus anti-smoking medication (bupropion, varenicline, nicotine replacement).
The intervention has an ICER (incremental cost - healthcare savings / incremental QALYs) of:
(1) Preoperative patients (3 years): Dominant
(2) Preoperative patients (lifetime): Dominant
Dominant - intervention is less costly and more effective than comparator.</t>
  </si>
  <si>
    <t>Based on 2008 non-UK study.
(1) Cost per person: £114; QALY gains per person: 0.028; incremental effects at 12 months: 22%; healthcare cost savings: £317; productivity savings: £1,503.
(2) Cost per person: £114; QALY gains per person: 0.250; incremental effects at 12 months: 22%; healthcare cost savings: £815; productivity savings: £3,950.
Short-term productivity savings (due to reduced absenteeism and time spent smoking during working hours) are presented, but not included in ICER results as they were estimated to be dominant for all results.</t>
  </si>
  <si>
    <t>Based on 2006 non-UK study.
(1) Cost per person: £182; QALY gains per person: 0.011; incremental effects at 12 months: 9%; healthcare cost savings: £87; productivity savings: £278.
(2) Cost per person: £182; QALY gains per person: 0.012; incremental effects at 12 months: 9%; healthcare cost savings: £357; productivity savings: £278.
Short-term productivity savings (due to reduced absenteeism and time spent smoking during working hours) are presented, but not included in ICER results as they were estimated to be dominant for all results.</t>
  </si>
  <si>
    <t>High intensity behavioural plus pharmacological delivered to patients with chronic obstructive pulmonary disease (COPD). 
'High intensity behavioural aims to change patient behaviour through counselling or therapy, with extensive contact with staff and supplementary material to help quit, and were followed up for at least 4 weeks, plus anti-smoking medication (bupropion, varenicline, nicotine replacement).
The intervention has an ICER (incremental cost - healthcare savings / incremental QALYs) of:
(1) Patients with COPD (3 years): £8,973
(2) Patients with COPD (lifetime): Dominant
Dominant - intervention is less costly and more effective than comparator.</t>
  </si>
  <si>
    <t>Based on 2008 non-UK study.
(1) Cost per person: £291; QALY gains per person: 0.020; incremental effects at 12 months: 17%; healthcare cost savings: £161; productivity savings: £517.
(2) Cost per person: £291; QALY gains per person: 0.209; incremental effects at 12 months: 17%; healthcare cost savings: £665; productivity savings: £517.
Short-term productivity savings (due to reduced absenteeism and time spent smoking during working hours) are presented, but not included in ICER results as they were estimated to be dominant for all results.</t>
  </si>
  <si>
    <t>Pharmacological intervention delivered to patients with chronic obstructive pulmonary disease (COPD). 
'Pharmacological interventions use anti-smoking medication (bupropion, varenicline, nicotine replacement) to change patient behaviour.
The intervention has an ICER (incremental cost - healthcare savings / incremental QALYs) of:
(1) Patients with COPD (3 years): £6,592
(2) Patients with COPD (lifetime): Dominant
Dominant - intervention is less costly and more effective than comparator.</t>
  </si>
  <si>
    <t>High intensity behavioural delivered to cardiac patients. 
'High intensity behavioural aims to change patient behaviour through counselling or therapy, with extensive contact with staff and supplementary material to help quit, and were followed up for at least 4 weeks.
The intervention has an ICER (incremental cost - healthcare savings / incremental QALYs) of:
(1) Cardiac patients (3 years): Dominant
(2) Cardiac patients (lifetime): Dominant
Dominant - intervention is less costly and more effective than comparator.</t>
  </si>
  <si>
    <t>Based on 2003 non-UK study.
(1) Cost per person: £76; QALY gains per person: 0.011; incremental effects at 12 months: 20%; healthcare cost savings: £2,680; productivity savings: £1,125.
(2) Cost per person: £76; QALY gains per person: 0.401; incremental effects at 12 months: 20%; healthcare cost savings: £15,792; productivity savings: £1,928.
Short-term productivity savings (due to reduced absenteeism and time spent smoking during working hours) are presented, but not included in ICER results as they were estimated to be dominant for all results.</t>
  </si>
  <si>
    <t>Based on 2010 non-UK study.
(1) Cost per person: £306; QALY gains per person: 0.0065; incremental effects at 12 months: 11%; healthcare cost savings: £523; productivity savings: £646.
(2) Cost per person: £306; QALY gains per person: 0.230; incremental effects at 12 months: 11%; healthcare cost savings: £6,746; productivity savings: £1,107.
Short-term productivity savings (due to reduced absenteeism and time spent smoking during working hours) are presented, but not included in ICER results as they were estimated to be dominant for all results.</t>
  </si>
  <si>
    <t>Based on 1997 non-UK study.
(1) Cost per person: £138; QALY gains per person: 0.006; incremental effects at 12 months: 7%; healthcare cost savings: £10; productivity savings: £404.
(2) Cost per person: £138; QALY gains per person: 0.078; incremental effects at 12 months: 7%; healthcare cost savings: £171; productivity savings: £1,197.
Short-term productivity savings (due to reduced absenteeism and time spent smoking during working hours) are presented, but not included in ICER results as they were estimated to be dominant for all results.</t>
  </si>
  <si>
    <t>'Pharmacological intervention delivered to general patients. 
'Pharmacological interventions use anti-smoking medication (bupropion, varenicline, nicotine replacement) to change patient behaviour.
The intervention has an ICER (incremental cost - healthcare savings / incremental QALYs) of:
(1) General patients (3 years): £22,362
(2) General patients (lifetime): Dominant
Dominant - intervention is less costly and more effective than comparator.</t>
  </si>
  <si>
    <t>'Pharmacological intervention plus low intensity behaviour delivered to hospital employees.
Behavioural interventions aim to change patient behaviour through counselling or therapy, plus anti-smoking medication (bupropion, varenicline, nicotine replacement) to change patient behaviour.
The intervention has an ICER (incremental cost - healthcare savings / incremental QALYs) of:
(1) General patients (3 years): £4,273
(2) General patients (lifetime): Dominant
Dominant - intervention is less costly and more effective than comparator.</t>
  </si>
  <si>
    <t>Based on 2004 non-UK study.
(1) Cost per person: £41; QALY gains per person: 0.007; incremental effects at 12 months: 8%; healthcare cost savings: £12; productivity savings: £692.
(2) Cost per person: £41; QALY gains per person: 0.093; incremental effects at 12 months: 8%; healthcare cost savings: £205; productivity savings: £2,051.
Short-term productivity savings (due to reduced absenteeism and time spent smoking during working hours) are presented, but not included in ICER results as they were estimated to be dominant for all results.</t>
  </si>
  <si>
    <t>Intervention - indoor smoke free policy</t>
  </si>
  <si>
    <t>Based on 2010 non-UK study.
(1) Cost per person: £22; QALY gains per person: 0.026; incremental effects at 12 months: 32%; healthcare cost savings: £45; productivity savings: £2,637.
(2) Cost per person: £22; QALY gains per person: 0.355; incremental effects at 12 months: 32%; healthcare cost savings: £782; productivity savings: £7,814.
Short-term productivity savings (due to reduced absenteeism and time spent smoking during working hours) are presented, but not included in ICER results as they were estimated to be dominant for all results.</t>
  </si>
  <si>
    <t>added ph48</t>
  </si>
  <si>
    <t>Total smoke free policy (smoking ban across hospital campus).
The intervention has an ICER (incremental cost - healthcare savings / incremental QALYs) of:
(1) Hospital employees (3 years): £4,273
(2) Hospital employees (lifetime): Dominant
Dominant - intervention is less costly and more effective than comparator.</t>
  </si>
  <si>
    <t>Based on evidence from evaluations conducted by NICE (PH3)</t>
  </si>
  <si>
    <t>https://www.ncbi.nlm.nih.gov/pubmed/11691562</t>
  </si>
  <si>
    <t>Based on evidence from evaluations conducted by NICE (CG51)</t>
  </si>
  <si>
    <t>Based on evidence from evaluations conducted by NICE (PH18)</t>
  </si>
  <si>
    <t>Based on evidence from evaluations conducted by NICE (PH52)</t>
  </si>
  <si>
    <t>manual update hyperlinks</t>
  </si>
  <si>
    <t>Novel risk markers for screening asymptomatic individuals to prevent cardiovascular disease (CVD).
In the intention-to-treat analysis in men, screening with CT calcium was cost effective ($32,900/QALY) compared with current practice. In women, screening with hsCRP was cost effective ($32,467/QALY). In the as-treated analysis, statin therapy was both more effective and less costly than all other strategies for both men and women.</t>
  </si>
  <si>
    <t>FAQs active voice</t>
  </si>
  <si>
    <t>When comparing tests or treatments, an option that is both less effective and costs more is said to be 'dominated' by the alternative. An</t>
  </si>
  <si>
    <t xml:space="preserve">  • Introduction</t>
  </si>
  <si>
    <t>removed LHS buttons</t>
  </si>
  <si>
    <t xml:space="preserve"> Target audience</t>
  </si>
  <si>
    <t xml:space="preserve"> Types of economic evidence included</t>
  </si>
  <si>
    <t xml:space="preserve">  • The Health Economics Evidence Resource (HEER) provides an initial snapshot collection of economic evidence underpinning public health interventions.</t>
  </si>
  <si>
    <t xml:space="preserve"> Health Economics Evidence Resource</t>
  </si>
  <si>
    <t xml:space="preserve"> Coverage</t>
  </si>
  <si>
    <t>future benefits.</t>
  </si>
  <si>
    <t>Instructions and guidance on how to use the tool</t>
  </si>
  <si>
    <t>updated glossary</t>
  </si>
  <si>
    <t>£1 invested in LARC methods of contraception saves £13.42 in averted outcomes.</t>
  </si>
  <si>
    <t>Based on evidence from evaluations conducted by NICE (CG30)</t>
  </si>
  <si>
    <r>
      <rPr>
        <b/>
        <sz val="9"/>
        <color rgb="FF000000"/>
        <rFont val="Arial"/>
        <family val="2"/>
      </rPr>
      <t xml:space="preserve"> </t>
    </r>
    <r>
      <rPr>
        <b/>
        <u/>
        <sz val="9"/>
        <color rgb="FF000000"/>
        <rFont val="Arial"/>
        <family val="2"/>
      </rPr>
      <t>Introduction</t>
    </r>
  </si>
  <si>
    <t>Overview of the tool</t>
  </si>
  <si>
    <t>RW changes</t>
  </si>
  <si>
    <t xml:space="preserve">A technique used to convert costs and benefits that occur in different time periods to 'present values', so that they can be compared. Since </t>
  </si>
  <si>
    <t xml:space="preserve">  • Internal PHE staff and those working in public health in local authorities and the NHS, who want to quickly and easily understand the economic evidence in a particular area.</t>
  </si>
  <si>
    <t xml:space="preserve"> </t>
  </si>
  <si>
    <t xml:space="preserve"> To provide feedback on the resource:</t>
  </si>
  <si>
    <t xml:space="preserve"> To ask questions and / or share evidence that has not been included:</t>
  </si>
  <si>
    <t xml:space="preserve">  • It is not a systematic review of the evidence; this is a summary of evidence from other reviews and has been created internally within PHE.  It is an ‘agile’ resource which will be updated</t>
  </si>
  <si>
    <t xml:space="preserve"> How to use the resource</t>
  </si>
  <si>
    <r>
      <t xml:space="preserve"> </t>
    </r>
    <r>
      <rPr>
        <sz val="9"/>
        <color theme="1"/>
        <rFont val="Arial"/>
        <family val="2"/>
      </rPr>
      <t xml:space="preserve">To search evidence (for example, "I'm interested in looking at the economic evidence for </t>
    </r>
  </si>
  <si>
    <r>
      <t xml:space="preserve"> </t>
    </r>
    <r>
      <rPr>
        <sz val="9"/>
        <color rgb="FF000000"/>
        <rFont val="Arial"/>
        <family val="2"/>
      </rPr>
      <t>sexual health services")</t>
    </r>
  </si>
  <si>
    <t>:</t>
  </si>
  <si>
    <t xml:space="preserve">  • browse 'Evidence' tab and use filter buttons (click the drop-down arrows in row 1 above</t>
  </si>
  <si>
    <t xml:space="preserve">     each column) to review a subset of the interventions</t>
  </si>
  <si>
    <t xml:space="preserve">  • click on each heading (row 1) to understand the type of information in each column and</t>
  </si>
  <si>
    <t xml:space="preserve">    guidance on how to interpret it</t>
  </si>
  <si>
    <t xml:space="preserve">  • you can filter 'Theme' by 'Sexual Health, Reproductive Health and HIV', or refine selection</t>
  </si>
  <si>
    <t xml:space="preserve">    further by filtering on 'Activity' or  economic evidence (eg BCR, ICER, cost saving evidence)</t>
  </si>
  <si>
    <t xml:space="preserve">  • you can also use the "Ctrl + F" function to search for key words (eg HIV, contraception)</t>
  </si>
  <si>
    <t xml:space="preserve">  • click on "Email us"</t>
  </si>
  <si>
    <t xml:space="preserve">  • click on "Feedback Survey"</t>
  </si>
  <si>
    <t xml:space="preserve">  • click on "Clear my selection"</t>
  </si>
  <si>
    <t xml:space="preserve">  • press "Clear Selection" to clear any previously selected interventions and prior filters</t>
  </si>
  <si>
    <t xml:space="preserve">  • select topics or activities of interest, by changing cells from "No" to "Yes" in the 'Select for</t>
  </si>
  <si>
    <t xml:space="preserve">    PDF report' column</t>
  </si>
  <si>
    <t xml:space="preserve">  • when you have finished, click on "Produce PDFs of my selection"</t>
  </si>
  <si>
    <t>Health Economics Evidence Resource</t>
  </si>
  <si>
    <t xml:space="preserve"> Interacting with the resource:</t>
  </si>
  <si>
    <t xml:space="preserve">  • the chevron pages along the top can be used to switch between pages</t>
  </si>
  <si>
    <t xml:space="preserve">  • the green buttons allow the user to interact with the resource</t>
  </si>
  <si>
    <t xml:space="preserve">  • Analysts, registrars, consultants, commissioners, directors of public health.</t>
  </si>
  <si>
    <t xml:space="preserve"> Disability adjusted life year (DALY)</t>
  </si>
  <si>
    <t xml:space="preserve"> Quality adjusted life year (QALY)</t>
  </si>
  <si>
    <t xml:space="preserve"> Return on investment (ROI)</t>
  </si>
  <si>
    <t>combining them into a single, comparable measure.</t>
  </si>
  <si>
    <t>A measure for the overall disease burden. It is designed to quantify the impact of premature death and disability on a population by</t>
  </si>
  <si>
    <t>to avoid a prospective loss.</t>
  </si>
  <si>
    <t>The maximum amount an individual is willing to pay to acquire a good or a service, or the maximum amount an individual is willing to pay</t>
  </si>
  <si>
    <t>A form of economic evaluation that weighs the total expected costs against the total expected benefits by valuing both in monetary terms</t>
  </si>
  <si>
    <t>About Public Health England</t>
  </si>
  <si>
    <t>Public Health England</t>
  </si>
  <si>
    <t>Wellington House</t>
  </si>
  <si>
    <t>133-155 Waterloo Road</t>
  </si>
  <si>
    <t>London SE1 8UG</t>
  </si>
  <si>
    <t>Tel: 020 7654 8000</t>
  </si>
  <si>
    <t xml:space="preserve">www.gov.uk/phe  </t>
  </si>
  <si>
    <t xml:space="preserve">Twitter: @PHE_uk </t>
  </si>
  <si>
    <t>Facebook: www.facebook.com/PublicHealthEngland</t>
  </si>
  <si>
    <t xml:space="preserve">Public Health England exists to protect and improve the nation’s health and wellbeing, and reduce health inequalities. </t>
  </si>
  <si>
    <t>We do this through world-class science, knowledge and intelligence, advocacy, partnerships and the delivery of specialist public health services. </t>
  </si>
  <si>
    <t xml:space="preserve">We are an executive agency of the Department of Health, and are a distinct delivery organisation with operational autonomy </t>
  </si>
  <si>
    <t>to advise and support government, local authorities and the NHS in a professionally independent manner.</t>
  </si>
  <si>
    <t>PHE supports the UN Sustainable Development Goals</t>
  </si>
  <si>
    <t xml:space="preserve">You may re-use this information (excluding logos) free of charge in any format or medium, under the terms of the Open Government Licence v3.0. </t>
  </si>
  <si>
    <t>To view this licence, visit OGL or email psi@nationalarchives.gsi.gov.uk. </t>
  </si>
  <si>
    <t>Where we have identified any third party copyright information you will need to obtain permission from the copyright holders concerned.</t>
  </si>
  <si>
    <t xml:space="preserve">  • save these PDFs for further viewing</t>
  </si>
  <si>
    <t>Cognitive behavioural therapy</t>
  </si>
  <si>
    <t>Contingency management</t>
  </si>
  <si>
    <r>
      <t xml:space="preserve">Needle and syringe programmes (NSPs) for people  who inject drugs aim is to reduce the transmission of viruses and other infections caused by sharing injecting equipment, such as HIV, hepatitis B and C.
The NICE guidelines model the cost‑effectiveness of </t>
    </r>
    <r>
      <rPr>
        <b/>
        <sz val="11"/>
        <color theme="1"/>
        <rFont val="Arial"/>
        <family val="2"/>
      </rPr>
      <t>expanding NSP provision to high syringe coverage</t>
    </r>
    <r>
      <rPr>
        <sz val="11"/>
        <color theme="1"/>
        <rFont val="Arial"/>
        <family val="2"/>
      </rPr>
      <t xml:space="preserve"> (i.e. obtain more syringes than they inject per week). This modelled a range of different scenarios (a 12.5% and 25% increase in NSP coverage for a high and low incidence city) and found QALYs costs between £12,300 and £38,700.</t>
    </r>
  </si>
  <si>
    <r>
      <t xml:space="preserve">Needle and syringe programmes (NSPs) for people  who inject drugs aim is to reduce the transmission of viruses and other infections caused by sharing injecting equipment, such as HIV, hepatitis B and C.
NSPs can act as referral point into treatment, and when these effects were modelled, it showed that a 13.5% per cent </t>
    </r>
    <r>
      <rPr>
        <b/>
        <sz val="11"/>
        <color theme="1"/>
        <rFont val="Arial"/>
        <family val="2"/>
      </rPr>
      <t>increase in the rate of referral</t>
    </r>
    <r>
      <rPr>
        <sz val="11"/>
        <color theme="1"/>
        <rFont val="Arial"/>
        <family val="2"/>
      </rPr>
      <t xml:space="preserve"> to opioid substitution therapy (OST) resulted in a cost per QALYs of between dominant and £17,000, depending on prevalence.</t>
    </r>
  </si>
  <si>
    <t>The HEER was developed by Public Health England in order to:</t>
  </si>
  <si>
    <t xml:space="preserve">  • provide a publicly available resource where economic evidence is collated and summarised</t>
  </si>
  <si>
    <t xml:space="preserve">  • ensure everyone has access to accurate, clear and consistent economic advice</t>
  </si>
  <si>
    <t>The HEER looks to present the best available evidence on interventions. In order to do this the HEER only contains evidence that:</t>
  </si>
  <si>
    <t xml:space="preserve">  • is widely referenced in public health research</t>
  </si>
  <si>
    <t xml:space="preserve">  • has been quality assured by the PHE Health Economics team for accuracy</t>
  </si>
  <si>
    <t xml:space="preserve">  • has been quality assured by the PHE policy teams to confirm it is consistent with current knowledge in that area</t>
  </si>
  <si>
    <t>You should use some caution when looking to apply the evidence in the HEER to your local area. To make informed decisions you should consider:</t>
  </si>
  <si>
    <t xml:space="preserve">  • the location of the studies</t>
  </si>
  <si>
    <t xml:space="preserve">  • the target population</t>
  </si>
  <si>
    <t xml:space="preserve">  • what costs and benefits are included</t>
  </si>
  <si>
    <t xml:space="preserve">  • how costs and benefits are discounted, or reduced in value, across time</t>
  </si>
  <si>
    <t xml:space="preserve">  • how long the intervention lasted</t>
  </si>
  <si>
    <t xml:space="preserve">  • whether the delivery setting of an intervention is the same as it was when the original research was published</t>
  </si>
  <si>
    <t>In the HEER, if a piece of evidence is "Under Review" it means that that PHE is currently reviewing it to make sure it is accurate and of high quality. It has still been included as it provides a helpful summary of latest available evidence. Additional care should be used for these interventions.</t>
  </si>
  <si>
    <t>NICE reviews economic evidence by:</t>
  </si>
  <si>
    <t xml:space="preserve">  • conducting a systematic review of the cost-effectiveness evidence in a particular areas of health</t>
  </si>
  <si>
    <t xml:space="preserve">  • combining information sources on effectiveness, costs and benefits to estimate the cost-effectiveness of an intervention</t>
  </si>
  <si>
    <t>If you would like more information on NICE’s processes, please see</t>
  </si>
  <si>
    <t>NICE's methods guide</t>
  </si>
  <si>
    <t>government's magenta Book</t>
  </si>
  <si>
    <t>Objectives of the HEER</t>
  </si>
  <si>
    <t>Methodology for selecting sources and quality assuring evidence</t>
  </si>
  <si>
    <t>Future plans to update the HEER</t>
  </si>
  <si>
    <t>Factors to consider when interpreting the evidence</t>
  </si>
  <si>
    <t>Information on development of NICE guidance</t>
  </si>
  <si>
    <t xml:space="preserve">  • improve the accessibility of economic evidence, so that you can explore information and compare key differences across interventions</t>
  </si>
  <si>
    <t>In addition, the whole HEER has been reviewed by external academics to check the quality of the final product.</t>
  </si>
  <si>
    <t>Users can contribute ideas towards how HEER should be updated by using the ‘email us’ option.</t>
  </si>
  <si>
    <t xml:space="preserve">  • how long was the intervention evaluated for</t>
  </si>
  <si>
    <t>All of these factors can contribute to whether an intervention applied locally will match the cost-effectiveness result presented in the HEER.</t>
  </si>
  <si>
    <t>Some NICE studies found a range of cost-effectiveness estimates. This was used to show that the intervention can be either cost-effective or not cost-effective, depending on the assumptions used. In these cases you should consider how the situation you are interested in compares to that in the evidence.</t>
  </si>
  <si>
    <t>When looking to make comparisons, you should consider whether the interventions under consideration are similar across all of the criteria above.</t>
  </si>
  <si>
    <t>Explanation of term "Under Review" in HEER</t>
  </si>
  <si>
    <t>(for example, pounds sterling) to assess whether the benefits exceed the costs. It is measured using the benefit-cost ratio (BCR), which is the ratio</t>
  </si>
  <si>
    <t xml:space="preserve">of benefits relative to costs (benefits/costs). </t>
  </si>
  <si>
    <t xml:space="preserve">The HEER defines an intervention as cost-effective if it is below the NICE cost per QALY threshold of £20,000. </t>
  </si>
  <si>
    <t>An intervention is considered cost-saving when the monetary benefits of an intervention are greater than its costs. Monetary savings may not</t>
  </si>
  <si>
    <t>necessarily accrue as cash-releasing savings, for example due to reallocation of resources such as staffing.</t>
  </si>
  <si>
    <t>population of interest.  It provides the 'extra cost per extra unit of outcome', which can be compared to other interventions.</t>
  </si>
  <si>
    <t>particular treatment or intervention and weighting each year with a quality of life score (on a 0-1 scale).</t>
  </si>
  <si>
    <t>A study in which a number of similar people are randomly assigned to two (or more) groups to test a specific drug, treatment or other</t>
  </si>
  <si>
    <t>intervention. One group (the experimental group) has the intervention being tested; the other (the comparison or control group) has an</t>
  </si>
  <si>
    <t>method. It is applied particularly to the investigation of uncertainty around the values of parameter inputs.</t>
  </si>
  <si>
    <t>benefit-cost ratio as the measure of ROI.</t>
  </si>
  <si>
    <t>A general term encompassing the techniques for comparing the costs and benefits generated by an investment. The HEER uses the</t>
  </si>
  <si>
    <t>Methadone and buprenorphine for the management of opioid dependence. NIC TA guidance 2007</t>
  </si>
  <si>
    <t xml:space="preserve">Dominant-£1,588 </t>
  </si>
  <si>
    <t xml:space="preserve">Cohort model simulated the cost and QALY associated with interventions supporting smokers cutting down to quit (CDTQ.) Reduced harm model included CDTQ without support or with support including Nicotine containing patch (NCP)/ NCP substitute, 2 units of generic/professional behavioural support or in combination.
ICER estimated to be between Dominant and £1,588 per QALY.
</t>
  </si>
  <si>
    <t>(1) CDTQ + NCP + generic support; overall cost = £7,132, cost / QALY = £462
(2) CDTQ + NCP + specialist support; overall cost = £7,294, cost / QALY =£1,588
(3) CDTQ + NCP; overall cost = £7,111, cost / QALY = £377
(4) CDTQ + generic support; overall cost = £6,947, cost / QALY = Dominant 
(5) CDTQ + specialist support; overall cost = £7,109, cost / QALY = £302
(6) CDTQ; overall cost = £6,926, cost / QALY = Dominant 
(7) No intervention; overall cost = £7,066, cost / QALY = n/a</t>
  </si>
  <si>
    <t>National Institute for Health and Clinical Excellence. An economic evaluation of different interventions to promote tobacco harm reduction (PH45). 2012</t>
  </si>
  <si>
    <t>Based on evidence from evaluations conducted by NICE (PH45).</t>
  </si>
  <si>
    <t xml:space="preserve">£1,922-£5,006 </t>
  </si>
  <si>
    <t xml:space="preserve">• Cohort model simulated the cost and QALY associated with interventions supporting smokers quitting abruptly. Reduced harm model included quitting abruptly with support including Nicotine containing patch (NCP)/ NCP substitute, 2 units of generic/professional behavioural support or in combination.
ICER estimated to be between £1,922 and £5,006 per QALY.
</t>
  </si>
  <si>
    <t xml:space="preserve">(1) Abrupt + NCP substitute + generic support; overall cost = £7,384, cost / QALY = £1,922
(2) Abrupt + NCP substitute + specialist support; overall cost = £7,546, cost / QALY =£2,900
(3) Abrupt + NCP substitute; overall cost = £7,321, cost / QALY = £5,006
(4) No intervention; overall cost = £7,066, cost / QALY = n/a
</t>
  </si>
  <si>
    <t>No Benefit-£5735</t>
  </si>
  <si>
    <t xml:space="preserve">Cohort model simulated the cost and QALY associated with interventions supporting a temporary abstinence from smoking. Reduced harm model included temporary abstinence without support or with support including Nicotine containing patch (NCP)/ NCP substitute, 2 units of generic/professional behavioural support or in combination.
ICER estimated to be between No benefit and £5,735 per QALY.
</t>
  </si>
  <si>
    <t xml:space="preserve">(1) Temporary abstinence + NCP + generic support; overall cost = £7,139, cost / QALY = £531
(2) Temporary abstinence + NCP + specialist support; overall cost = £7,301, cost / QALY = £1,708
(3) Temporary abstinence + NCP; overall cost = £7,218, cost / QALY = £5,364
(4) Temporary abstinence + generic support; overall cost = £7,081, cost / QALY = £478
(5) Temporary abstinence + specialist support; overall cost = £7,243, cost / QALY = £5,735
(6) Temporary abstinence; overall cost = £7,066, cost / QALY = No benefit 
(7) No intervention; overall cost = £7,066, cost / QALY = n/a
</t>
  </si>
  <si>
    <t xml:space="preserve">Cohort model simulated the cost and QALY associated with interventions supporting smokers reduce the amount they smoked. Reduced harm model included reduced smoking without support or with support including Nicotine containing patch (NCP)/ NCP substitute, 2 units of generic/professional behavioural support or in combination.
ICER estimated to be between Dominant and £5,735 per QALY.
</t>
  </si>
  <si>
    <t>(1) Reduce + NCP + generic support; overall cost = £7,139, cost / QALY = £531
(2) Reduce + NCP + specialist support; overall cost = £7,301, cost / QALY = £1,708
(3) Reduce + NCP; overall cost = £7,218, cost / QALY = £5,364
(4) Reduce + generic support; overall cost = £7,081, cost / QALY = £478
(5) Reduce + specialist support; overall cost = £7,243, cost / QALY = £5,735
(6) Reduce; overall cost = £7,031, cost / QALY = Dominant 
(7) No intervention; overall cost = £7,066, cost / QALY = n/a</t>
  </si>
  <si>
    <t>I44</t>
  </si>
  <si>
    <t>I45</t>
  </si>
  <si>
    <t>I46</t>
  </si>
  <si>
    <t>I47</t>
  </si>
  <si>
    <t>Targeted fluoride varnish programme gives a return of £2.29 after 5 years, £2.74 after 10 years.</t>
  </si>
  <si>
    <r>
      <t xml:space="preserve">Nursery tooth brushing programme including supervised tooth brushing in nurseries and toothpaste packs on six occasions for home use.
Suggested total cost saving (of actual and anticipated dental treatments) of </t>
    </r>
    <r>
      <rPr>
        <sz val="11"/>
        <rFont val="Arial"/>
        <family val="2"/>
      </rPr>
      <t>£61.51 p</t>
    </r>
    <r>
      <rPr>
        <sz val="11"/>
        <color theme="1"/>
        <rFont val="Arial"/>
        <family val="2"/>
      </rPr>
      <t>er child after removing the programme cost of £15.78 per child. 
Within three years the expected cost savings (freed-up resources) outweighed the costs of implementing the tooth brushing program and by eight years the expected cost savings were in excess of two and a half times these costs.</t>
    </r>
  </si>
  <si>
    <t>Cost analysis only, so analysis does not reflect full benefits of the programme (e.g. additional health benefits of freed-up appointments from oral health improvements as a result of the programme). The savings represent freed-up resources and not necessarily financial resources accrued on a balance sheet.
Annual cost of programme = £1.7m.
Cost savings vary over time (year 1 = £8m, year 4 = £10.5m, year 10 = £6m) as oral health improves.
Sensitivity analysis suggests general anaesthetic (GA) savings could range from £32 to £146 per child.
Use Scotland cost data for GA treatment  (£653), although this has been estimated at £836 in England (so cost savings may be underestimated).
Deprivation analysis suggests that cost-savings would be highest in deprived areas and lowest in least deprived areas.
Costs compared in each year independently and compared using a common base year 2009/10 (so no discounting required).</t>
  </si>
  <si>
    <t>Anopa Y, McMahon AD, Conway DI, Ball GE, McIntosh E, Macpherson LM. Improving Child Oral Health: Cost Analysis of a National Nursery Tooth brushing Programme. PloS one. 2015 Aug 25;10(8):e0136211.</t>
  </si>
  <si>
    <t>Average cost of intervention per family is estimated at £1,177. Total gross savings over 25 years amount to £9,288 per child, including £3,368 savings to the public sector (£1,278 NHS savings) and £5,919 through reduction in crime (victim costs and lost output). Intervention will provide a positive return to the public sector in year 8 and to the NHS in year 14.
No benefits are assumed from a range of other wider impacts (e.g. improved employment prospects, reduced adult mental health issues) which are likely to be substantial, making the intervention an even better investment.
Around 75% of benefits accrue between ages 7-16 (with intervention at age 5).</t>
  </si>
  <si>
    <t>Additional information on each study is provided below to navigate the referenced source.
(1) Early years intervention to increase breastfeeding: £1.56:£1.
(2) I CAN Early Talk, Kent - to support young people with severe speech, language and communication needs. £1.37:£1.
(3) Wheatley Children's Centre, Doncaster - to support children to achieve goals of 'Every Child Matters': £4.60:£1.
(4) East Dunbarton Children's Centre - to reduce the number of children being looked after and accommodated: £9.20:£1. 
(5) Stay and Play, Bournemouth - stay and play groups targeted at families with particular needs, such as English as an additional language: £2:£1.
(6) Family Support Workers, Warwickshire - provide families with children under 5 who have additional needs with intensive one-to-one support. £4.50:£1.
(7) Tiny Toes: Hazelmere and Loudwater Children's Centres - strongly supports expectant teenage and young mothers and their babies: £3.50:£1.
(8) Triple P, Brock House. Somerset - parenting programme  to manage their child’s behaviour. £2.50:£1.
(9) Oxfordshire Home Visiting to reduce child abuse - professionally delivered, intensive home visiting programme beginning during the antenatal period and continuing for one year after birth: £1.27:£1.</t>
  </si>
  <si>
    <t>In the incredible years (IY) parenting programme, a programme aimed at improving the skills and parenting strategies of parents of children with conduct problems, is cost-effective in reducing behavioural problems and in doing so may generate long-run economic returns.</t>
  </si>
  <si>
    <t>Net cost of intervention around €1,760.
Benefits of intervention in form of reduced behavioural problems, measured by reduction in Eyberg Child Intensity Score (ECIS), which gives an idea of severity of disruptive behaviour.
Analysis estimates a cost of €87 per 1 point reduction in score, which is consistent with a study of the IY programme in Wales (€83). Based on the mean ECIS score pre-intervention (158), the  cost of bringing the average child below the cut-off is €2,784 (32 point decrease).
Long-term effects are not included in results of study, although literature suggests favour returns in terms of reduced crime (prison costs), unemployment (welfare) and education (reduced staff costs).</t>
  </si>
  <si>
    <t>Reduced behavioural problems for service user.</t>
  </si>
  <si>
    <t xml:space="preserve">The total cost per child per year is £125, of which £84 is salary costs of teacher, £41 salary costs of school co-ordinator, £1 materials. Each teacher attends a 3 day training course with a half day refresher at Y2 and Y3. A school co-ordinator also manages the intervention and delivers parent training (10 week session, 2 hours per week). The intervention lasts for 3 years and commences in year 3; i.e. at the start of
the primary school. The effect is assumed to be maintained in year 6, even though the intervention stops at the end of year 5. 
Health Utilities Index (HUI) has been used to estimate health status and health-related quality of life (using questionnaire responses).The mean utility estimated in the model ranges from 0.77-0.86 (depending on primary school year).
The analyses are exploratory, reflecting the nature of the evidence base for the effectiveness of these interventions. They do not take account of the costs to parents of attending the parent training programme, nor any sustained health,
educational or socio-economic benefits of the intervention. The results should be interpreted with caution. </t>
  </si>
  <si>
    <t>The annual cost of the classroom intervention is estimated to be £7,300 and the peer mediation programme £3,900. It is
estimated that reduction of time spent by teachers intervening in student disputes may save £1,900, giving a net total cost for a school with 600 pupils aged 11-16 of £9,300 per year. The estimated cost per pupil is £15.50 per year. 
The model assumes that benefits only accrue to victims of bullying, through lower utility measured as QALY losses (0.54 non discounted / 0.22 discounted) and reduced lifetime income (£50,000 non discounted, £14,000 discounted). Other potential cost-savings arising from reduced crime and mental health problems are not included in the model so the model may underestimate the benefits of interventions to reduce bullying. There will also be benefits to the Exchequer (increased tax revenues and savings in welfare spend).</t>
  </si>
  <si>
    <t xml:space="preserve">The total cost per child per year is £125, of which £84 is salary costs of teacher, £41 salary costs of school co-ordinator, £1 materials. Each teacher attends a 3 day training course with a half day refresher at Y2 and Y3. A school co-ordinator also manages the intervention and delivers parent training (10 week session, 2 hours per week). The intervention lasts for 3 years and commences in year 3; i.e. at the start of
the primary school. The effect is assumed to be maintained in year 6, even though the intervention stops at the end of year 5. 
Health Utilities Index (HUI) has been used to estimate health status and health-related quality of life (using questionnaire responses).The mean utility estimated in the model ranges from 0.77-0.86 (depending on primary school year).
The analyses are exploratory, reflecting the nature of the evidence base for the effectiveness of these interventions. They do not take account of the costs to parents of attending the parent training programme, nor any sustained health, educational or socio-economic benefits of the intervention. The results should be interpreted with caution. </t>
  </si>
  <si>
    <t xml:space="preserve">The total cost per child per year is £125, of which £84 is salary costs of teacher, £41 salary costs of school co-ordinator, £1 materials. Each teacher attends a 3 day training course with a half day refresher at Y2 and Y3. A school co-ordinator also manages the intervention and delivers parent training (10 week session, 2 hours per week). The intervention lasts for 3 years and commences in year 3; i.e. at the start of
the primary school. The effect is assumed to be maintained in year 6, even though the intervention stops at the end of year 5. 
Health Utilities Index (HUI) has been used to estimate health status and health-related quality of life (using questionnaire responses).The mean utility estimated in the model ranges from 0.77-0.86 (depending on primary school year). 
The analyses are exploratory, reflecting the nature of the evidence base for the effectiveness of these interventions. They do not take account of the costs to parents of attending the parent training programme, nor any sustained health, educational or socio-economic benefits of the intervention. The results should be interpreted with caution. </t>
  </si>
  <si>
    <t>No control group (children at risk who are not treated is not an option)</t>
  </si>
  <si>
    <t>Economic analysis shows that counselling services cost £2 million. Benefits were in the form avoidance of long-term mental disorders and mental health problems over their lifetime (estimated at 112 cases), with a consequent saving of some £15 million in health and welfare spending, lost productivity and other costs to the national economy.
These results must be interpreted with caution, as some of the evidence is necessarily speculative and there are gaps in the data.</t>
  </si>
  <si>
    <t>The Place2Be. Cost Effective Positive Outcomes for Children and Families: An economic analysis of The Place2Be’s integrated school based services for children. London; 2010.</t>
  </si>
  <si>
    <t>Cost: £157.15 per person. Reference rated the quality of evidence as low.
Outcomes: 9.36% increase in use of condoms, which provided an additional 0.156 QALYs and £934 cost savings from reduced transmission of chlamydia and associated complications, such as pelvic inflammatory disease [PID] and ectopic pregnancy). Benefits are assumed to occur 5 years or more after intervention.</t>
  </si>
  <si>
    <t xml:space="preserve">Intervention - standard 15 minute risk reduction
counselling </t>
  </si>
  <si>
    <t>Universal testing = annual HIV testing of all adults.
It could avert 5% of new infections, even with no behaviour change following HIV diagnosis because of earlier anti-retroviral therapy (ART) initiation, or up to 18% if risky behaviour is halved.</t>
  </si>
  <si>
    <t>Modelling assumes 75% take-up. Currently it is 50%, with considerable variation between local authorities. Cost / QALY estimated based on conservative assumptions.
Cost of programme at full implementation is estimated between £180m and £243m p.a.
Although there is some uncertainty in many of the parameters used, sensitivity analysis shows the cost effectiveness of the policy is robust against these uncertainties.
Of all the options considered, the optimal is a starting age of 40 with vascular checks every 5 years.</t>
  </si>
  <si>
    <t>£179 cost of intervention, with 0.1380 QALY gains over lifetime (discounted). Compared to control.
Based on -1.29 in BMI compared to control.
Intervention remains cost effective with sensitivity analysis on additional NHS follow up (e.g. £886 / QALY, with 6 nurse visits)</t>
  </si>
  <si>
    <t>ODPP is an online adaptation of the diabetes prevention program. A weight loss intervention comprising 16 weekly and 8 monthly lessons, incorporating behavioural tools and regular, brief, web-based individualized counselling in an overweight/obese cohort.
ODPP delivered in the primary care setting compared with usual care cost approximately $14,400 or $29,300 per QALY gained, respectively, from health care system and societal perspectives (include direct non-medical costs, such as cost of participant time).</t>
  </si>
  <si>
    <t>Intervention - routine care.</t>
  </si>
  <si>
    <t>Screening using a HbA1c test is more cost-effective than using a FPG test for screening Type 2 diabetes.
 HbA1c leads to a cost saving of £12 and a QALY gain of 0.0220 per person when a risk score is used as a pre-screen. With no pre-screen, the cost saving is £30 with a QALY gain of 0.0224.</t>
  </si>
  <si>
    <t>Outcome achieved through reviewing selection, dosage, route of administration and duration of drugs.</t>
  </si>
  <si>
    <t>£450 per 100 hospitalised patients</t>
  </si>
  <si>
    <t>Costs: cost of most commonly used device during study period and total direct cost for nosocomial UTI complications and secondary bacteraemia. 
Additional cost of silver-coated urinary catheters amounted to $64,281 and $65,307 in 2001 and 2002.
Benefits: Number of UTIs prevented (2,006 across 2001 and 2002). 
The benefits and costs were combined by multiplying the number of prevented UTIs by the cost of nosocomial UTI, then adding the cost of bacteraemia associated with 2% of nosocomial UTIs and subtracting the additional cost of the coated urinary catheter.</t>
  </si>
  <si>
    <t xml:space="preserve">Sensitivity analysis was not probabilistic and so did not allow for uncertainty despite studies having varying degrees of uncertainty. Interventions were considered for use in deprived populations although further modelling suggested that they would be more cost effective if directed at obese populations.
Direct cost per individual: £82
Outcomes: 0.0129 average lifetime QALY gain per participant
</t>
  </si>
  <si>
    <t>Sensitivity analysis was not probabilistic and so did not allow for uncertainty despite studies having varying degrees of uncertainty. Interventions were considered for use in deprived populations although further modelling suggested that they would be more cost effective if directed at obese populations.
Direct cost per individual: £46.33
Outcomes: No lifetime QALY gain per participant</t>
  </si>
  <si>
    <t>Sensitivity analysis was not probabilistic and so did not allow for uncertainty despite studies having varying degrees of uncertainty. Interventions were considered for use in deprived populations although further modelling suggested that they would be more cost effective if directed at obese populations.
Direct cost per individual: £0
Outcomes: No lifetime QALY gain per participant</t>
  </si>
  <si>
    <t xml:space="preserve">Reduced likelihood of developing CHD, stroke and Type 2 diabetes (by age group) for the active population based on information on relative risk extracted from the literature.
Variation is due to differences in approaches of the 2 cities, one used existing trails and the other developed new ones on the tracks of disused railways thus altering the costs of the intervention and subsequent cost effectiveness. </t>
  </si>
  <si>
    <t xml:space="preserve">Evaluation as to the cost-effectiveness of free swim is difficult due to 1) the variation 2) specifying breakdown for costs 3) estimating the benefits, difficult to define the counterfactual 4) implication of offer to others using the pool and staff etc.
Lack of directly applicable strong evidence undermines the cost effectiveness modelling and as such it is unclear how generalisable the cost per QALY figures given are. </t>
  </si>
  <si>
    <t xml:space="preserve">Intervention: One 11 hr training session per nurse; One 30 minute physical activity counselling session; Two 30 minute fitness tests performed by a Physiotherapist; One 30 minute physical activity follow-up counselling session
The total estimated NHS health cost saving results from averting cases of CHD, stroke and type 2 diabetes through implementing a workplace physical activity programme for a cohort of 1,000 sedentary employees.
However, there is considerable uncertainty surrounding the health cost saving estimates. </t>
  </si>
  <si>
    <t xml:space="preserve">Intervention: Occupational nurses providing employees with programme services and resources for the promotion of walking. 
The total estimated NHS health cost saving results from averting cases of CHD, stroke and type 2 diabetes through implementing a workplace physical activity programme for a cohort of 1,000 sedentary employees.
However, there is considerable uncertainty surrounding the health cost saving estimates. </t>
  </si>
  <si>
    <t>Community based walking programme to improve mental well-being of older people</t>
  </si>
  <si>
    <t>Community based exercise programme to improve mental well-being of older people</t>
  </si>
  <si>
    <t>Direct cost per patient: £180
Outcomes: 0.1380 average lifetime QALY gain per participant
Sensitivity analysis was not probabilistic and so did not allow for uncertainty despite studies having varying degrees of uncertainty. Interventions were considered for use in deprived populations although further modelling suggested that they would be more cost effective if directed at obese populations.</t>
  </si>
  <si>
    <t>Cost-effectiveness was assessed in two ways: through a systematic literature review and by building a de novo decision model to assess the cost-effectiveness of a ‘generic’ e-learning device compared with dietary advice delivered by a health-care professional. The limitations of this review include potential reporting bias, incomplete retrieval of completed research studies and data extraction errors.</t>
  </si>
  <si>
    <t>Lifestyle weight management programmes (tier 2 services) for overweight or obese adults are multi-component programmes that aim to reduce a person's energy intake and help them to be more physically active by changing their behaviour. 
Over a 5 year period, average annual health and care savings are c£30 p.a. per person enrolled (i.e. cumulative saving of c£150 per person over 5 years). Weight management interventions aim to have lifelong impact and are unlikely to manifest as high savings in the short term. This intervention could be cost saving to the health and care system by year 2.</t>
  </si>
  <si>
    <t>Nalmefene is an opioid used by adult patients with alcohol dependence.
Nalmefene given in conjunction with psychosocial support produces an ICER of £5,100 per QALY gained (NICE committee concluded that this is likely to be an underestimate due to the utility values included in the model) and is more cost-effective than psychosocial support alone for treating people with
alcohol dependence who have a high drinking risk level, without physical withdrawal symptoms and who do not require immediate detoxification.
When applying the upper estimate for the number of medical visits per month, the ICER increased to £6,274 per QALY gained.</t>
  </si>
  <si>
    <t>Behaviour self-control therapy is a treatment approach for alcohol problems, consisting of behavioural techniques of goal setting, self-monitoring, managing consumption, rewarding goal attainment, functionally analysing drinking situations, and learning alternate coping skills.
Net savings were estimated at £80,452.</t>
  </si>
  <si>
    <t xml:space="preserve">Acamprosate is a medication used to treat alcohol dependence. The pharmacological mechanism of action of acamprosate is not fully known, but it appears to reduce the craving for alcohol in patients who have consumed large amounts of alcohol over a long period of time. Acamprosate is most effective in combination with psychosocial support and can help facilitate reduced consumption as well as abstinence.
It has an ICER of £5,043 per QALY versus standard care and £1,899 per QALY versus Naltrexone.
</t>
  </si>
  <si>
    <t xml:space="preserve">Effectiveness: identification and brief advice (IBA) can reduce weekly drinking by between 13% and 34%, resulting in 2.9 to 8.7 fewer drinks per week. This will reduce relative risk of alcohol-related conditions by c14%, and absolute risk of lifetime alcohol related death by c20%. 
Costs: PHE estimates that the costs of IBA could be c£7.50 per person receiving brief advice. This would include the following components: £0.04 per person at consultation to complete an Audit-C scratch card; of the people completing the scratch card, we would expect c30% to screen above threshold, and their costs would also include at Local health and care planning: menu of preventative interventions 13 least £3.40 (1 min GP time) and £3.70 (5 min nurse time), when delivered in primary care. </t>
  </si>
  <si>
    <t>Mass media campaigns for reducing drinking and driving and alcohol-involved crashes.
Cost benefits analyses were conducted for three sites of a campaigns. In all three sites evaluated, the estimated societal benefits substantially exceeded the costs of developing and airing the campaign messages, with CBRs of 7.5:1, 11.4:1 and 20.6:1.</t>
  </si>
  <si>
    <t>Injectable heroin more cost-effective than oral methadone</t>
  </si>
  <si>
    <t>Injectable heroin and oral methadone are used as treatment for chronic heroin addiction. It is important to note that injectable heroin is only given to a small minority of deeply entrenched heroin users.
At a willingness to pay of £30 000, there is a 70% probability that injectable heroin is more cost-effective than oral methadone. 
Injectable opioid treatments are more cost-effective than optimised oral methadone for chronic refractory heroin addiction. The choice between supervised injectable heroin and injectable methadone is less clear. There is currently evidence to suggest superior effectiveness of injectable heroin but at a cost that policy makers may find unacceptable. </t>
  </si>
  <si>
    <t>Review prescriptions of medicines liable to dependence</t>
  </si>
  <si>
    <t>Review consisted of GPs identifying patients with repeat prescription for medicines liable to dependence, requesting patients attend appointment to review prescription and make decision to continue / change / end prescription.
Review reduced prescribing of Pregabalin by 29%. Savings accrued to the NHS from a lower number of prescriptions of Pregabalin or less expensive prescriptions.</t>
  </si>
  <si>
    <t>High hepatitis C virus (HCV) prevalence (Bristol); low HCV  prevalence (Teesside).
Analysis takes societal perspective.
Bristol:
Baseline: cost =£375.06m, QALYs = 10,998
Intervention: cost = £368.58m, QALYs = 11,038, cost / QALY = dominant
Teesside:
Baseline: cost =£35.28m, QALYs = 10,563
Intervention: cost = £36.10m, QALYs = 10,612, cost / QALY = £16,568</t>
  </si>
  <si>
    <t>High hepatitis C virus (HCV) prevalence (Bristol); low HCV  prevalence (Teesside).
Analysis takes societal perspective.
Bristol:
Baseline: cost =£481.12m, QALYs = 10,563
Intervention: cost = £481.25m, QALYs = 10,566-10,569, cost / QALY = £38,679
Teesside:
Baseline: cost =£375.06m, QALYs = 10,998
Intervention: cost = £375.11m, QALYs = 11,000-11,002, cost / QALY = £12,285</t>
  </si>
  <si>
    <t>Health economic modelling statement 6 
An economic model based on a study of a motivational interviewing intervention to reduce club drug use and HIV risk behaviours among men who have sex with men by Morgenstern et al. (2009) found that the intervention was not likely to be cost effective at a willingness to pay threshold of £20,000 per QALY gained. This intervention would only be cost effective if the effect of reducing drug use was maintained for at least two years, and if the intervention could be provided at a cost of less than £190. The intervention was targeted to men with an average age of 38 but if it could be provided to younger men then it would be more likely to be cost effective as younger people are more likely to become drug dependent and to lose more years of life through early death associated with drug use.</t>
  </si>
  <si>
    <t>All reviews from non-UK based studies. 
(1) 2006 study. Cost = £1 pp., cost / QALY = £365
(2) 2003 study. Cost = £17 pp., cost / QALY = £78
(3) 2001 study. Cost = £36 pp., cost / QALY = £644
(4) 2007 study. Cost =£ 41 pp., cost / QALY = £4,178
(5) 2006 non-UK study. Cost = £6 pp., cost / QALY = dominated.</t>
  </si>
  <si>
    <t>Mallender J, Bertranou E, Bacelar M. Economic analysis of smoking cessation in secondary care: NICE public health guidance PH48. National Institute for Health and Care Excellence, ed. London: Matrix Knowledge. 2013.</t>
  </si>
  <si>
    <t>Interventions delivered to patients with schizophrenia. 
(1) -(3) Behavioural plus pharmacological
(4) High intensity behavioural vs. brief advice
No ICERs were estimated as the intervention showed no impact after 12 months.</t>
  </si>
  <si>
    <t>Intervention - low intensity behaviour</t>
  </si>
  <si>
    <t>Intervention - placebo plus low intensity behaviour</t>
  </si>
  <si>
    <t>Range of cost / QALY estimates presented, based on different effect models.
(1) Cost = £38.50, extra medical cost = £0.82, discounted QALY gain per student = 0.00349, threshold cost per student = £69, cost / QALY = £11,300
(2) Cost = £38.50, extra medical cost = £5.31, discounted QALY gain per student = 0.0216, threshold cost per student = £427, cost / QALY = £2,030
(3) Cost = £38.50, extra medical cost = £0.72, discounted QALY gain per student = 0.0031, threshold cost per student = £61, cost / QALY = £12,700
(4) Cost = £38.50, extra medical cost = £3.29, discounted QALY gain per student = 0.0135, threshold cost per student = £711, cost / QALY = £3,100</t>
  </si>
  <si>
    <t>Reduce tobacco harm: Cutting down to quit (CDTQ) use of NCP + behavioural  support</t>
  </si>
  <si>
    <t>Cohort simulation model of 1,000 smokers representative of a population of typical smokers</t>
  </si>
  <si>
    <t>Reduce tobacco harm: Abrupt quit - use of NCP + behavioural  support</t>
  </si>
  <si>
    <t>Reduce tobacco harm: Temporary abstinence- use of NCP + behavioural  support</t>
  </si>
  <si>
    <t>Reduce tobacco harm: Reduce- use of NCP + behavioural  support</t>
  </si>
  <si>
    <t>Fordham RJ, Barton GR. 'A cost-effectiveness scenario analysis of four interventions to increase child and adolescent physical activity: the case of walking buses, free swimming, dance classes and community sports. 'Promoting physical activity for children. 'PDG Report, NICE.</t>
  </si>
  <si>
    <t>I48</t>
  </si>
  <si>
    <t>I49</t>
  </si>
  <si>
    <t>I50</t>
  </si>
  <si>
    <t>I51</t>
  </si>
  <si>
    <t>I52</t>
  </si>
  <si>
    <t>I53</t>
  </si>
  <si>
    <t>I54</t>
  </si>
  <si>
    <t>I55</t>
  </si>
  <si>
    <t>I56</t>
  </si>
  <si>
    <t>I57</t>
  </si>
  <si>
    <t>I58</t>
  </si>
  <si>
    <t>I59</t>
  </si>
  <si>
    <t>I60</t>
  </si>
  <si>
    <t>I61</t>
  </si>
  <si>
    <t>I62</t>
  </si>
  <si>
    <t>I63</t>
  </si>
  <si>
    <t>I64</t>
  </si>
  <si>
    <t>I65</t>
  </si>
  <si>
    <t>I66</t>
  </si>
  <si>
    <t xml:space="preserve">costs and benefits occurring in the future are generally considered less valuable than those occurring in the present, a discount rate is applied to </t>
  </si>
  <si>
    <t>Cost-utility analysis (CUA)</t>
  </si>
  <si>
    <t xml:space="preserve">expressed in non-monetary terms related to health, such as symptom-free days or heart attacks avoided. </t>
  </si>
  <si>
    <t>are assessed in terms of both quality and duration of life, and expressed as quality-adjusted life years (QALYs) or disability-adjusted life years</t>
  </si>
  <si>
    <t>(DALYs). Utility refers to the measure of the preference or value that an individual or society places upon a particular health state.</t>
  </si>
  <si>
    <r>
      <t>The most common approach to assess cost-effectiveness is to use</t>
    </r>
    <r>
      <rPr>
        <b/>
        <sz val="9"/>
        <color theme="1"/>
        <rFont val="Arial"/>
        <family val="2"/>
      </rPr>
      <t xml:space="preserve"> </t>
    </r>
    <r>
      <rPr>
        <sz val="9"/>
        <color theme="1"/>
        <rFont val="Arial"/>
        <family val="2"/>
      </rPr>
      <t xml:space="preserve">cost-utility analysis (often interchanged with CEA), where the benefits </t>
    </r>
  </si>
  <si>
    <t xml:space="preserve">The HEER does not contain all information on all interventions. You may wish to contribute to the understanding of how cost-effective some interventions are by conducting an </t>
  </si>
  <si>
    <t>evaluation of your own. If you are planning to undertake an evaluation of a service we recommend you look at the guidance provided in the</t>
  </si>
  <si>
    <t>A computer simulation technique that allows the user to anticipate the effect of interventions in complex situations with interdependent variables.</t>
  </si>
  <si>
    <t>Information on how to develop the HEER</t>
  </si>
  <si>
    <t>The evidence in the HEER has largely been drawn from a small number of secondary sources. Secondary sources look to collect and summarise original research, also known as primary</t>
  </si>
  <si>
    <t xml:space="preserve">research. In addition, some sources of evidence were also identified through conversations with researchers familiar with that topic area. </t>
  </si>
  <si>
    <t>Sources</t>
  </si>
  <si>
    <t xml:space="preserve">  • was published in the last 5 years (excluding one source) for the primary reviews - the orginal sources of the studies included in those reviews are from 1995</t>
  </si>
  <si>
    <t>The present value of an investment's future net benefits minus net costs.</t>
  </si>
  <si>
    <t xml:space="preserve">  • It includes interventions that are cost-effective (defined by the HEER as below the NICE cost per QALY threshold of £20,000-£30,000), not cost-effective and those that are cost-saving </t>
  </si>
  <si>
    <t xml:space="preserve">    or give a return on investment. For more information on the types of economic analysis, see the following link (section 6.3).</t>
  </si>
  <si>
    <t xml:space="preserve">  • Further Information</t>
  </si>
  <si>
    <t>Further information about the tool</t>
  </si>
  <si>
    <t>Further Information</t>
  </si>
  <si>
    <t>PHE publications gateway number: 2017355</t>
  </si>
  <si>
    <t>© Crown copyright 2017</t>
  </si>
  <si>
    <t>Mental Health</t>
  </si>
  <si>
    <t>Investing in social and emotional learning</t>
  </si>
  <si>
    <t>School based resilience</t>
  </si>
  <si>
    <t>ROI tool</t>
  </si>
  <si>
    <t>Pupils in Year 7, Key Stage 3 (Age 11-12)</t>
  </si>
  <si>
    <t xml:space="preserve">QALYs
NHS savings
LA savings
Family savings
School savings
</t>
  </si>
  <si>
    <t xml:space="preserve">Schools (education sector)
</t>
  </si>
  <si>
    <t>School anti-bullying programme</t>
  </si>
  <si>
    <t>Investing in school based interventions</t>
  </si>
  <si>
    <t>Children aged between 7 -11</t>
  </si>
  <si>
    <t>Finland</t>
  </si>
  <si>
    <t>Investing in a workplace wellbeing programme</t>
  </si>
  <si>
    <t>Outcome evidence on likelihood of avoiding bullying drawn from RCT in Finland. Outcomes per pupil over 4 year period and costs to school of delivery. Benefits to families, schools and health sector.</t>
  </si>
  <si>
    <t>Universal workplace wellbeing programme</t>
  </si>
  <si>
    <t>Based on results of a peer reviewed publication of findings from a randomised control programme in a UK workplace. Outcomes over 1 year period and costs to workplace estimated.</t>
  </si>
  <si>
    <t xml:space="preserve">Impacts on presenteeism and absenteeism work
</t>
  </si>
  <si>
    <t>United Kingdom</t>
  </si>
  <si>
    <t>N/A</t>
  </si>
  <si>
    <t>Investing in workplace stress programme</t>
  </si>
  <si>
    <t>Universal provision of workplace CBT service</t>
  </si>
  <si>
    <t>Multi-component universal provision of CBT for local authority employees in Wales. Outcomes over a 2 year period and costs to workplace estimated.</t>
  </si>
  <si>
    <t>Multi-component programme</t>
  </si>
  <si>
    <t>Providing support for people in debt</t>
  </si>
  <si>
    <t>Free debt advice delivered by an not-for-profit organisation within a GP</t>
  </si>
  <si>
    <t>Population aged 18 and over in England</t>
  </si>
  <si>
    <t>Finance industry
NHS
Local authorities</t>
  </si>
  <si>
    <t>Suicide and self-harm prevention programmes</t>
  </si>
  <si>
    <t>Increased use of psychosocial assessment in A&amp;E  to help reduce risk of further self-harm events</t>
  </si>
  <si>
    <t xml:space="preserve">NHS services
Local authority costs
Police costs
Productivity losses related to self-harm and suicide
</t>
  </si>
  <si>
    <t>Provision of signposting service and subsequent participation in group activities</t>
  </si>
  <si>
    <t xml:space="preserve">Individuals over 65 and not in work that self-identify as being lonely </t>
  </si>
  <si>
    <t>Local authorities</t>
  </si>
  <si>
    <t>NHS services
Increase in volunteering and loneliness averted</t>
  </si>
  <si>
    <t>Individuals living with diabetes and/or coronary heart disease</t>
  </si>
  <si>
    <t>Economic pay offs to health and social care services as well as impacts on productivity</t>
  </si>
  <si>
    <t>Collaborative care focused on individuals living with diabetes and/or coronary heart disease in England. Positive return on investment when productivity costs included. Favourable cost per QALY gained from health and social care system perspective.</t>
  </si>
  <si>
    <t>RCT and non-controlled evidence used</t>
  </si>
  <si>
    <t>Investing in collaborative care for people with long-term physical health problems</t>
  </si>
  <si>
    <t>Tackling loneliness and social isolation in older adults</t>
  </si>
  <si>
    <t>3)</t>
  </si>
  <si>
    <t>4 years</t>
  </si>
  <si>
    <t>L1</t>
  </si>
  <si>
    <t>L2</t>
  </si>
  <si>
    <t>L3</t>
  </si>
  <si>
    <t>L4</t>
  </si>
  <si>
    <t>L5</t>
  </si>
  <si>
    <t>L6</t>
  </si>
  <si>
    <t>L7</t>
  </si>
  <si>
    <t>L8</t>
  </si>
  <si>
    <t>£9.00:£1</t>
  </si>
  <si>
    <t>Local authority and NHS</t>
  </si>
  <si>
    <t>Cost savings from pregnancies averted</t>
  </si>
  <si>
    <t>link to source</t>
  </si>
  <si>
    <t>A23</t>
  </si>
  <si>
    <t>RCT</t>
  </si>
  <si>
    <t>B23</t>
  </si>
  <si>
    <t>A study which aims to quantify the cost-effectiveness and equity impact of the NHS health programme in Liverpool
A stochastic microsimulation model was used to counterfactually simulate individual life courses across five scenarios. A simulation horizon to 2040 was used with the results displayed for those aged between 30 to 84.</t>
  </si>
  <si>
    <t>No intervention (no NHS Health check programme)</t>
  </si>
  <si>
    <t>(1) Costs were based on the payment that Liverpool City Council makes to GPs to provide the NHS Health Check programme</t>
  </si>
  <si>
    <t>23 years</t>
  </si>
  <si>
    <t>QALY gains for intervention users</t>
  </si>
  <si>
    <t>Chris Kypridemos et al 2018 - Future cost-effectiveness and equity of the
NHS Health Check cardiovascular disease
prevention programme: Microsimulation
modelling using data from Liverpool, UK</t>
  </si>
  <si>
    <t>Further information on the article, authors and metrics</t>
  </si>
  <si>
    <t>2017</t>
  </si>
  <si>
    <t>M1</t>
  </si>
  <si>
    <t>Otago strength and balance exercise</t>
  </si>
  <si>
    <t xml:space="preserve">The Otago programme is a home based exercise programme in which participants are encouraged to perform exercises three times a week at home and also walk indoors and outdoors at a moderate pace. Otago is recommended for at least one year and participants receive support from trained staff through home visits and follow up telephone calls.  
</t>
  </si>
  <si>
    <t>65 - 97 year olds</t>
  </si>
  <si>
    <t xml:space="preserve">Value of a QALY - £60,000
Costs are discounted at 3.5%
QALYs are discounted at 1.5%
</t>
  </si>
  <si>
    <t>NHS  
Local authority</t>
  </si>
  <si>
    <t>https://www.gov.uk/government/publications/falls-prevention-cost-effective-commissioning</t>
  </si>
  <si>
    <t>M2</t>
  </si>
  <si>
    <t>Falls Management exercise (FaME)</t>
  </si>
  <si>
    <t xml:space="preserve">The Falls Management Exercise (FaME) programme is a community based group programme delivered by a postural stability instructor (PSI). The programme consists of weekly classes lasting between 45 and 75 minutes with additional home exercises.   
</t>
  </si>
  <si>
    <t>65 - 94 year olds</t>
  </si>
  <si>
    <t>NHS
Local authority</t>
  </si>
  <si>
    <t>M3</t>
  </si>
  <si>
    <t>Tai Chi or Tai Ji Quan</t>
  </si>
  <si>
    <t>Financial £0.99 : £1.
Societal £2:28 : £1</t>
  </si>
  <si>
    <t>Financial £0.95 : £1
Societal £2.20 : £1</t>
  </si>
  <si>
    <t>Tai chi exercises combine deep breathing and relaxation with flowing movement. It can be performed in a community based group on a weekly basis, with additional exercises at home. Tai Chi should be considered as a type of physical activity rather than a clinical falls prevention intervention.</t>
  </si>
  <si>
    <t>69 - 90 years old</t>
  </si>
  <si>
    <t>3.5% - costs
1.5% - benefits</t>
  </si>
  <si>
    <t>M4</t>
  </si>
  <si>
    <t>Home Assessment and Modification</t>
  </si>
  <si>
    <t>Financial £3.17 : £1
Societal £7.34 : £1.</t>
  </si>
  <si>
    <t>Financial £0.85 : £1
Societal £1.97 : £1</t>
  </si>
  <si>
    <t>Home assessment and modification (HAM) is a service in which relevant experts risk assess a person’s usual residence to identify environmental hazards and carries out actions to reduce these. Typical environmental hazards are loose mats, poor lighting and no handrails.</t>
  </si>
  <si>
    <t>62 - 91 years old</t>
  </si>
  <si>
    <t>MSK and Falls</t>
  </si>
  <si>
    <t>MSK</t>
  </si>
  <si>
    <t>M5</t>
  </si>
  <si>
    <t>Cognitive behavioural therapy (CBT) including exercise - lower back pain</t>
  </si>
  <si>
    <t>Intervention for the treatment of LBP which comprised exercise and education using CBT.  The intervention was delivered as group sessions by physiotherapists specifically trained in CBT.  Eight two-hour sessions delivered over a five week period in groups of four to 10 led by two physiotherapists.  An information booklet was also provided.</t>
  </si>
  <si>
    <t>18 - 65 years old who consulted their GPs with persistent disabling LBP</t>
  </si>
  <si>
    <t>15 months</t>
  </si>
  <si>
    <t>https://www.gov.uk/government/publications/musculoskeletal-conditions-return-on-investment-tool</t>
  </si>
  <si>
    <t>M6</t>
  </si>
  <si>
    <t>STarT Back (stratified risk assessment and care) - lower back pain</t>
  </si>
  <si>
    <t>12 months</t>
  </si>
  <si>
    <t>Adults over 18 years with back pain of any duration with or without associated radiculopathy</t>
  </si>
  <si>
    <t>Health care savings
QALY gains</t>
  </si>
  <si>
    <t xml:space="preserve">PhysioDirect involved telephone assessment and advice followed by face-to-face care if required (as opposed to being placed on a waiting list for routine face-to-face treatment).  The interview was conducted by a specially trained senior physiotherapist and assisted by computerised templates.  Patients were sent leaflets and advice on self-management, with invitation to call again or make a face to face appointment.
</t>
  </si>
  <si>
    <t>Adults 18+ referred by their general practitioner or self-referred for physiotherapy</t>
  </si>
  <si>
    <t>Self-referral to physiotherapy - all MSK conditions</t>
  </si>
  <si>
    <t>Patients could either undertake self-referral to a physiotherapist, with or without the suggestion of their GP.</t>
  </si>
  <si>
    <t>Adults</t>
  </si>
  <si>
    <t>Financial ROI £0.11 : £1
Societal ROI £7.52 : £1</t>
  </si>
  <si>
    <t>Financial ROI £2.08 : £1
Societal ROI  £47.32 : £1</t>
  </si>
  <si>
    <t>Yoga for Healthy Lower Backs</t>
  </si>
  <si>
    <t xml:space="preserve">Participants received a 12 week course of yoga (75 min weekly class) plus a relaxation CD, student yoga manual, yoga mat, the Back Book, education booklet for improving back pain and usual care.  </t>
  </si>
  <si>
    <t>18 - 60 year old patients with lower back pain</t>
  </si>
  <si>
    <t>Not applicable for 1 year intervention</t>
  </si>
  <si>
    <t>ESCAPE-Pain for knee pain</t>
  </si>
  <si>
    <t>50+ reporting knee pain for at least six months. Patients had to have had no physio in previous 12 months and not be wheelchair bound</t>
  </si>
  <si>
    <t>30 months</t>
  </si>
  <si>
    <t>Vocational advice from physiotherapists in primary care - MSK pain causing employment issues</t>
  </si>
  <si>
    <t>Patients 18+, absent from or struggling at work because of MSK pain for less than 6 months</t>
  </si>
  <si>
    <t>Cardiovascular Disease Prevention</t>
  </si>
  <si>
    <t>https://www.gov.uk/government/publications/cardiovascular-disease-prevention-cost-effective-commissioning</t>
  </si>
  <si>
    <t>Antihypertensives</t>
  </si>
  <si>
    <t>Statins</t>
  </si>
  <si>
    <t>Annual Review</t>
  </si>
  <si>
    <t>NHS Health Check</t>
  </si>
  <si>
    <t>NHS DPP</t>
  </si>
  <si>
    <t>Nutritional Advice for CKD</t>
  </si>
  <si>
    <t>Medicine Use Review</t>
  </si>
  <si>
    <t>Diabetes Education</t>
  </si>
  <si>
    <t>Cascade Testing</t>
  </si>
  <si>
    <t>Anticoagulants</t>
  </si>
  <si>
    <t>Smoking Cessation</t>
  </si>
  <si>
    <t>Blood Pressure Self Monitoring</t>
  </si>
  <si>
    <t>Insulin Pump</t>
  </si>
  <si>
    <t>Blood Glucose Lowering Therapy</t>
  </si>
  <si>
    <t>https://cvd-prevention.shef.ac.uk</t>
  </si>
  <si>
    <t>3.5% costs
1.5% QALYs</t>
  </si>
  <si>
    <t>-</t>
  </si>
  <si>
    <t>N1</t>
  </si>
  <si>
    <t>N2</t>
  </si>
  <si>
    <t>N3</t>
  </si>
  <si>
    <t>N4</t>
  </si>
  <si>
    <t>N5</t>
  </si>
  <si>
    <t>N6</t>
  </si>
  <si>
    <t>N7</t>
  </si>
  <si>
    <t>N8</t>
  </si>
  <si>
    <t>N9</t>
  </si>
  <si>
    <t>N10</t>
  </si>
  <si>
    <t>N11</t>
  </si>
  <si>
    <t>N12</t>
  </si>
  <si>
    <t>N13</t>
  </si>
  <si>
    <t>N14</t>
  </si>
  <si>
    <t>N15</t>
  </si>
  <si>
    <t>N16</t>
  </si>
  <si>
    <t xml:space="preserve">NHS
</t>
  </si>
  <si>
    <t>NHS and social care savings
QALY gains
Cost saving evidence</t>
  </si>
  <si>
    <t>A drug used to treat blood pressure
QALYs gained = 523392</t>
  </si>
  <si>
    <t>Any group of drugs which help to reduce cholesterol in the blood
QALYs gained =390579</t>
  </si>
  <si>
    <t>A health check-up for adults in England aged 40-74. It's designed to spot early signs of stroke, kidney disease, heart disease, type 2 diabetes or dementia
QALYs gained = 222252</t>
  </si>
  <si>
    <t>A joint commitment from NHS England, Public Health England and Diabetes UK. The intervention identifies those at high risk and refers them onto a behaviour change programme
QALYs gained = 10164</t>
  </si>
  <si>
    <t>Behavioural weight management programme
QALYs gained = 26880</t>
  </si>
  <si>
    <t>Individualised programme of nutritional advice using a band 5 dietician 
QALYs gained = 12004</t>
  </si>
  <si>
    <t>Pharmacist Medicine Review
QALYs gained = 2490</t>
  </si>
  <si>
    <t>Educational programmes for type 1 diabetes and group-based educational programmes for type 2 diabetes
QALYs gained = 19964</t>
  </si>
  <si>
    <t>Cascade testing using DNA testing
QALYs gained = 2454</t>
  </si>
  <si>
    <t>Medicine that helps prevent blood clots. Given to people at a high risk of getting clots, to reduce their chances of developing serious conditions such as strokes
QALYs gained = 90771</t>
  </si>
  <si>
    <t>NHS stop smoking services, for smokers in all high risk groups
QALYs gained = 137796</t>
  </si>
  <si>
    <t>Blood pressure self-monitoring
QALYs gained = 88477</t>
  </si>
  <si>
    <t>Insulin pump therapy, subcutaneous insulin infusion.
QALYs gained = 2016</t>
  </si>
  <si>
    <t>Blood glucose lowering medication
QALYs gained = 158375</t>
  </si>
  <si>
    <t>New cases of depression in the general population = 0.012
Still has depression at 4 months with collaborative care = 0.57
Still has depression at 4 months with usual care = 0.72
Probability depression if one has physical health problems = 0.37
Probability of being employed = 0.745
Rate of employment in people depression = 0.6
Cost of collaborative care = £168</t>
  </si>
  <si>
    <t>Average debt arrears = £6000
Development of mental health problem = 6.3%
Development of persistent depression = 33%
Proportion of those in debt who are employed =30%
Unit cost of face to face consultation £128
Cost of GP training on financial awareness = £1050</t>
  </si>
  <si>
    <t>Employer
NHS</t>
  </si>
  <si>
    <t>Local authority
NHS</t>
  </si>
  <si>
    <t>I67</t>
  </si>
  <si>
    <t>Smoking cessation interventions in pregnancy - MiQuit</t>
  </si>
  <si>
    <t>£14 : £1</t>
  </si>
  <si>
    <t>Cost-effectiveness</t>
  </si>
  <si>
    <t>12 weeks intervention
21 weeks of monitoring</t>
  </si>
  <si>
    <t>Economic benefits
Maternal outcomes
Offspring outcomes</t>
  </si>
  <si>
    <t>Matthew J,  Murray S,  Sarah L,  Steve P,  Tim C - A dynamic, modifiable model for estimating cost-effectiveness of smoking cessation interventions in pregnancy: application to an RCT of self-help delivered by text message</t>
  </si>
  <si>
    <t>Year evidence was added to HEER</t>
  </si>
  <si>
    <t>I68</t>
  </si>
  <si>
    <t>Tobacco - incentives for cessation</t>
  </si>
  <si>
    <t>Cessation in Pregnancy Incentives Trial (CPIT) Team</t>
  </si>
  <si>
    <t>Cost-utility (based on RCT programme)</t>
  </si>
  <si>
    <t>Pregnant women (low socio-economic communities)</t>
  </si>
  <si>
    <t>Pregnancy outcomes
QALYs
Smoking cessation</t>
  </si>
  <si>
    <t>NHS Diabetes Prevention Programme</t>
  </si>
  <si>
    <t>NHS England</t>
  </si>
  <si>
    <t>Local authorities (most cases)
NHS (less cases e.g. hospital and prison)</t>
  </si>
  <si>
    <t>3.5.% costs
 1.5% QALYs</t>
  </si>
  <si>
    <t>Diabetes Prevention Programme (NHS DPP) will identify those at high risk and refer them onto a behaviour change programme. 
This tool simulates what will happen in your local area if the NHS DPP is implemented for one year. Your local population is simulated based on demographic characteristics; age, sex, ethnicity, deprivation and diabetes prevalence. The population is then simulated for 20 years after the NHS DPP to estimate the effects on their health, changes in healthcare costs and to calculate the return on investment.
NHS DPP becomes cost-effective (based on NICE threshold of £20k / QALY) in year 5 and recoups intervention costs in year 9. Based on the default inputs of the tool, the net monetary benefit of DPP will be £3.26m and has a cost per QALY of £13,971.</t>
  </si>
  <si>
    <r>
      <t>Evidence based on default inputs for ROI tool and n=1,500:
Intervention uptake: 32%
Co</t>
    </r>
    <r>
      <rPr>
        <sz val="11"/>
        <rFont val="Arial"/>
        <family val="2"/>
      </rPr>
      <t>st: £270
Intervention effect: default</t>
    </r>
    <r>
      <rPr>
        <sz val="11"/>
        <color theme="1"/>
        <rFont val="Arial"/>
        <family val="2"/>
      </rPr>
      <t xml:space="preserve">
Effectiveness: based on meta-analysis commissioned by PHE.
-Weight loss: 3.24kg
- BMI reduction: 1.47kg/m2
- HbA1c reduction: 0.2%
- Systolic blood pressure reduction: 6.57 mmHg
 - Cholesterol reduction: 0.28 mmol/l
Time to return to baseline after intervention effect: 5 years</t>
    </r>
  </si>
  <si>
    <t>F52</t>
  </si>
  <si>
    <t>Bariatric surgery, lifestyle interventions and orlistat
for severe obesity: the REBALANCE mixed-methods
systematic review and economic evaluation - Alison Avenell et al 2018</t>
  </si>
  <si>
    <t xml:space="preserve">Roux-en-Y gastric bypass (RYGB) </t>
  </si>
  <si>
    <t>Very Low Calorie Diet (VLCD)</t>
  </si>
  <si>
    <t>Look AHEAD</t>
  </si>
  <si>
    <t>Weight Management Programme 1 (WMP 1)</t>
  </si>
  <si>
    <t>Weight Management Programme (WMP 2)</t>
  </si>
  <si>
    <t>F53</t>
  </si>
  <si>
    <t>F54</t>
  </si>
  <si>
    <t>F55</t>
  </si>
  <si>
    <t xml:space="preserve">QALYs and intervention cost </t>
  </si>
  <si>
    <t xml:space="preserve">QALYs </t>
  </si>
  <si>
    <t>Defined as meal replacements products providing &lt;= 800 kcal/day (+,- 10%)</t>
  </si>
  <si>
    <t>A type of bariatric surgery which is a more complicated procedure and involves the creation of a small pouch at the top of the stomach with staples.</t>
  </si>
  <si>
    <t>Tailored , home-based exercises, including walking are prescribed with a gradual progression towards a goal of 175 minutes of moderate-intensity exercise  per week.</t>
  </si>
  <si>
    <t>Participants are given professional advice on physical activities and lifestyle interventions</t>
  </si>
  <si>
    <t>Participants are given professional advice on dietary interventions e.g. meal replacements and weight loss programmes such as weight watchers</t>
  </si>
  <si>
    <t>1.5% costs
1.5% benefits</t>
  </si>
  <si>
    <t>3.5% costs
3.5% benefits</t>
  </si>
  <si>
    <t>Interventions are sourced from a paper which conducted a systematic review and as a result includes additional interventions which can be considered</t>
  </si>
  <si>
    <t>L9</t>
  </si>
  <si>
    <t>Health visiting and reducing post-natal depression</t>
  </si>
  <si>
    <t>School-based social and emotional learning programmes to prevent conduct problems in childhood</t>
  </si>
  <si>
    <t>School-based interventions to reduce bullying</t>
  </si>
  <si>
    <t>Screening and brief intervention in primary care for alcohol misuse</t>
  </si>
  <si>
    <t>Promoting well-being in the workplace</t>
  </si>
  <si>
    <t>Population-level suicide awareness training and intervention</t>
  </si>
  <si>
    <t>Collaborative care for depression in individuals with Type II diabetes</t>
  </si>
  <si>
    <t>Tackling medically unexplained symptoms</t>
  </si>
  <si>
    <t>Befriending of older adults</t>
  </si>
  <si>
    <t>Early detection for psychosis</t>
  </si>
  <si>
    <t>Early intervention for psychosis</t>
  </si>
  <si>
    <t>Debt and mental health</t>
  </si>
  <si>
    <t>Workplace screening for depression and anxiety disorders</t>
  </si>
  <si>
    <t>Bridge safety measures for suicide prevention</t>
  </si>
  <si>
    <t>£0.80 : £1</t>
  </si>
  <si>
    <t>L10</t>
  </si>
  <si>
    <t>L11</t>
  </si>
  <si>
    <t>L12</t>
  </si>
  <si>
    <t>L13</t>
  </si>
  <si>
    <t>L14</t>
  </si>
  <si>
    <t>L15</t>
  </si>
  <si>
    <t>L16</t>
  </si>
  <si>
    <t>L17</t>
  </si>
  <si>
    <t>L18</t>
  </si>
  <si>
    <t>L19</t>
  </si>
  <si>
    <t>L20</t>
  </si>
  <si>
    <t>L21</t>
  </si>
  <si>
    <t>L22</t>
  </si>
  <si>
    <t xml:space="preserve">Investing in parenting interventions </t>
  </si>
  <si>
    <t>Investing in psychosis interventions</t>
  </si>
  <si>
    <t>Investing in alcohol misuse interventions</t>
  </si>
  <si>
    <t>Investing in depression interventions</t>
  </si>
  <si>
    <t>Investing in medical interventions</t>
  </si>
  <si>
    <t>£10.27 : £1</t>
  </si>
  <si>
    <t>£17.97 : £1</t>
  </si>
  <si>
    <t>£83.73 : £1</t>
  </si>
  <si>
    <t>£14.35 : £1</t>
  </si>
  <si>
    <t>£11.75 : £1</t>
  </si>
  <si>
    <t>£3.55 : £1</t>
  </si>
  <si>
    <t>£43.99 : £1</t>
  </si>
  <si>
    <t>£54.45 : £1</t>
  </si>
  <si>
    <t>£0.33 : £1</t>
  </si>
  <si>
    <t>£1.75 : £1</t>
  </si>
  <si>
    <t>£0.44 : £1</t>
  </si>
  <si>
    <t>£7.89 : £1</t>
  </si>
  <si>
    <t>£9.69 : £1</t>
  </si>
  <si>
    <t>L23</t>
  </si>
  <si>
    <t>£5.03 : £1</t>
  </si>
  <si>
    <t>Published research literature</t>
  </si>
  <si>
    <t>£ GBP 2009 prices</t>
  </si>
  <si>
    <t>Health visitors are well placed to identify mothers suffering from postnatal depression and to provide preventative screening and early interventions. A range of UK trials with interventions provided by health visitors have been positive: women were more likely to recover fully after 3 months; targeted ante-natal intervention with high-risk groups was shown to reduce the average time mothers spent in a depressed state and a combination of screening and psychologically informed sessions with health visitors was clinically effective 6 and 12 months after childbirth.</t>
  </si>
  <si>
    <t>Parenting programmes can be targeted at parents of children with, or at risk of, developing conduct disorder, and are designed to improve parenting styles and parent-child relationships. The median cost of an 8–12 week group-based parenting programme is estimated at £952 per family, while that of individual interventions is £2,078</t>
  </si>
  <si>
    <t>5 year old children</t>
  </si>
  <si>
    <t>RoI, ICER</t>
  </si>
  <si>
    <t>RoI, NHS savings</t>
  </si>
  <si>
    <t>RoI</t>
  </si>
  <si>
    <t>School-based Social and Emotional Learning (SEL) programmes help children and young people to recognise and manage emotions, set and achieve positive goals, appreciate the perspectives of others, establish and maintain positive relationships, make responsible decisions and handle interpersonal situations constructively. International evidence shows that SEL participants demonstrate significantly improved social and emotional skills, attitudes, behaviour, and academic performance.</t>
  </si>
  <si>
    <t>10 year old children</t>
  </si>
  <si>
    <t>Intervention cost: £132 per child per year</t>
  </si>
  <si>
    <t>Early detection services aim to identify the early symptoms of psychosis, reduce the risk of transition to full psychosis and shorten the duration of untreated psychosis for those who do develop it. Such services include the provision of sessions of cognitive behavioural therapy, psychotropic medication, and contact with psychiatrists; this contrasts with treatment as usual which typically consists of GP and counsellor contacts.</t>
  </si>
  <si>
    <t>Cost saving</t>
  </si>
  <si>
    <t>Early intervention teams aim to reduce relapse and readmission rates for patients who have suffered a first episode of psychosis, and to improve their chances of returning to employment, education or training, and more generally their future quality of life. Such intervention involves a multidisciplinary team that could include a range of professionals (psychiatrists, psychologists, occupational therapists, community support workers, social workers, vocational workers). The emphasis is on an assertive approach to maintaining contact
with the patient and on encouraging a return to normal vocational pursuits. In the UK evidence has shown that early intervention can reduce relapse and readmission to hospital and to improve quality of life.</t>
  </si>
  <si>
    <t>Young people aged 15 to 35 years in the general population</t>
  </si>
  <si>
    <t>Anti-bullying programmes in schools show mixed results, depending on the design of the intervention and its implementation. That said, there is a consensus in the literature that whole-school programmes with a range of components operating at different levels within the school are more effective in reducing the prevalence of bullying than curriculum-based programmes. One high-quality evaluation of a school-based anti-bullying intervention found a 21–22% reduction in the proportion of children victimised. Benefits include improvements in the emotional, physical and social health of victims, school attendance and educational attainment, all of which are associated with better long-term employment and earnings outcomes.</t>
  </si>
  <si>
    <t xml:space="preserve">Effective strategies to reduce alcohol-related harm require a combination of measures, covering both population-level approaches (such as price increases and advertising controls) and interventions aimed at individuals. In the latter category, evidence indicates that brief interventions in primary care settings achieve an average 12.3% reduction in alcohol consumption per individual. However, this is a short-term effect and evidence about its duration is less clear cut. </t>
  </si>
  <si>
    <t>A multi-component health promotion intervention of the sort modelled in the current study consists of personalised health and well-being information and advice; a health risk appraisal questionnaire; access to a
tailored health improvement web portal; wellness literature; and seminars and workshops focused on identified wellness issues. A quasi experimental evaluation of this type of programme has reported significantly reduced stress levels, reduced absenteeism and reduced presenteeism, compared with a control group. Promotion of long-term mental well-being may be associated with reduced longer term risk of poor
mental health, although the evidence for this remains weak.</t>
  </si>
  <si>
    <t>500 white collar employees</t>
  </si>
  <si>
    <t xml:space="preserve"> The current evidence suggests that there is potential for debt advice interventions to alleviate financial debt, and hence reduce mental health problems resulting from debt. For the general population, contact with face to-face advice services is associated with a 56% likelihood of debt becoming manageable, while telephone services achieve 47%. In comparison, around one-third of problem debt may be resolved without any intervention. </t>
  </si>
  <si>
    <t>Working age adults without mental health problems</t>
  </si>
  <si>
    <t>For greatest cost-effectiveness, careful consideration needs to be given to models of financing and to the mix between face-to-face, telephone and web-based provision.</t>
  </si>
  <si>
    <t>The cost of this type of intervention has several components. A course of ten sessions of CBT in the first year is around £400 per person. Further ongoing pharmaceutical and psychological therapy is estimated to cost
£1,182 a year (2009 prices). The cost of suicide prevention training for GPs, based on the Applied Suicide Intervention Skills Training (ASIST) course, is £200 which would mean a total cost of around £8m if delivered to all GPs in England</t>
  </si>
  <si>
    <t>GP patients in England</t>
  </si>
  <si>
    <t xml:space="preserve">Collaborative care’ can be delivered in a primary care setting to individuals with co-morbid diabetes and depression. Like ‘usual care’, collaborative care includes GP advice and care, the use of antidepressants and cognitive behavioural therapy (CBT) for some patients. The difference is that for collaborative care a GP practice nurse acts as a case manager for patients receiving care; GPs also incur additional time costs liaising with practice nurses. </t>
  </si>
  <si>
    <t>RoI and ICER</t>
  </si>
  <si>
    <t>Patients with newly diagnosed cases of Type 2 diabetes who screen positive for depression.</t>
  </si>
  <si>
    <t>A course of CBT may last for 10 sessions at £40 per session. Costs associated with the need to raise the awareness of GPs to the potential role of CBT treatment for somatoform conditions, either through e-learning or (much more expensively) face-to-face training are also included. These include costs associated with encouraging GPs to attend regional workshops prior to e-learning, and the costs of lcums while GPs are attending face-to-face courses.</t>
  </si>
  <si>
    <t>Working age individuals in England who present to GPs with somatoform</t>
  </si>
  <si>
    <t>The model relies on evidence of effectiveness from US studies, which may or may not be generalisable to an English context</t>
  </si>
  <si>
    <t>In a typical befriending intervention, a befriender visits a person in their home, usually on a one-to-one basis, where that individual has requested and agreed to such a contact. The intervention is not usually structured and nor does it have formally-defined goals. Instead an informal, natural relationship develops between the participants, who will usually have been matched for interests and preferences. This relationship facilitates improved mental health, reduced loneliness and greater social inclusion.</t>
  </si>
  <si>
    <t>The contact is generally for an hour per week or fortnight. The cost to public services of 12 hours of befriending contact is estimated at £85, based on the lower end of the cost range for befriending interventions.</t>
  </si>
  <si>
    <t xml:space="preserve"> Lonely and isolated individuals aged over 50</t>
  </si>
  <si>
    <t>Workplace-based enhanced depression care consists of completion by employees of a screening questionnaire, followed by care management for those found to be suffering from, or at risk of developing, depression and/or anxiety disorders. Those identified as being at risk of depression or anxiety disorders are offered a course of cognitive behavioural therapy (CBT) delivered in six sessions over 12 weeks. This intervention has been shown in a number of studies to be effective in tackling depression and reducing
productivity losses in various workplaces. In a similar approach in Australia, productivity improvements outweighed the costs of the intervention.</t>
  </si>
  <si>
    <t xml:space="preserve">Working age individuals in a white collar enterprise with 500 FT equivalent </t>
  </si>
  <si>
    <t>CCGs</t>
  </si>
  <si>
    <t>F56</t>
  </si>
  <si>
    <t>Brief intervention for Weight Loss (BWeL)</t>
  </si>
  <si>
    <t>QALYs, intervention costs, savings</t>
  </si>
  <si>
    <t>Advice group of the intervention</t>
  </si>
  <si>
    <t>A brief intervention in which physicians opportunistically endorse, offer, and facilitate a referral to a behavioural weight management service to patients with a BMI of at least 30 kg/m2 reduces healthcare costs and improves health more than advising weight loss. 
In the support intervention physicians advised patients that the best way to lose weight was to attend one of two well-known UK commercial weight management programmes which are available as a 12-week group programme paid for by the English NHS and offered them a referral to the group. These were Slimming World and Rosemary Conley.
In the advice arm of the intervention, physicians advised the patient their health would benefit from weight loss. Patients welcomed the intervention; one in 500 thought the intervention inappropriate and unhelpful, while more than four in five thought it appropriate and helpful.</t>
  </si>
  <si>
    <t>Football Fans in Training (FFIT)</t>
  </si>
  <si>
    <t>Cost-effectiveness analysis, RCT</t>
  </si>
  <si>
    <t>F57</t>
  </si>
  <si>
    <t>A total of 747 men aged 35 - 65 years with a BMI of =&gt;28kg/m^2
374 men were allocated the intervention and 333 completed the 12 month assessment</t>
  </si>
  <si>
    <t>89% completion rate</t>
  </si>
  <si>
    <t>QALYs, and weight loss</t>
  </si>
  <si>
    <t>Children 0-5 Services</t>
  </si>
  <si>
    <t>Breastfeeding</t>
  </si>
  <si>
    <t>Breastfeeding Support using Proactive Telephone calls</t>
  </si>
  <si>
    <t>This intervention has been taken from PHE's Best Start in Life Tool. It provides proactive daily telephone calls from a specialised feeding team on a postnatal ward for 1 week following discharge from hospitals. 
An ICER of £1,939 is generated against reactive telephone as a comparator intervention.</t>
  </si>
  <si>
    <t>Cost-Utility Analysis</t>
  </si>
  <si>
    <t>Women from deprived areas (IMD England 1-3) who were breastfeeding when discharged from hospital.</t>
  </si>
  <si>
    <t>The comparator intervention is reactive telephone calls where new mothers could telephone the feeding team at any time over the 2 weeks following discharge.</t>
  </si>
  <si>
    <t>Benefits to the child: 1 year. Benefits to the mother: lifetime</t>
  </si>
  <si>
    <t>Cost of Intervention. Effectiveness was measured as uptake of breastfeeding. QALYs gained and ICER</t>
  </si>
  <si>
    <t>1.5% Health Benefits and
Costs 3.5%</t>
  </si>
  <si>
    <t>Link to Source</t>
  </si>
  <si>
    <t>J19</t>
  </si>
  <si>
    <t>Enhanced Staff Contact for Breastfeeding Mothers</t>
  </si>
  <si>
    <t>Mothers with infants in neonatal units</t>
  </si>
  <si>
    <t>Normal Staff Contact i.e. no additional of specially trained staff.</t>
  </si>
  <si>
    <t xml:space="preserve">Benefits to the Child: Lifetime </t>
  </si>
  <si>
    <t>Intervention cost and QALYs gained by the child. ICER</t>
  </si>
  <si>
    <t>J20</t>
  </si>
  <si>
    <t>Postnatal Depression</t>
  </si>
  <si>
    <t>Midwifery Redesigned Postnatal Care</t>
  </si>
  <si>
    <t>Usual Care</t>
  </si>
  <si>
    <t>Benefits to the child: Lifetime. Benefits to the mother: up to 10 years after birth.</t>
  </si>
  <si>
    <t>Intervention cost and QALYs gained by the mother and child. ICER</t>
  </si>
  <si>
    <t>Peer Support Intervention</t>
  </si>
  <si>
    <t>Group Physical Therapy</t>
  </si>
  <si>
    <t>Booklet on Postnatal Depression (PND)</t>
  </si>
  <si>
    <t>This intervention has been taken from PHE's Best Start in Life Tool. An educational booklet is provided 4 weeks after birth which explains the symptoms of PND and identifies local services. The intervention has an ICER of £147.</t>
  </si>
  <si>
    <t>Benefits (QALYs) to the mother: 1 year.</t>
  </si>
  <si>
    <t>Intervention cost and QALYs gained by the mother. ICER</t>
  </si>
  <si>
    <t>Not Discounted</t>
  </si>
  <si>
    <t>Early Contact with Care Provider</t>
  </si>
  <si>
    <t>Calcium Prescription</t>
  </si>
  <si>
    <t>This intervention has been taken from PHE's Best Start in Life Tool. Women are prescribed 1000mg of elemental calcium, twice a day (2000mg in total) between 11 and 21 weeks' gestation until birth. This intervention has an ICER of £9,566.</t>
  </si>
  <si>
    <t>This intervention has been taken from PHE's Best Start in Life Tool. CBT involves a 1 hour prevention session between 2 and 5 days postnatally. This intervention results in an ICER of £41,258.</t>
  </si>
  <si>
    <t>Selective: women with a score of 9 or more on the Social Disadvantage Screening Index.</t>
  </si>
  <si>
    <t>This intervention has been taken from PHE's Best Start in Life Tool. A midwife advisor for twins provides a series of education sessions, additional home visits and attendance at an antenatal clinic for women with twins. This intervention results in an ICER of £17,551.</t>
  </si>
  <si>
    <t>Selective: Women with twins</t>
  </si>
  <si>
    <t>Interpersonal Therapy (IPT) based Intervention.</t>
  </si>
  <si>
    <t>This intervention has been taken from PHE's Best Start in Life Tool. IPT involves 5 individual 1-hour sessions and results in an ICER of £35,083.</t>
  </si>
  <si>
    <t>Selective: Mothers at risk of post-natal depression determined by the Edinburgh Postnatal Depression Scale.</t>
  </si>
  <si>
    <t>L24</t>
  </si>
  <si>
    <t>L25</t>
  </si>
  <si>
    <t>L26</t>
  </si>
  <si>
    <t>L27</t>
  </si>
  <si>
    <t>L28</t>
  </si>
  <si>
    <t>L29</t>
  </si>
  <si>
    <t>L30</t>
  </si>
  <si>
    <t>L31</t>
  </si>
  <si>
    <t>L32</t>
  </si>
  <si>
    <t>Supervised injection facilities</t>
  </si>
  <si>
    <t>The Vancouver SIF (supervised injection facility) prevents 35 new cases of HIV and prevents 2.87 deaths each year. The average value of the benefits are $5.25 million for HIV infections prevented and $2.31 million for deaths prevented resulting in an average total saving of $7.56 million. The cost of operating the site is $1.5 million which provides an average benefit-cost ratio of 5.12</t>
  </si>
  <si>
    <t>Cost-Benefit and Cost-Effectiveness Analysis</t>
  </si>
  <si>
    <t>Published Academic Journal</t>
  </si>
  <si>
    <t>Injecting drug users population in Vancouver, Canada</t>
  </si>
  <si>
    <t>No Intervention</t>
  </si>
  <si>
    <t>Cost Assumptions: this is based on operational costs of $1.5 million of the SIF portion of Insite and has been taken from the Principal Investigator, who evaluated Insight on behalf of Health Canada. The SIF is in operation for 18 hours per day. 
The number of HIV infections prevented was determined as an average of 4 different models which assumed that IDUs (Injecting Drug Users) at the SIF (Insite) share needles at a frequency of 0.3 (30%) of non-Insite IDUs. The number of HIV infections prevented is 35 and given the lifetime cost of treating a new HIV infection is $150,000 - this results in a saving of $5,250,000.</t>
  </si>
  <si>
    <t xml:space="preserve">Benefit-Cost Ratio
Number of HIV infections and overdose deaths prevented. 
Cost saved by prevention. 
</t>
  </si>
  <si>
    <t>$ CAD</t>
  </si>
  <si>
    <t>Andresen MA, Boyd N. A cost-benefit and cost-effectiveness analysis of Vancouver’s
supervised injection facility. Int J Drug Policy 2010;21:70–6.</t>
  </si>
  <si>
    <t>H24</t>
  </si>
  <si>
    <t>Home blood pressure monitoring for hypertension diagnosis and treatment</t>
  </si>
  <si>
    <t xml:space="preserve">A decision-analytic model was used to identify the short and long-run ROI of Clinic BP Monitoring compared to Home BP Monitoring. The ROI varied depending on age group and time-horizon. Over a time-horizon of 10 years, the ROI was $7.50 for individuals between 45-64 years of age and $19.34 for those aged 65 and over. </t>
  </si>
  <si>
    <t>Members of 2 health insurance plans: 1 private with 25,478 members and 1 Medicare Advantage with 8,253 members, during 2008 to 2011. The plans had a male-to-female ratio of 0.531:1 and 0.592:1, respectively.</t>
  </si>
  <si>
    <t>Clinic Blood Pressure Monitoring (CBPM)</t>
  </si>
  <si>
    <t>The cost assumptions are from the perspective of a private health insurer as payer, this includes only the reimbursement cost of Home Blood Pressure Monitoring (HBPM) devices plus the cost of a campaign to raise awareness amongst plan members about reimbursement. Only upper arm BPM were considered, and the equipment lifetime was assumed to be five years. No difference in adherence to hypertensive treatment was assumed.
ROI was calculated as: (savings – cost)/cost</t>
  </si>
  <si>
    <t>Benefit-Cost Ratio
Short and Long Run Return on Investment</t>
  </si>
  <si>
    <t>Arrieta A, Woods JR, Qiao N, et al. Cost-benefit analysis of home blood pressure
monitoring in hypertension diagnosis and treatment: an insurer perspective.
Hypertension 2014;64:891–6.</t>
  </si>
  <si>
    <t>B24</t>
  </si>
  <si>
    <t>Falls Prevention</t>
  </si>
  <si>
    <t>Community-based falls prevention</t>
  </si>
  <si>
    <t>AU$20.6: $1</t>
  </si>
  <si>
    <t>A cost-benefit analysis of "Stay on Your Feet" (SOYF) which is a community based falls prevention program, was undertaken. The benefits of the program in terms of all direct and indirect costs avoided was AU$16.9 million and the cost of the program was AU$781,829. This produced an average overall benefit-cost ratio of 20.6 :1</t>
  </si>
  <si>
    <t>People aged 60 and over at all risk levels, in the North Coast Region of New South Wales, Australia. This is a approximately 90,000 people out of a total population of 400,000.</t>
  </si>
  <si>
    <t>Older people in Queensland, Australia - No Intervention</t>
  </si>
  <si>
    <t xml:space="preserve">The costs and benefits are recorded in AUD where 1 $AUD is 0.75 $USD. The CBA includes direct (medical) and indirect costs. Benefits are measured using two methods. Method 1 compares hospital admission rate between the two regions based on the first SOYF evaluation. Method 2 compares hospital utilisation in the intervention region compared to NSW as a whole.  The BCR of 20.6 is an average of both methods. </t>
  </si>
  <si>
    <t>18 months</t>
  </si>
  <si>
    <t>Benefit-Cost Ratio</t>
  </si>
  <si>
    <t>1995/96 
$ AUD</t>
  </si>
  <si>
    <t>Beard J, Rowell D, Scott D, et al. Economic analysis of a community-based falls
prevention program. J R Inst Public Health 2006;120:742–51.</t>
  </si>
  <si>
    <t>M7</t>
  </si>
  <si>
    <t>Smoking cessation</t>
  </si>
  <si>
    <t>£1.77 : £1</t>
  </si>
  <si>
    <t>Current package is dominant over baseline scenario of doing nothing</t>
  </si>
  <si>
    <t>Running the NICE Tobacco Control ROI Tool v3.0 for the population of Wirral indicates that investing £1 on its current package of interventions for smoking cessation produces a BCR of 1.77 over a lifetime. Over a lifetime the current package costs less and provides more QALYs, averted deaths and life years gained compared to doing nothing.</t>
  </si>
  <si>
    <t>NICE ROI Tool</t>
  </si>
  <si>
    <t>Population of Wirral, UK</t>
  </si>
  <si>
    <t>QALYs gained per 1,000 population. Smoking-related death averted. Life years gained. 
Benefit-Cost Ratio
ICER</t>
  </si>
  <si>
    <t>Collins B. Cost effectiveness of stop smoking services in Wirral: 2015 update. UK:
Wirral, 2015.</t>
  </si>
  <si>
    <t>I69</t>
  </si>
  <si>
    <t>Multisystematic therapy with serious juvenile offenders and their siblings</t>
  </si>
  <si>
    <t xml:space="preserve">$5.04:$1 </t>
  </si>
  <si>
    <t>Multisystemic therapy (MST) is a family-based treatment for criminal activity of serious juvenile offenders. Investing $1 in this program results in $5.04 (BCR for sibling pairs) saved by taxpayers and victims of crime, over 25 years. From a referred youth (narrower) perspective, the BCR is 4.78 over the same time horizon.</t>
  </si>
  <si>
    <t>305 in total which comprises: 176 serious juvenile offenders and 129 of their closest in-age siblings.</t>
  </si>
  <si>
    <t>Individual Therapy</t>
  </si>
  <si>
    <t>All monetary values were adjusted to 2012 using the Consumer Price Index (CPI: Bureau of Labor Statistics, 2012) and the benefit-cost ratio was calculated on an incremental basis. The benefit of MST to taxpayers and victims of crime were summed together and then the benefit of Individual Therapy (IT) was subtracted in order to calculate an incremental expected benefit. Similarly, the costs of delivering IT was subtracted from the cost of providing MST to calculate an incremental cost. The benefit to taxpayers covers the reduction in criminal justice system costs such as police, court processing and community supervision.</t>
  </si>
  <si>
    <t>Reduction in Criminality, Benefit-Cost Ratio</t>
  </si>
  <si>
    <t>Dopp AR, Borduin CM, Wagner DV, et al. The economic impact of multisystemic
therapy through midlife: a cost-benefit analysis with serious juvenile offenders and
their siblings. J Couns Clin Psychol 2014;82:694–705.</t>
  </si>
  <si>
    <t>K12</t>
  </si>
  <si>
    <t>Improved walking and cycling infrastructure</t>
  </si>
  <si>
    <t>$1.87:$1</t>
  </si>
  <si>
    <t>This is a cost-benefit analysis of a model estimation based on National Household Travel Survey (USA). It is estimated that investing $450 million in making pavements available to all residents of Dane County, Wisconsin would produce a BCR of 1.87</t>
  </si>
  <si>
    <t>The annual total combined benefit was $99.16 million in 2002 which is a sum of $90.93 million in terms of health benefits and $8.23 million in terms of benefits in air pollution. Over 10 years with an annual discount rate of 3% this produces total benefits of $845.85 million. The total construction costs are $450.8 million therefore the BCR is (845.85/450.8) = 1.87</t>
  </si>
  <si>
    <t>2001-2 
$ USD</t>
  </si>
  <si>
    <t>Guo JY, Gandavarapu S. An economic evaluation of health-promotive built
environment changes. Prev Med 2010;50:44–9.</t>
  </si>
  <si>
    <t>F58</t>
  </si>
  <si>
    <t>Multisystematic therapy with serious juvenile offenders</t>
  </si>
  <si>
    <t>$23.59-$9.51 : $1</t>
  </si>
  <si>
    <t>A cost-benefit analysis of multisystemic therapy (MST) against individual
therapy (IT) for serious juvenile offenders, demonstrated that for every $1 spent on MST resulted in a BCR of $9.51 saving for one victimisation per arrest and $23.59 saving for multiple victimisations per arrest.</t>
  </si>
  <si>
    <t>Participants were 176 individuals who originally participated in a randomized clinical trial (Borduin et al., 1995) and were subsequently tracked in a 13.7-year follow-up of criminal activity (range 11.8 –15.2 years; SD 1.2 years; 
Schaeffer &amp; Borduin, 2005).</t>
  </si>
  <si>
    <t>13.7 years</t>
  </si>
  <si>
    <t>Kleitz SJ, Borduin CM. Cost-benefit analysis of multisystematic therapy with serious
and violent juvenile offenders. J Fam Psychol 2010;24:657–66.</t>
  </si>
  <si>
    <t>K13</t>
  </si>
  <si>
    <t>Medication management for high-risk groups, medication therapy management (MTM).</t>
  </si>
  <si>
    <t>$2.00:$1</t>
  </si>
  <si>
    <t>This intervention is a medication therapy management (MTM) programme which involves at least 3 consultations with a clinical pharmacist to assess and discuss patients' drug therapy regime, in order to improve adherence. This study was targeted at individuals at high risk, who were invited to participate. This study focused on 5 conditions: diabetes, hypertension, dyslipidaemia, depression and asthma. The benefits of this programme in terms of reduced healthcare costs are $977 and the cost of administering this programme are $478, which results in a BCR of 2.0</t>
  </si>
  <si>
    <t>The matched study population consisted of 4,500 patients. The MTM and control group comprised eligible members of
a large employer prescription benefit plan who were identified between October 1, 2007, and November 12, 2008.</t>
  </si>
  <si>
    <t>The $977 reduction in healthcare costs compared to the control group represents a decrease of 10.3%. Healthcare costs are a total of medical costs (inpatient hospitalisation) and pharmacy costs which are the cost of dispensed medication.</t>
  </si>
  <si>
    <t>Not Stated</t>
  </si>
  <si>
    <t>Moore JM, Shartle D, Faudskar L, et al. Impact of a patient-centred pharmacy
program and intervention in a high-risk group. J Manag Care Pharm
2013;19:228–36.</t>
  </si>
  <si>
    <t>F59</t>
  </si>
  <si>
    <t>Miscellaneous</t>
  </si>
  <si>
    <t>20 mph zones in London</t>
  </si>
  <si>
    <t>£2.19-£0.66 : 1</t>
  </si>
  <si>
    <t>Cost per QALY was £429,800 in low casualty areas and £86,500 in high casualty areas.</t>
  </si>
  <si>
    <t>Investing £1 in mandatory 20 mph speed limit zones produces a BCR of 0.66 in low casualty areas and a BCR of 2.19 in high casualty areas.</t>
  </si>
  <si>
    <t>Population of London, UK</t>
  </si>
  <si>
    <t>In low casualty areas, the total costs of casualties were £120,749 where the intervention was implemented compared to £170,445 for the control, this resulted in a saving/benefit of £49,700 in terms of reduced casualties. The cost of the intervention was £75,100 which produced a BCR of 0.66. In high casualty areas, the total costs of casualties were £350,375 where the intervention was implemented compared to £516,780 for the control, this resulted in a saving/benefit of £166,400 in terms of reduced casualties. The cost of the intervention was £75,800 which produced a BCR of 2.19. 
The cost-benefit analysis was conducted from a societal perspective and included the investment in changing road designs and medical/human costs of casualties including lost production. The benefits of preventing casualties are based on DfT valuations. 
The cost-utility analysis was conducted from a public sector perspective which covers the cost of health, police, local government and DfT costs. and uses QALYs as the health outcome.</t>
  </si>
  <si>
    <t xml:space="preserve">Benefit Cost Ratio
Casualties Averted
ICER = Cost/QALYs
</t>
  </si>
  <si>
    <t>£ GBP inflated to 2009</t>
  </si>
  <si>
    <t>Peters JL, Anderson R. The cost-effectiveness of mandatory 20mph zones for the
prevention of injuries. J Public Health (Oxf ) 2013;35:40–8.</t>
  </si>
  <si>
    <t>Intensive early education programme for socioeconomically deprived families (preschool programme)</t>
  </si>
  <si>
    <t>$10.83 : $1</t>
  </si>
  <si>
    <t>1539 participants, USA</t>
  </si>
  <si>
    <t>Usual Educational Interventions / Usual Care</t>
  </si>
  <si>
    <t>$ USD 2007</t>
  </si>
  <si>
    <t>J21</t>
  </si>
  <si>
    <t>Intensive early education programme for socioeconomically deprived families (extended = preschool + school-age intervention)</t>
  </si>
  <si>
    <t>$8.24 : $1</t>
  </si>
  <si>
    <t>553 participants, USA</t>
  </si>
  <si>
    <t>All teachers are qualified at undergraduate level i.e. Bachelor's degrees. The average length of participation for a child was 3.87 years. The benefits include increased earnings, tax revenues, averted costs in the criminal justice system, savings in public welfare and education. The benefits per child were $42,520 at a cost of $5,163 which results in a BCR of 8.24</t>
  </si>
  <si>
    <t>J22</t>
  </si>
  <si>
    <t>BCR $3.12: $1 
ROI $2.12: $1</t>
  </si>
  <si>
    <t xml:space="preserve">The Tobacco Cessation and Prevention Program enables individuals in Massachusetts, USA on low incomes (eligible for Medicaid) to receive medication with a prescription (FDA-approved) to aid smoking cessation. No prescription was required for nicotine replacement therapy such as gum, patches and lozenges. The programme also offered up to five sessions of telephone counselling.  This programme resulted a BCR of $3.12 and an ROI of $2.12 for every $1 invested. </t>
  </si>
  <si>
    <t>805 Massachusetts Medicaid
beneficiaries aged 18 to 64 years who are smokers.</t>
  </si>
  <si>
    <t>The benefits of the program are the rate of reduction in hospital admissions for cardiovascular conditions. There was a reduction of 46% in inpatient admissions for myocardial infarctions, 49% for coronary atherosclerosis and 32% for non-specific chest pains, The total benefit of the programme was $571 for each adult Medicaid smoker and the total costs were $183 each, resulting in a BCR of $3.12 for every $1 invested. 
The study assumes that hospital savings are equal to average costs per admission × number of averted admissions.</t>
  </si>
  <si>
    <t>1.3 years</t>
  </si>
  <si>
    <t>Benefit-Cost Ratio
Return on Investment</t>
  </si>
  <si>
    <t>2010 $ USD</t>
  </si>
  <si>
    <t>Richard P, West K, Ku L. The return on investment of a Medicaid Tobacco Cessation
Programme in Massachusetts. PLoS ONE 2012;7:e29665.</t>
  </si>
  <si>
    <t>I70</t>
  </si>
  <si>
    <t>Heart failure disease management</t>
  </si>
  <si>
    <t>$1.15-$1.08:1</t>
  </si>
  <si>
    <t>This project estimates the BCR (described as an ROI in the original paper) of a pilot Congestive Heart Failure (CHF) disease management program for members of the Blue Cross Blue Shield Federal Employee Program (funding organisation). Investing $1 in the pilot CHF disease management program produces a BCR of $1.08 from a medical expenditure perspective and $1.15 from an insurer (broader) perspective, with a time horizon of 1 year.</t>
  </si>
  <si>
    <t>The Benefit-Cost Ratio is described as an ROI in the original study. 
The total benefits of the program are $841,499.92 from the perspective of the Federal Employee Program (funding organisation) and $896,979.75 from the perspective of all payers. The total costs are $779,207.87 for both perspective, which produces BCR of $1.08 and $1.15 respectively. The BCR of $1.15 includes a broader perspective covering savings to medical expenditure and savings to patients in terms of fewer co-payments and deductibles. There was no discounting due to the 1-year time horizon.</t>
  </si>
  <si>
    <t>BCR/ROI
Savings in medical expenditure and patient expenses</t>
  </si>
  <si>
    <t>2001
$ USD</t>
  </si>
  <si>
    <t>Van Vonno CJ, Ozminkowski RJ, Smith MW, et al. What can a pilot congestive
heart failure disease management program tell us about likely return on
investment? A case study from a program offered to federal employees. Dis Manag
2005;8:346–60.</t>
  </si>
  <si>
    <t>F60</t>
  </si>
  <si>
    <t>Outpatient pharmacy services for medication adherence</t>
  </si>
  <si>
    <t xml:space="preserve">ROI $5.79:1 </t>
  </si>
  <si>
    <t>This is an Outpatient Pharmacy Clinical Services (OPCS) programme which targets nonadherent patients with diabetes mellitus or coronary artery disease who have HbA1c and LDL levels which are in excess of clinical targets. Investing $1 in the OPCS programme resulted in an ROI of $5.79</t>
  </si>
  <si>
    <t xml:space="preserve">ROI was calculated as: (total savings – cost)/cost
The total cost of the OPCS program is $1,713,468 and the total benefit is $11,640,296 in terms of costs savings from reduced hospital visits which resulted in an ROI of 5.79.
This assumes that 58% of the hospitalisation and 8.5% of A&amp;E (ER) visits which occurred in the usual care group were avoidable because of the outpatient pharmacist’s intervention. </t>
  </si>
  <si>
    <t>ROI</t>
  </si>
  <si>
    <t>Spence MM, Makerem AF, Reyes SL, et al. Evaluation of an outpatient pharmacy
clinical services program on adherence and clinical outcomes among patients with
diabetes and/or coronary artery disease. J Manag Care Speciality Pharm
2014;20:1036–45.</t>
  </si>
  <si>
    <t>F61</t>
  </si>
  <si>
    <t>Bike and pedestrian trails</t>
  </si>
  <si>
    <t>BCR $2.94:1</t>
  </si>
  <si>
    <t xml:space="preserve">225,351 users of 5 bike and pedestrian trails, USA </t>
  </si>
  <si>
    <t>The cost for each time a trail was used was $0.27, which was determined using an average construction and maintenance cost of the 5 trails and annual usage taken from the Lincoln Recreational Trails Census Report. The annual cost for one person to use the trail was determined by assuming the trail would be used 3 times per week and 52 weeks each year. This results in $42.12 (3 ×, 52 × 0.27) which was then added to travel and equipment costs of $150 to produce a total cost of $192.12 ($42.12 + $150). 
Using the trails generated annual direct health benefits of $564.41 in 1998. This overall produces a BCR of $564.41/$192.12 = $2.94</t>
  </si>
  <si>
    <t>Average Annual Trail Usage, Costs and BCR</t>
  </si>
  <si>
    <t>1998
$ USD</t>
  </si>
  <si>
    <t>F62</t>
  </si>
  <si>
    <t>Value of QALY £60,000
Costs discounted at 3.5%
QALYs discounted at 1.5%
Figures assume 100% uptake by eligible population. Figures based on different assumptions about uptake are available to users through the tool</t>
  </si>
  <si>
    <t>Value of QALY £60,000
Costs discounted at 3.5%
QALYs discounted at 1.5%
Band 5 dietician cost: £36 per hour, 6 x 30  minute fortnightly sessions
Figures assume 100% uptake by eligible population. Figures based on different assumptions about uptake are available to users through the tool</t>
  </si>
  <si>
    <t>Antihypertensives without Blood Pressure Self Management</t>
  </si>
  <si>
    <t>NHS and social care savings
QALY gains
ICER</t>
  </si>
  <si>
    <t xml:space="preserve"> England
The tool looks only at secondary prevention of CVD, with the intervention taken up by individuals with the following CVD risk factors: hypertension, chronic kidney disease, diabetes.</t>
  </si>
  <si>
    <t>England
 The tool looks only at secondary prevention, with the intervention taken up by individuals aged 40-75 with no diagnosed risk factors.</t>
  </si>
  <si>
    <t>England
 The tool looks only at secondary prevention of CVD, with the intervention being taken up by individuals with the following CVD risk factors: non-diabetic hyperglycaemia.</t>
  </si>
  <si>
    <t>England
The tool looks only at secondary prevention of CVD, with the intervention taken up by individuals with chronic kidney disease.</t>
  </si>
  <si>
    <t>England
The tool looks only at secondary prevention of CVD, with the intervention taken up by individuals who have been newly prescribed anticoagulants, anti-hypertensives, statins or  blood glucose lowering medication</t>
  </si>
  <si>
    <t>England
The tool looks only at secondary prevention of CVD, with the intervention taken up by individuals with the following CVD risk factors: diabetes (types 1 and 2)</t>
  </si>
  <si>
    <t>England
The tool looks only at secondary prevention of CVD, with the intervention taken up by individuals with atrial fibrillation.</t>
  </si>
  <si>
    <t>England
The tool looks only at secondary prevention of CVD, with the intervention taken up by individuals treated with hypertensives.</t>
  </si>
  <si>
    <t>England
 The tool looks only at secondary prevention of CVD, with the intervention taken up by individuals with diabetes.</t>
  </si>
  <si>
    <t>England
The tool looks only at secondary prevention of CVD, with the intervention taken up by individuals with type 1 diabetes.</t>
  </si>
  <si>
    <t>C20</t>
  </si>
  <si>
    <t>C21</t>
  </si>
  <si>
    <t>C22</t>
  </si>
  <si>
    <t>C23</t>
  </si>
  <si>
    <t>C24</t>
  </si>
  <si>
    <t>C25</t>
  </si>
  <si>
    <t>C26</t>
  </si>
  <si>
    <t>C27</t>
  </si>
  <si>
    <t>C28</t>
  </si>
  <si>
    <t>C29</t>
  </si>
  <si>
    <t>Antimicrobial stewardship (AMS) - Large Reduction</t>
  </si>
  <si>
    <t>Adult hospital patients in Australia</t>
  </si>
  <si>
    <t>No intervention (standard care)</t>
  </si>
  <si>
    <t>lifetime</t>
  </si>
  <si>
    <t>Costs and health outcomes both at 5%</t>
  </si>
  <si>
    <t>2019</t>
  </si>
  <si>
    <t>Economic evaluation of interventions designed to reduce Clostridium difficile infection - D.Brian et al 2018</t>
  </si>
  <si>
    <t>Antimicrobial stewardship (AMS) - Moderate Reduction</t>
  </si>
  <si>
    <t>Hygiene (HYG) - Moderate Reduction</t>
  </si>
  <si>
    <t>Hygiene (HYG) - Large Reduction</t>
  </si>
  <si>
    <t>Dominated</t>
  </si>
  <si>
    <t>An antimicrobial stewardship programme that reduces antibiotic use
across the hospital such that patients in the vulnerable category are
reduced from 50% to 40% (average reported reduction attributed to AMS
programmes).</t>
  </si>
  <si>
    <t>A hygiene improvement intervention that has the effect of reducing the
transmission rate by half</t>
  </si>
  <si>
    <t>A hygiene improvement intervention that has the effect of reducing the
transmission rate by a quarter</t>
  </si>
  <si>
    <t>Expedited gut recovery due to FMT for infected patients (time to recovery
halved± 45 days)</t>
  </si>
  <si>
    <t>Expedited gut recovery due to FMT for infected patients (best reported
recovery rate± 10 days)</t>
  </si>
  <si>
    <t>Expedited gut recovery due to FMT for infected patients (worst reported
recovery rate± 62 days)</t>
  </si>
  <si>
    <t>An antimicrobial stewardship programme and hygiene improvement
programme delivered as a bundle (reduction in antibiotic use from 50% to
40% of patients; transmission rate halved due to effectiveness of hygiene
improvement programme)</t>
  </si>
  <si>
    <t>A hygiene improvement programme delivered in conjunction with FMT
for recurrently infected patients (gut recovery time halved due to FMT;
transmission rate halved due to effectiveness of hygiene improvement
programme)</t>
  </si>
  <si>
    <t>A hygiene improvement programme delivered in conjunction with FMT
for recurrent patients (best reported gut recovery rate due to FMT;
transmission rate halved due to effectiveness of hygiene improvement
programme)</t>
  </si>
  <si>
    <t>Markov modelling study
Data collected over an 18 month period
WTP threshold of $42,000/QALY</t>
  </si>
  <si>
    <t xml:space="preserve">An antimicrobial stewardship programme that reduces antibiotic use
across the hospital such that patients in the vulnerable category are
reduced from 50% to 25% (best reported reduction attributed to AMS
programmes).
</t>
  </si>
  <si>
    <t>Incremental intervention cost
QALYs
ICER</t>
  </si>
  <si>
    <t xml:space="preserve">Modelling </t>
  </si>
  <si>
    <t>In December, 2010, National Health Service (NHS) England introduced national mandatory screening of all admissions for meticillin-resistant Staphylococcus aureus (MRSA). We aimed to assess the effectiveness and cost-effectiveness of this policy, from a regional or national health-care decision makers' perspective, compared with alternative screening strategies.
Our results show that screening all admissions for MRSA is unlikely to be cost effective in England at the current NHS willingness-to-pay threshold, and our findings informed modified guidance to NHS England in 2014. Screening admissions to high-risk specialties is likely to represent better resource use in terms of cost per QALY gained.</t>
  </si>
  <si>
    <t>Patients in English NHS hospitals</t>
  </si>
  <si>
    <t>No intervention 
(No screening)</t>
  </si>
  <si>
    <t>C30</t>
  </si>
  <si>
    <t>Costs undiscounted
Health benefits discounted (not disclosed)</t>
  </si>
  <si>
    <t>Cost-effectiveness of national mandatory screening of all admissions to English National Health Service hospitals for meticillin-resistant Staphylococcus aureus: a mathematical modelling study - Robotham.J et al 2015</t>
  </si>
  <si>
    <t xml:space="preserve">Economic values based on PHE's Contraceptive services ROI tool. The model estimates the ROI for publicly funded contraception in England. The 'benefits' can be regarded as the healthcare and non-healthcare cost savings that result from averting conceptions. This scenario examines what the ROI would be if LARCs were replaced by people privately purchasing the pill and condom equally. </t>
  </si>
  <si>
    <t xml:space="preserve">Women of child-bearing age (15 to 44 year old) in England </t>
  </si>
  <si>
    <t>Total falls
GP visits
NHS and LA cost savings
QALY gains for service users</t>
  </si>
  <si>
    <t>PHE Falls prevention ROI tool</t>
  </si>
  <si>
    <t>Robertson MC, Campbell AJ, Gardner MM, Devlin N. Preventing injuries in older people by preventing falls: a meta-analysis of individual-level data. J Am Geriatr Soc. 2002;50(5):905-11.</t>
  </si>
  <si>
    <t>liffe S, Kendrick D, Morris R, Masud T, Gage H, Skelton D, et al. Multicentre cluster randomised trial comparing a community group exercise programme and home-based exercise with usual care for people aged 65 years and over in primary care. Health Technology Assessment. 2014;18(8):1-106.</t>
  </si>
  <si>
    <t>Gillespie LD, Robertson MC, Gillespie WJ, Sherrington C, Gates S, Clemson LM, et al. Interventions for preventing falls in older people living in the community. Cochrane Database Syst Rev. 2012;9:CD007146.</t>
  </si>
  <si>
    <t>Value of a QALY - £60,000
Costs are discounted at 3.5%
QALYs are discounted at 1.5%
Based on a population sample of 1,000</t>
  </si>
  <si>
    <t xml:space="preserve">Health care savings
QALY gains
Improvement in Roland Morris Disability Questionnaire Score
</t>
  </si>
  <si>
    <t>PHE MSK ROI tool</t>
  </si>
  <si>
    <t>https://www.ncbi.nlm.nih.gov/pubmed/17621203</t>
  </si>
  <si>
    <t>Financial ROI £10.58 : £1
Societal ROI (excl. productivity) £90.91 : £1
Societal ROI (incl. productivity) £226.23 : £1</t>
  </si>
  <si>
    <t xml:space="preserve">Uses a validated, simple-to-use prognostic screening method (the Keele STarT Back Screening Tool) to allocate patients into one of three risk-defined groups—low, medium, and high .  Three treatment pathways were matched to these risk groups. 
</t>
  </si>
  <si>
    <t>Value of a QALY - £60,000
Including productivity benefits for societal ROI
Based on a population sample of 1,000</t>
  </si>
  <si>
    <t>Health care savings
QALY gains
Days of worked saved</t>
  </si>
  <si>
    <t>http://www.wmahsn.org/programmes/view/start-back-</t>
  </si>
  <si>
    <t>Value of a QALY - £60,000
Based on a population sample of 1,000</t>
  </si>
  <si>
    <t>http://www.csp.org.uk/frontline/article/hanging-telephone</t>
  </si>
  <si>
    <t xml:space="preserve">Financial ROI £98.54 : £1
</t>
  </si>
  <si>
    <t xml:space="preserve">
Based on a population sample of 1,000</t>
  </si>
  <si>
    <t xml:space="preserve">Health care savings
</t>
  </si>
  <si>
    <t>http://www.csp.org.uk/professional-union/practice/self-referral-key-improving-access-physiotherapy</t>
  </si>
  <si>
    <t>Financial ROI £-0.98 : £1
Societal ROI (excl. productivity) £6.61 : £1
Societal ROI (incl. productivity)  £10:17 : £1</t>
  </si>
  <si>
    <t>Health care savings
QALY gains
Days of worked saved
Improvement in Roland Morris Disability Questionnaire Score</t>
  </si>
  <si>
    <t>http://www.escape-pain.org/</t>
  </si>
  <si>
    <t xml:space="preserve">Financial ROI £5.20 : £1
</t>
  </si>
  <si>
    <t>Exercise-based rehabilitation program designed to improve function by integrating exercise, education, and self-management strategies to dispel inappropriate health beliefs, alter behaviour, and encourage regular physical activity. Participants were invited to attend 12 supervised sessions twice weekly for 6 weeks., either individually or in small groups. After completion, participants were discharged with encouragement to perform home exercises and physical activity.</t>
  </si>
  <si>
    <t xml:space="preserve">
Costs are discounted at 3.5%
QALYs are discounted at 1.5%
Based on a population sample of 1,000</t>
  </si>
  <si>
    <t>Health care savings
Improvement in WOMAC score</t>
  </si>
  <si>
    <t>http://www.yogaforbacks.co.uk/</t>
  </si>
  <si>
    <t xml:space="preserve">A vocational advice service to provide a structured approach to managing work related issues.  People with a MSK problem who require help and support in remaining at or returning to work may be referred to the vocational advice service by their GP or nurse practitioner.   A stepped care model is used, with initial telephone contact and follow-up face-to-face appointment for approximately 20% of patients. 
</t>
  </si>
  <si>
    <t xml:space="preserve">
Including productivity benefits for societal ROI
Based on a population sample of 1,000</t>
  </si>
  <si>
    <t>Days of worked saved</t>
  </si>
  <si>
    <t>https://www.keele.ac.uk/kctu/ourresearch/swap/</t>
  </si>
  <si>
    <t>K14</t>
  </si>
  <si>
    <t>K15</t>
  </si>
  <si>
    <t>K16</t>
  </si>
  <si>
    <r>
      <t>Identification and brief advice (IBA)</t>
    </r>
    <r>
      <rPr>
        <sz val="11"/>
        <color rgb="FFFF0000"/>
        <rFont val="Arial"/>
        <family val="2"/>
      </rPr>
      <t xml:space="preserve"> </t>
    </r>
    <r>
      <rPr>
        <sz val="11"/>
        <rFont val="Arial"/>
        <family val="2"/>
      </rPr>
      <t>in primary care settings</t>
    </r>
  </si>
  <si>
    <t>Fecal Microbiota Transplant (FMT) 1 - Moderate Reduction</t>
  </si>
  <si>
    <t>Fecal Microbiota Transplant (FMT) 2 - Large Reduction</t>
  </si>
  <si>
    <t>Fecal Microbiota Transplant (FMT) 3 - Conservative Reduction</t>
  </si>
  <si>
    <t>Hygiene &amp; Fecal Microbiota Transplant  (FMT) 1 - Moderate FMT, Large HYG Reduction</t>
  </si>
  <si>
    <t>Hygiene &amp; Fecal Microbiota Transplant (FMT) 2 - Large FMT, Large HYG Reduction</t>
  </si>
  <si>
    <t>Antimicrobial stewardship (AMS) &amp; Hygiene - Moderate AMS, Large HYG Reduction</t>
  </si>
  <si>
    <t>O1</t>
  </si>
  <si>
    <t>PHE CVD ROI tool</t>
  </si>
  <si>
    <t>PHE Contraceptive services ROI tool</t>
  </si>
  <si>
    <t>PHE Best Start in Life ROI tool</t>
  </si>
  <si>
    <t>PHE Mental health ROI tool</t>
  </si>
  <si>
    <t>C31</t>
  </si>
  <si>
    <t xml:space="preserve">Health Protection </t>
  </si>
  <si>
    <t>Vaccination</t>
  </si>
  <si>
    <t>Haemophilus Influenza Type B vaccination</t>
  </si>
  <si>
    <t>Providing vaccinations against Haemophilus Influenza Type B (Hib) provides benefits of $165.2 million at a cost of $155.3 million resulting in a BCR of 1.06</t>
  </si>
  <si>
    <t>Published Report</t>
  </si>
  <si>
    <t>Children (0-14 years of age)</t>
  </si>
  <si>
    <t xml:space="preserve">The benefits of Hib vaccinations are defined as averted cases of Hib, which are allocated to 3 categories of disease (meningitis, epiglottitis and other), death and four disability categories (severe disability, less severe disability, hearing aid and less severe hearing loss).
 Deaths averted are valued at $1 million because they are child deaths. 
A discount rate of 5% was applied. </t>
  </si>
  <si>
    <t>Hib cases averted.
Cost of Immunisation.
Benefits of immunisations.
Benefit-Cost Ratio</t>
  </si>
  <si>
    <t>Abelson P, Taylor R, Butler J, et al. Returns on Investment in Public Health.
Canberra: Department of Health and Ageing, 2003.</t>
  </si>
  <si>
    <t>Measles vaccination</t>
  </si>
  <si>
    <t>The benefits of immunisation are estimated using the number of lives saved, measles disability averted and treatment savings at mid-1990s costs.
Uncomplicated measles costs $2,982, measles encephalitis costs $124,622 over 20 years and subacute schelerosing panencephalitis costs $140,440 over 10 years.
Deaths averted are valued at $1 million because they are child deaths. 
A discount rate of 5% was applied.</t>
  </si>
  <si>
    <t>33 years</t>
  </si>
  <si>
    <t>C32</t>
  </si>
  <si>
    <t>C33</t>
  </si>
  <si>
    <t>Universal Hepatitis B vaccination</t>
  </si>
  <si>
    <t>Providing universal vaccinations to infants and adolescents against Hepatitis B provides benefits of €2.78 for every €1 invested.</t>
  </si>
  <si>
    <t>Universal for infants and adolescents</t>
  </si>
  <si>
    <t>No Intervention i.e. No Vaccination</t>
  </si>
  <si>
    <t>The benefits of the Hepatitis B immunisation were measured in terms of health states related to Hep B infection, which were averted. These are: symptomatic acute HBV infection (AHB), chronic hepatitis B (CHB), compensated cirrhosis (CC), decompensated cirrhosis (DC), and hepatocellular carcinoma (HCC). 
The model estimates the number of cases per year of the previous health states, with/without the vaccination programme. The difference is the net cost or benefit.
A discount rate of 3.0% was applied</t>
  </si>
  <si>
    <t>Benefit-Cost Ratio
Clinical Savings
Vaccination Costs</t>
  </si>
  <si>
    <t>Italy</t>
  </si>
  <si>
    <t>Boccalini S, Taddei C, Ceccherini V, et al. Economic analysis of the first 20 years of
universal hepatitis vaccination program in Italy: an a posteriori evaluation and
forecast of future benefits. Hum Vaccines Immunother 2013;9:51119–128.</t>
  </si>
  <si>
    <t>Reducing the stigma of mental illness</t>
  </si>
  <si>
    <t>Antistigma social marketing campaign</t>
  </si>
  <si>
    <t>0.7 to 1.9</t>
  </si>
  <si>
    <t xml:space="preserve">This study is an economic analysis of The Time to Change (TTC) campaign and it estimates the impact of reducing stigma / discrimination on the uptake/use of mental health services. The model assumes that due to stigma some people will not seek medical help and will have lower employment opportunities because of their condition and discrimination from potential employers. By reducing the stigma associated with mental illness, this intervention provides health gains for affected individuals. The benefits for people aged 25-44 years are £1,342,305 and the cost ranges from £725,000 to £2,000,000 which results in a BCR of 0.7 to 1.9 for each £1 invested. </t>
  </si>
  <si>
    <t>Adults resident in England, aged 25-44, in middle-income socioeconomic groups</t>
  </si>
  <si>
    <t>The BCR is described as an ROI in the original paper. Without the intervention, 50% of people do not access mental health services but with the intervention (TTC Campaign) 49% do not access services, meaning a success rate of 1%. 
No discounting was applied.</t>
  </si>
  <si>
    <t>ROI/BCR
Health Gains in Financial terms for affected individuals.
Campaign Costs</t>
  </si>
  <si>
    <t>Evans-Lacko S, Henderson C, Thornicroft G, et al. Economic evaluation of the
anti-sigma social marketing campaign in England 2009-2011. Br J Psychiatry
2013;55:95–101.</t>
  </si>
  <si>
    <t>L33</t>
  </si>
  <si>
    <t>Excise tax on sugar sweetened beverages</t>
  </si>
  <si>
    <t>$55</t>
  </si>
  <si>
    <t xml:space="preserve">This paper reports the preliminary results from the Childhood Obesity Intervention Cost-Effectiveness Study (CHOICES). An excise tax of $0.01 per ounce of sugar-sweetened beverage leads to reductions in SSB consumption by 20% which results in a mean reduction in BMI by 0.16 for youths and 0.08 for adults. The reduction in obesity is 1.38% for youths and 0.99% for adults These changes lead to a reduction in consequent healthcare costs of $3.16 for every unit reduction in BMI and would save $55 for every $1 invested. </t>
  </si>
  <si>
    <t>A simulated cohort representative of the 2015 U.S. population</t>
  </si>
  <si>
    <t>Current Practice / Usual Care</t>
  </si>
  <si>
    <t>Obesity is defined as a BMI of greater than or equal to 30.  The excise tax is not applied to 100% juice, dairy products and beverages with artificial sweeteners. Average daily consumption of SSBs was 150 kcal/day.  
The model simulated the 2015 US population aged 2 years and older at baseline for 10 years until death or age 100 years. The model predicts changes in conditions linked to obesity including stroke, ischemic heart disease, hypertensive heart disease, diabetes mellitus, osteoarthritis, postmenopausal breast cancer, colon cancer, endometrial cancer and kidney cancer. 
The tax proposed of $0.01 per ounce would increase prices by approximately 16%.  No benefits in terms of BMI reduction was estimated during Year 1 of the intervention due to the time lag between reduced SSB consumption i.e. energy intake and reduced BMI.</t>
  </si>
  <si>
    <t>BCR- Net Cost saved per $1 spent
Reduction in BMI</t>
  </si>
  <si>
    <t>Gortmaker SL, Long MW, Resch SC, et al. Cost effectiveness of childhood obesity
interventions: evidence and methods for CHOICES. Am J Prevent Med
2015;49:102–11.</t>
  </si>
  <si>
    <t>https://www.sciencedirect.com/science/article/pii/S0749379715000963</t>
  </si>
  <si>
    <t>F63</t>
  </si>
  <si>
    <t>Eliminating tax subsidy of nutritionally poor food advertising to children</t>
  </si>
  <si>
    <t>$38</t>
  </si>
  <si>
    <t xml:space="preserve">This paper reports the preliminary results from the Childhood Obesity Intervention Cost-Effectiveness Study (CHOICES). This intervention involves removing the tax-deductible elements of advertising costs of TV advertisements for food and drink of low nutritionally quality, aimed at children. The result would be a reduction in mean BMI of 0.028 for children aged 2-19 years which is approximately 0.14% and a reduction in obesity prevalence of 0.30%. The cost of reduction would be $1.16 for each unit of BMI of reduced and would save $38 for every $1 invested. </t>
  </si>
  <si>
    <t>https://www.sciencedirect.com/science/article/pii/S0749379715001300</t>
  </si>
  <si>
    <t>F64</t>
  </si>
  <si>
    <t>Hazardous Substance Control</t>
  </si>
  <si>
    <t>Lead paint control</t>
  </si>
  <si>
    <t>$17-$221</t>
  </si>
  <si>
    <t>Children aged 6 and under</t>
  </si>
  <si>
    <t>This intervention only considers exposure to lead from lead - based paint in housing - no other lead source is considered.
The intervention considers two control methods, the first is lead hazard screening which costs $1,200 per housing unit and the second is an inspection, risk assessment and complete removal of lead paint which is estimated to cost $10,800 per housing unit. The benefits include reduced healthcare costs, increased lifetime earnings and lower crime.</t>
  </si>
  <si>
    <t>Unclear</t>
  </si>
  <si>
    <t>Gould E. Childhood lead poisoning: conservative estimates of the social and
economic benefits of lead hazard control. Environ Health Perspect
2009;117:1162–7.</t>
  </si>
  <si>
    <t>O2</t>
  </si>
  <si>
    <t>HIV Testing</t>
  </si>
  <si>
    <t>Expanded HIV testing</t>
  </si>
  <si>
    <t>$1.46 - $2.01</t>
  </si>
  <si>
    <t>The Expanded HIV Testing Initiative is intervention focused on providing HIV testing to disproportionately affected populations. This intervention resulted in a return of $1.95 for every $1 dollar invested, ranging from $1.46 to $2.01 (BCR).</t>
  </si>
  <si>
    <t>The BCR is described as an ROI in the original paper. The benefits include averted HIV transmission and medical costs. Lifetime HIV costs are valued at $367,134 in 2009 USD. This intervention tested 2.7 million people with a HIV positive rate of 0.7% and an estimated 3381 infections were avoided. The range of $1.46 to $2.01 covers a testing interval of 1-5 years.</t>
  </si>
  <si>
    <t>Hutchinson AB, Farnham PG, Duffy N, et al. Return on public health investment:
CDC’s expanded HIV testing initiative. J Acquir Immune Defic Syndr 2012;59:281–6.</t>
  </si>
  <si>
    <t>Influenza vaccination of healthy workers</t>
  </si>
  <si>
    <t>Net Costs:  -$.27 to +$174.32</t>
  </si>
  <si>
    <t>Providing vaccinations for influenza to healthy adults results savings of $174.32 in the best-case scenario and a net cost of $21.27 in the worst case scenario.</t>
  </si>
  <si>
    <t>Healthy working adults aged between 18 and 64 years.</t>
  </si>
  <si>
    <t>Net Costs or Savings</t>
  </si>
  <si>
    <t>1998 $USD</t>
  </si>
  <si>
    <t>Nichol KL. Cost-benefit analysis of a strategy to vaccinate healthy working adults
against influenza. Arch Intern Med 2001;161:749.</t>
  </si>
  <si>
    <t>C34</t>
  </si>
  <si>
    <t>Needle exchange</t>
  </si>
  <si>
    <t>ROI AUD$ :1.3 - 5.5</t>
  </si>
  <si>
    <t xml:space="preserve">ICER: AUD$416 to $8750 per QALY from </t>
  </si>
  <si>
    <t>The needle-syringe programme, by providing sterile needles/syringes, aims to reduce the rate of receptive syringe sharing (RSS) amongst injecting drug users (IDUs) in Australia, in order to prevent the transmission of HIV and the Hepatitis C Virus (HCV). The ICER ranges from $416 to $8750 per QALY, depending on the RSS from 25% to 50%. This intervention results in a return of AU$1.3 to AU$5.5 for every $1 invested.</t>
  </si>
  <si>
    <t>IDU (Injecting Drug User) population of Australia</t>
  </si>
  <si>
    <t>ROI = (Benefit - Cost)/Cost
All costs were estimated using $ AUD 2008 and inflated to $ AUD 2010 using the health consumer price index.
The benefits were determined as difference between the current NSP and the counterfactual scenario of no intervention. RSS prevalence is the only parameter that is different, and is assumed to be 25%-50% in the absence of NSP and is 15-17% with NSP.
The threshold  value of a QALY is $50,000.</t>
  </si>
  <si>
    <t>ROI
QALYs
RSS Prevalence</t>
  </si>
  <si>
    <t>Kwon JA, Anderson J, Kerr CC, et al. Estimating the cost-effectiveness of needle
syringe programs in Australia. AIDS 2012;26:2201–10.</t>
  </si>
  <si>
    <t>H25</t>
  </si>
  <si>
    <t>Treatment for Depression</t>
  </si>
  <si>
    <t>Telemedicine for depression</t>
  </si>
  <si>
    <t>€1.45 to € 1.76</t>
  </si>
  <si>
    <t>Telemedicine for depression is a preventative intervention which provides psychological self-help resources over the Internet with/without support from a therapist. This intervention provides a return of €1.76 for every €1 invested (BCR).</t>
  </si>
  <si>
    <t>Adults aged 18-65 in the Netherlands</t>
  </si>
  <si>
    <t>Enhanced Usual Care - in alignment with Dutch clinical guidelines for treatment of depression</t>
  </si>
  <si>
    <t>The BCR is described as an ROI in the original paper. The benefits/ health gains in terms of lower disease burden are calculated as a reduction in DALYs and the costs are direct medical costs only. DALYs can be reduced by primary prevention of depression and secondly by treating depression which lowers its disease burden. The value of a DALY is €20,000. The model in this intervention, DEPMOD, is relevant to depressive disorder defined by the DSM-IV. It is assumed the total population is 10 million, aged 18-65 years.</t>
  </si>
  <si>
    <t>DALYs
Benefit-Cost Ratio</t>
  </si>
  <si>
    <t>Netherlands</t>
  </si>
  <si>
    <t>1.5% for Effects
4.0% for costs</t>
  </si>
  <si>
    <t>€ EUR 2009</t>
  </si>
  <si>
    <t>Lokkerbol J, Adema D, Cuijpers P, et al. Improving the cost-effectiveness of
a healthcare system for depressive disorders by implementing telemedicine:
a health economic modelling study. Am J Geriatr Psychiatry 2014;22:253–62.</t>
  </si>
  <si>
    <t>L34</t>
  </si>
  <si>
    <t>$3.48</t>
  </si>
  <si>
    <t>This study investigates if increasing investment in needle/syringe exchange programmes would be cost-effective in terms of HIV prevention in the US. The intervention increase of $50 million would prevent 445 infections, saving $173.97 million, resulting in a return of $3.48 for every $1 invested (BCR).</t>
  </si>
  <si>
    <t>People who inject drugs (PWID)</t>
  </si>
  <si>
    <t>These results assume the worst-case scenario in terms of parameter values. The benefit-cost ratio is described as a return on investment in the original paper.
Number of injections per PWID per year = 812.02
Number of borrows per PWID per year in the base case = 81.20
Number of new syringes used per PWID per year (base case) = 146.16
NSP Syringe Unit Cost = $0.48 per syringe
This model assumes that 5% of sterile NSP syringes provided are unused and 10% of the additional NSP syringes replace non-sterile syringes.
Lifetime HIV treatment costs are $391,223 in 2011 USD.</t>
  </si>
  <si>
    <t>ROI/BCR</t>
  </si>
  <si>
    <t>Nguyen TQ, Weir BW, Des Jarlais DC, et al. Syringe exchange in the United States:
a national level economic evaluation of hypothetical increases in investment. AIDS
Behav 2014;18:2144–55.</t>
  </si>
  <si>
    <t>C35</t>
  </si>
  <si>
    <t>Nutritional Supplementation</t>
  </si>
  <si>
    <t>Folic acid fortification of grain</t>
  </si>
  <si>
    <t>Sexually active
women of childbearing age</t>
  </si>
  <si>
    <t>Romano PS, Waitzman NJ, Scheffler RM, et al. Folic acid fortification of grain:
an economic analysis. Am J Public Health 1995;85:667–76.</t>
  </si>
  <si>
    <t>J23</t>
  </si>
  <si>
    <t>Universal school nursing services provided by Massachusetts Essential School Health Services</t>
  </si>
  <si>
    <t>School age children</t>
  </si>
  <si>
    <t>No Intervention/No School Nursing Services</t>
  </si>
  <si>
    <t>The programme benefits are the difference in averted costs between having a full-time registered nurse in ESHS schools and having no school nursing services. A societal perspective has been adopted which includes direct medical costs (nurse salary and medical supplies), lost teacher productivity due to addressing student health needs and lost parental productivity due to students' absenteeism and medical administration.
The value of a lost hour of work is $18 and parental productivity loss is calculated using estimated mean annual earnings of $36,206.</t>
  </si>
  <si>
    <t>2009 $USD</t>
  </si>
  <si>
    <t>Wang LY, Vernon-Smiley M, Gapinski MA, et al. Cost benefit study of school
nursing services. JAMA Pediatr 2013;5441:642–8.</t>
  </si>
  <si>
    <t>K17</t>
  </si>
  <si>
    <t>Haemophilus Influenzae Type B vaccination</t>
  </si>
  <si>
    <t>Cost Benefit Analysis and Cost Utility Analysis</t>
  </si>
  <si>
    <t>All Children who are aged 2 months</t>
  </si>
  <si>
    <t>2000 $USD</t>
  </si>
  <si>
    <t>C36</t>
  </si>
  <si>
    <t>Mandatory screening of all admissions for meticillin-resistant staphylococcus aureus (MRSA)</t>
  </si>
  <si>
    <t>Mean cost per QALY £89,000 - £148,000</t>
  </si>
  <si>
    <t>Intervention at 57% uptake</t>
  </si>
  <si>
    <t>Intervention at 44% uptake</t>
  </si>
  <si>
    <t>Intervention at 35% uptake</t>
  </si>
  <si>
    <t>Intervention at 13% uptake</t>
  </si>
  <si>
    <t>Intervention at 20% uptake</t>
  </si>
  <si>
    <t>Intervention at 65% uptake</t>
  </si>
  <si>
    <t>Intervention at 24% uptake</t>
  </si>
  <si>
    <t>Intervention at 76% uptake</t>
  </si>
  <si>
    <t>Intervention at 3% uptake</t>
  </si>
  <si>
    <t>Intervention at 31% uptake</t>
  </si>
  <si>
    <t xml:space="preserve">Intervention at 15% uptake </t>
  </si>
  <si>
    <t>Intervention at 71% uptake</t>
  </si>
  <si>
    <t>Wellness and disease prevention programme</t>
  </si>
  <si>
    <t>$2.02:1</t>
  </si>
  <si>
    <t xml:space="preserve">The health and wellness programme aims to prevent disease and promote heath by conducting health risk assessments and measuring metabolic risk factors including: blood pressure, total cholesterol, glucose, in addition to body composition measures: such as height, weight, body mass index (BMI), waist circumference, percentage body fat. The participants also received counselling with a healthcare professional to discuss the metrics and develop a plan involving goals and behavioural changes. Investing $1 in the programme produces an average BCR of 2.02 across 8 years (2002-2009), with a minimum of 1.16 in 2003 and maximum of 2.83 in 2002.  </t>
  </si>
  <si>
    <t>57,940 members of an independent health plan.</t>
  </si>
  <si>
    <t>8 years</t>
  </si>
  <si>
    <t>Benefit-Cost Ratio
Net Savings
Healthcare Costs</t>
  </si>
  <si>
    <t>Unadjusted $ USD</t>
  </si>
  <si>
    <t>Schwartz SM, Mason ST, Wang C, et al. Sustained economic value of a wellness
and disease prevention program: an 8-year longitudinal evaluation. Popul Health
Manag 2014;17:90–9.</t>
  </si>
  <si>
    <t>B25</t>
  </si>
  <si>
    <t>Intervention at 60.2% uptake</t>
  </si>
  <si>
    <t>Intervention at 7% uptake</t>
  </si>
  <si>
    <t>Intervention at 42% uptake</t>
  </si>
  <si>
    <t>McGuire A, Hughes D. The economics of family planning services: a report prepared for the Contraceptive Alliance. FPA Fam Plan Assoc. 1995.</t>
  </si>
  <si>
    <t>https://www.gov.uk/government/publications/mental-health-services-cost-effective-commissioning</t>
  </si>
  <si>
    <t>Renfrew M J, Craig D, Dyson L, McCormick F, Rice S, King S E, Misso K, Stenhouse E, Williams A F. Breastfeeding promotion for infants in neonatal units: a systematic review and economic analysis. NIHR Health Technology Assessment programme. 2009</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</si>
  <si>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(Macarthur et al., 2002)</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</si>
  <si>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(Barnes et al., 2009)</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</si>
  <si>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(Norman et al., 2010)</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</si>
  <si>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(Sealy et al., 2009)</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</si>
  <si>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(Gunn et al., 1998)</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</si>
  <si>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(Harrison-Hohner et al., 2001)</t>
  </si>
  <si>
    <t xml:space="preserve">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(Sen, 2006, Zlotnik et al., 2001) </t>
  </si>
  <si>
    <t>Morrell CJ, Sutcliffe P, Booth A, Stevens J, Scope A, Stevenson M, Harvey R, Bessey A, Cantrell A, Dennis CL, Ren S. A systematic review, evidence synthesis and meta-analysis of quantitative and qualitative studies evaluating the clinical effectiveness, the cost-effectiveness, safety and acceptability of interventions to prevent postnatal depression. Health Technology Assessment. 2016;20(37). (Chabrol et al., 2002)</t>
  </si>
  <si>
    <t>Paz et al., (2016) Treatment efficacy of anti-hypertensive drugs in monotherapy or combination: ATOM systematic review and meta-analysis of randomized clinical trials according to PRISMA statement. Medicine 95(30):e4071
Ettehad et al., (2016) Blood pressure lowering for prevention of cardiovascular disease and death: a systematic review and meta-analysis. The Lancet 387(10022):957-67.
NICE Guideline CG127: Hypertension (2011) The clinical management of primary hypertension in adults
Adarkwah et al., (2013) To treat or not to treat? Cost-effectiveness of ACE inhibitors in non-diabetic advanced renal disease - a Dutch perspective. Kidney Blood Press Res37(2-3):168-80.</t>
  </si>
  <si>
    <t>Collins et al., (2016) Interpretation of the evidence for the efficacy and safety of statin therapy. Lancet ;388(10059): 2532-61.
Erqou et al., (2014) Statins and glycaemic control in individuals with diabetes: a systematic review and meta-analysis. Diabetologia 57(12):2444-52
NICE Guideline CG181: Lipid modification (2014); Cardiovascular risk assessment and the modification of blood lipids for the primary and secondary prevention of cardiovascular disease</t>
  </si>
  <si>
    <t>Elliott et al., (2016) Supporting adherence for people starting a new medication for a long-term condition through community pharmacies: a pragmatic randomised controlled trial of the New Medicine Service. BMJ Qual Saf 25:747-758</t>
  </si>
  <si>
    <t>Chang et al., (2016) Impact of the National Health Service Health Check on cardiovascular disease risk: a difference-in-differences matching analysis. Cmaj 188(10):E228-38.</t>
  </si>
  <si>
    <t>Ashra et al., (2015). A systematic review and meta-analysis assessing the effectiveness of pragmatic lifestyle interventions for the prevention of type 2 diabetes mellitus in routine practice. Public Health England. PHE publications gateway number: 2015280
NICE Public Health Guideline PH38: Type 2 diabetes; prevention in people at high risk (2012) (update 2017)</t>
  </si>
  <si>
    <t>Hartmann-Boyce et al., (2014) Effect of behavioural techniques and delivery mode on effectiveness of weight management: systematic review, meta-analysis and meta-regression. Obesity reviews 15(7):598-609.
NICE Public Health Guideline PH53: Weight management: Lifestyle services for overweight or obese adults (2014)</t>
  </si>
  <si>
    <t xml:space="preserve">Palmer et al., (2017) Dietary interventions for adults with chronic kidney disease. Cochrane Database Syst Rev 4:CD011998
</t>
  </si>
  <si>
    <t xml:space="preserve">Elliott et al., (2016) Supporting adherence for people starting a new medication for a long-term condition through community pharmacies: a pragmatic randomised controlled trial of the New Medicine Service. BMJ Qual Saf 25:747-758
Elliott et al., (2017) Cost Effectiveness of Support for People Starting a New Medication for a Long-Term Condition Through Community Pharmacies: An Economic Evaluation of the New Medicine Service (NMS) Compared with Normal Practice. Pharmacoeconomics 35(12):1237-55. </t>
  </si>
  <si>
    <t>NICE Guideline NG17: Type 1 diabetes in adults; Diagnosis and management: National Institute for Health and Care Excellence, 2015
Odgers-Jewell et al., (2017) Effectiveness of group-based self-management education for individuals with Type 2 diabetes: a systematic review with meta-analyses and meta-regression. Diabetic Medicine 34(8):1027-39
Kruger et al., (2013) The cost-effectiveness of the Dose Adjustment for Normal Eating (DAFNE) structured education programme: an update using the Sheffield Type 1 Diabetes Policy Model. Diabet Med 30(10):1236-44.
Gillett et al., (2010) Delivering the diabetes education and self management for ongoing and newly diagnosed (DESMOND) programme for people with newly diagnosed type 2 diabetes: cost effectiveness analysis. BMJ 341:c4093.</t>
  </si>
  <si>
    <t>Guo L et al., (2017) Comparative Efficacy of Clinical Events Prevention of Five Anticoagulants in Patients With Atrial Fibrillation (A Network Meta-Analysis). Am J Cardiol 119(4):585-93.
NICE Guideline CG180: Atrial Fibrillation (2014); The management of atrial fibrillation</t>
  </si>
  <si>
    <t>Dobbie et al., (2015). Evaluating outcomes of NHS Stop Smoking Services (ELONS): a prospective cohort study. Health Technol Assess 19(95):1-192
NICE Public Health Guideline PH10: Stop smoking services (2008) (update 2017)</t>
  </si>
  <si>
    <t>Tucker et al., (2017) Self-monitoring of blood pressure in hypertension: A systematic review and individual patient data meta-analysis. PLoS medicine 14(9):e1002389.
Kaambwa et al., (2014) Telemonitoring and self-management in the control of hypertension (TASMINH2): a cost-effectiveness analysis. European journal of preventive cardiology 21(12):1517-30.</t>
  </si>
  <si>
    <t xml:space="preserve">Pickup et al., (2008). Severe hypoglycaemia and glycaemic control in Type 1 diabetes: meta-analysis of multiple daily insulin injections compared with continuous subcutaneous insulin infusion. Diabet Med 2008;25(7):765-74.
Cummins et al., (2010) Clinical effectiveness and cost-effectiveness of continuous subcutaneous insulin infusion for diabetes: systematic review and economic evaluation. Health Technol Assess 14(11):iii-iv, xi-xvi, 1-181. </t>
  </si>
  <si>
    <t xml:space="preserve">Clarke et al., (2004) A model to estimate the lifetime health outcomes of patients with type 2 diabetes: the United Kingdom Prospective Diabetes Study (UKPDS) Outcomes Model (UKPDS no. 68). Diabetologia 47(10):1747-59
NICE Guideline NG28: Type 2 diabetes in adults; Management (2015) </t>
  </si>
  <si>
    <t xml:space="preserve"> -</t>
  </si>
  <si>
    <t>People in the general population who are obese</t>
  </si>
  <si>
    <t>No social care costs
The baseline comparator for the model is a natural history cohort using risk factors (BMI) to project the
future obesity trends and development of obesity-related disease.
Modelling results conducted by a microsimulation model
Analysis models a linear 100% weight gain over 5 years from the last time point with observed data for each non-surgical WMP.</t>
  </si>
  <si>
    <t>Systematic review &amp; RCT</t>
  </si>
  <si>
    <t>1882 participants who are classified as obese.
Asian population: BMI &gt; 25kg/m^2
All other ethnicities: BMI &gt; 30kg/m^2</t>
  </si>
  <si>
    <t>374 were allocated to the comparator</t>
  </si>
  <si>
    <t>A two-arm, pragmatic, randomised controlled trial; associated cost-effectiveness [in terms of incremental cost per quality-adjusted life-year (QALY) within trial and over individuals’ lifetimes]; and process evaluation. 
The prevalence of male obesity is increasing alongside low uptake of existing weight management programmes by men. Football Fans in Training (FFIT) is a group-based, weight management and healthy living programme delivered by community coaches.</t>
  </si>
  <si>
    <t>Dominant: - £939.53</t>
  </si>
  <si>
    <t>QALY discount rate = 3.5%
Costs discount rate = 3.5%
Reported ICER allows for uncertainty in the model outputs.
ICER includes QALY gains for the mother and baby</t>
  </si>
  <si>
    <t>Based on an Economics of Smoking in Pregnancy (ESIP) model, which estimates the life-time cost-effectiveness of smoking cessation interventions in pregnancy from an NHS and personal social services perspective. ESIP uses data from a pragmatic RCT that tested a smoking cessation intervention in pregnancy.
Participants were pregnant smokers who received standard
NHS smoking cessation care with an intervention group
additionally receiving a 12-week programme of tailored
text messages</t>
  </si>
  <si>
    <t>Women were recruited at an average of 15 weeks gestation</t>
  </si>
  <si>
    <t>Standard NHS smoking cessation care</t>
  </si>
  <si>
    <t xml:space="preserve">Randomly allocated eligible women to either receive the offer of up to £400 of shopping vouchers (if they engaged with services and subsequently quit) in addition to routine specialist pregnancy stop smoking services or routine care. Health was a primary aim (RCT to assess the efficacy of a financial incentive added to routine specialist pregnancy stop smoking services versus routine care to help pregnant smokers quit). </t>
  </si>
  <si>
    <t>QALYs to mother and child
ICER timeframe is over a lifetime</t>
  </si>
  <si>
    <t>3.5%  costs
1.5% benefits</t>
  </si>
  <si>
    <t>Costs avoided by NHS and families, and some small impacts on schools. In addition (not quantified in ROI tool), benefits to school and children related to short term improvements in academic performance</t>
  </si>
  <si>
    <t>Incidence of depression = 0.06
Rate of participation in classes 0.6
Mean reduction in school absence
GP costs = £27.73
Hospital costs = £122.87
Training cost per teacher per school year £519</t>
  </si>
  <si>
    <t>NHS savings
Family savings
School attendance
Children and adolescent mental health (CAMH)</t>
  </si>
  <si>
    <t xml:space="preserve">
Average number of days per year absent if bullied = 28 
Cost per day of absence per pupil = £46.9
</t>
  </si>
  <si>
    <t>Health promotion programme per employee = £82.1
Uptake of intervention = 0.1
Hours of absence per month = £4.32
Hours of presenteeism per month £6.32</t>
  </si>
  <si>
    <t>Probability of completing CBT intervention = 0.66
% of employees in need of support = 0.0138
Costs of stress reduction programme per worker = £3.41</t>
  </si>
  <si>
    <t>Cost Saving</t>
  </si>
  <si>
    <t>This intervention has been taken from PHE's Best Start in Life Tool. Enhanced staff contact involves specifically trained staff who are available to advise and support mothers on milk expression and breastfeeding. This intervention is cost saving and delivers positive health gains. This intervention is dominant which means it is cost saving and delivers positive health gains in terms of QALYs.</t>
  </si>
  <si>
    <t>By default, only 10% of the population of interest are allocated to the intervention, this can be varied/defined by the end user. The value of a QALY is £60,000. Health Benefits/QALYs are discounted at 1.5%.and costs at 3.5%. The cost of the intervention is £22.46 per person and the cost savings are £21.42 which provides a combined net benefit of -£1.04. The combined QALY gain is 0.000535, resulting in an ICER of £1,939. This intervention does not include long term benefit to the child and other benefits to the mother.</t>
  </si>
  <si>
    <t>By default, only 10% of the population of interest are allocated to the intervention, this can be varied/defined by the end user. This intervention results in 0.31 QALYs gained per person with an overall cost of -£877.81. The value of a QALY is £60,000. Costs and health benefits/QALYs are discounted at 3.5%. This intervention does not include benefits to the mother.</t>
  </si>
  <si>
    <t>This intervention has been taken from PHE's Best Start in Life Tool. It involves proactive individualised telephone based peer (mother to mother) support, initiated within 48-72 hours of randomisation. It is provided by a volunteer recruited from the community who had previously experienced and recovered from self-reported PND and attended a four hour training session. This intervention is dominant which means it is cost saving and delivers positive health gains in terms of QALYs.</t>
  </si>
  <si>
    <t>This intervention has been taken from PHE's Best Start in Life Tool. The group physical therapy involves an 8 week programme of 1 hour group physical therapy provided by a physical therapist and a 30 minute education session delivered by a healthcare professional each week. This intervention is dominant which means it is cost saving and delivers positive health gains in terms of QALYs.</t>
  </si>
  <si>
    <t>This intervention results in 0.0076 QALYs gained per person with an overall cost of £1.12 per person, which results in an ICER of £147. By default, only 10% of the population of interest are allocated to the intervention, this can be varied/defined by the end user. The value of a QALY is £60,000. Costs and health benefits/QALYs are not discounted.</t>
  </si>
  <si>
    <t>This intervention results in 0.0058 QALYs gained per person with an overall cost of £42.72 per person, which results in an ICER of £7,365. By default, only 10% of the population of interest are allocated to the intervention, this can be varied/defined by the end user. The value of a QALY is £60,000. Costs and health benefits/QALYs are not discounted.</t>
  </si>
  <si>
    <t xml:space="preserve">This intervention results in 0.0086 QALYs gained per person with an overall cost of £82.27 per person, which results in an ICER of 9,566. By default, only 10% of the population of interest are allocated to the intervention, this can be varied/defined by the end user. The value of a QALY is £60,000. Costs and health benefits/QALYs are not discounted. </t>
  </si>
  <si>
    <t xml:space="preserve"> This intervention results in 0.0025 QALYs gained per person with an overall cost of £103.14, which produces an ICER of 41,258. By default, only 10% of the population of interest are allocated to the intervention, this can be varied/defined by the end user. The value of a QALY is £60,000. Costs and health benefits/QALYs are not discounted..</t>
  </si>
  <si>
    <t xml:space="preserve"> The interventions results in 0.0158 QALYs gained per person with an overall cost of £277.31 per person, which produces an ICER of 17,551. By default, only 10% of the population of interest are allocated to the intervention, this can be varied/defined by the end user. The value of a QALY is £60,000. Costs and health benefits/QALYs are not discounted.</t>
  </si>
  <si>
    <t xml:space="preserve">This intervention results in 0.0147 QALYs gained person with an overall cost of £515.72 per person, which produces an ICER of 35,083. By default, only 10% of the population of interest are allocated to the intervention, this can be varied/defined by the end user. The value of a QALY is £60,000. Costs and health benefits/QALYs are not discounted. </t>
  </si>
  <si>
    <t>$4.3 - $6.1 : $1</t>
  </si>
  <si>
    <t>This intervention results in 0.1320 QALYs gained per person with an overall cost saving £109 (described as a combined net benefit in the BSIL tool). By default, only 10% of the population of interest are allocated to the intervention, this can be varied/defined by the end user. The value of a QALY is £60,000. Costs and health benefits/QALYs are discounted at 3.5%</t>
  </si>
  <si>
    <r>
      <rPr>
        <sz val="11"/>
        <rFont val="Arial"/>
        <family val="2"/>
      </rPr>
      <t>This intervention results in 0.1270 combined QALYs gained per person with an overall cost saving of £455 (described as a combined net benefit in the BSIL tool). By default, only 10% of the population of interest are allocated to the intervention, this can be varied/defined by the end user.</t>
    </r>
    <r>
      <rPr>
        <sz val="11"/>
        <color theme="1"/>
        <rFont val="Arial"/>
        <family val="2"/>
      </rPr>
      <t xml:space="preserve"> The value of a QALY is £60,000. Costs and health benefits/QALYs are discounted at 3.5%</t>
    </r>
  </si>
  <si>
    <t>This intervention results in 0.1256 QALYs gained per person with an overall cost saving of £491 (described as a combined net benefit in the BSIL tool). By default, only 10% of the population of interest are allocated to the intervention, this can be varied/defined by the end user. The value of a QALY is £60,000. Costs and health benefits/QALYs are discounted at 3.5%</t>
  </si>
  <si>
    <t xml:space="preserve">Individual GPs were randomly selected from a list of all GP Practices in the West Midlands Health Region (Strategic Health Authority). All pregnant women registered with the selected GPs, antenatally from approximately 34 weeks gestation, were recruited. </t>
  </si>
  <si>
    <t>Mothers at risk of PND defined as a score of 9 or more on the Edinburgh Postnatal Depression Scale (EPDS).</t>
  </si>
  <si>
    <t>161 recent mothers discharged from postnatal ward.</t>
  </si>
  <si>
    <t>256 women at low risk of postnatal depression, 4 weeks after birth.</t>
  </si>
  <si>
    <t>Women giving birth, to infants of 37 or more weeks gestation, at one rural and one metropolitan hospital between February and December 1995 inclusive</t>
  </si>
  <si>
    <t>Women between 11 and 21 weeks gestation who had never previously given birth.</t>
  </si>
  <si>
    <t>Education on Preparing for Parenting</t>
  </si>
  <si>
    <t>CAD $5.12: $1</t>
  </si>
  <si>
    <t>ROI  $7.50-$19.34 : $1</t>
  </si>
  <si>
    <t>All residents of Dane County, Wisconsin, USA. n= 4974</t>
  </si>
  <si>
    <t xml:space="preserve">Comparator Group Intervention not stated </t>
  </si>
  <si>
    <t xml:space="preserve"> Patients aged 18 years and over who received OPCS consultations and usual care patients from March 2009 through December 2010, with 1 year of follow-up from the initial consult (index date) from Southern California. 
Patients also had to be enrolled with a pharmacy benefit for at least 1 year before and 1 year after the index date and listed in the KPSC Diabetes Registry or the KPSC Coronary Artery Disease Registry. </t>
  </si>
  <si>
    <t>Providing  the conjugate vaccine against Haemophilus Influenza Type B (Hib) provides benefits of $2.58 billion at a cost of 0.48 billion (from a societal perspective) resulting in a BCR of 5.4. From a direct medical perspective, the benefits were $1.35 billion at a cost of 0.39 billion resulting in BCR of 3.4.</t>
  </si>
  <si>
    <t>$2.20</t>
  </si>
  <si>
    <t xml:space="preserve">This is a cost-benefit analysis of the Massachusetts Essential School Health Services. The ESHS program provided benefits of $177 million to society at a cost of $79.0 million, resulting in a BCR of $2.20 for every $1 invested. </t>
  </si>
  <si>
    <t>ROI €2.78: €1</t>
  </si>
  <si>
    <t>Providing vaccinations against measles provides benefits of $9,204.3 million to society (including $8.531 billion to government) at a cost of $54.9 million, resulting in a BCR of 167 for each $1 invested.</t>
  </si>
  <si>
    <t>The BCR is described as an ROI in the original study.
Net savings = Healthcare costs for nonparticipant cohort - (Healthcare Costs + Programme Costs for participants)
In 2009, the calculations are as follows: 
Net savings = $3,422 - ($2,870 + $288) = $264
Benefits = Non-participant Healthcare Costs - Participant Healthcare costs = $552
Cost of Programme per Participant = $288
BCR = $552/$288 = 1.92</t>
  </si>
  <si>
    <t>A&amp;E investigation + £170
Costs of coroner = £569
Intangible value of loss of life = £38,797
Police costs per suicide = £653
Cost of psychosocial assessment = £232
Productivity losses per year of life lost = £19,327
Incidence of self-harm in population = 0.4%</t>
  </si>
  <si>
    <t xml:space="preserve">Randomised trial looking at impact on depression from participation in group based activities in England, in addition to non-controlled evidence from experience of provision of signposting services in England. Evidence of impact of loneliness on depression taken from meta analyses. Consistent with recent NICE guidance on promoting the mental health and wellbeing of older people.
</t>
  </si>
  <si>
    <t>Mean A&amp;E attendance  if lonely = 0.26
Hospital admission if not lonely = 0.25
Mean number of contacts per GP practice per year = 7.63
Underlying probability of death = 0.01
Probability depression if not lonely = 0.012
Probability depression sometimes lonely = 0.012
Hourly value of volunteering = £6.70
Volunteer hours = 156
Intervention taken from meta-analyses of longitudinal studies</t>
  </si>
  <si>
    <t>Collaborative care involving cognitive behavioural therapy delivered within primary care</t>
  </si>
  <si>
    <t xml:space="preserve"> $ AUD 2015 </t>
  </si>
  <si>
    <t>This model is based on a hypothetical US birth cohort of 3,815,469 infants in 2000. Without vaccination there are 17,589 Hib cases and 665 deaths. With the vaccinations programme, Hib cases are reduced by 99.7% and Hib deaths by 99.6%. The vaccination programme results in 97,878 years of life saved, 27,301 discounted years of life saved, and 113,644 QALYs gained. 
From a societal perspective, the Hib programme spends $28,073 to prevent a Hib infection, $743,209 for a Hib-related death, $4,903 to save a life-year, $17,577 to save 1 discounted life-year, and $4,223 to gain 1 QALY.
From a direct perspective, the Hib programme spends $55,598 to prevent a Hib infection, $1,471,888 for a Hib-related death, $9,710 to save a life-year, $34,811 to save 1 discounted life-year, and $8,363 to gain 1 QALY.
If the Hib vaccine was administered as a single vaccine, the direct and societal benefit-cost ratios would be 3.2 and 5.0, respectively. If all Hib vaccines were administered in combination vaccines, then the direct and societal benefit-cost ratios would be 4.7 and 7.5, respectively</t>
  </si>
  <si>
    <t>Zhou F, Bisgard KM, Yusuf HR, et al. Impact of universal haemophilus influenza
type B vaccination starting at 2 months of age in the United States: an economic
analysis. Paediatrics 2002;110:653–61.</t>
  </si>
  <si>
    <t>Publically funded contraception and current pattern of contraception remains</t>
  </si>
  <si>
    <t xml:space="preserve">Default scenario applied:
Scenario 1/5 - LARCs replaced by pill and condom equally
Perspective selection - Total public sector
Time horizon - 10 years
Although women aged over 44 are often still fertile and capable of childbearing, women aged 15 to 44 represent the majority of conceptions in England.
60% of unplanned births are mistimed. 
Costs are discounted at 3.5%
</t>
  </si>
  <si>
    <t>HIV services for patients diagnosed early is cost-effective (cost per life year gained of £1,776). Early diagnosis provides better outcomes for cart treatment and is cost-effective (£4,639 per life year gained).
Cost savings accrue due to prevented onward HIV transmission and reduced, expensive late diagnosis.</t>
  </si>
  <si>
    <t>cart = combination antiviral therapy
Early / late diagnosis definitions based on CD4 count (late: &lt;200 cells/mm3; early &gt;=200 cells/mm3).
Care costs for late stage diagnosis have been estimated at £12,800 per annum per patient; care costs for early diagnosis £10,500.
A diagnosis of HIV can reduce onward transmission through treatment and changes in behaviour. Individuals diagnosed with HIV infection demonstrated a reduction in risk behaviour, which has been shown to contribute to a reduced rate of onward transmission.
Earlier diagnosis leads to better outcomes from cart and lower costs (early diagnosis:£2,758, late diagnosis: £6,407).
Menu of Interventions estimates savings of £278 million by increasing HIV screening as above (based on primary modelling).</t>
  </si>
  <si>
    <t>Beck EJ, Mandalia S, Sangha R, Sharott P, Youle M, Baily G, et al. The Cost-Effectiveness of Early Access to HIV Services and Starting cart in the UK 1996–2008. PLOS ONE. 2011;6(12):e27830.</t>
  </si>
  <si>
    <t>Long EF, Mandalia R, Mandalia S, Alister SS, Beck EJ, Brandeau ML. Expanded HIV Testing in Low-Prevalence, High-Income Countries: A Cost-Effectiveness Analysis for the United Kingdom. PLOS ONE. 2014;9(4):e95735.</t>
  </si>
  <si>
    <t>Individuals aged between 30 to 84 in Liverpool</t>
  </si>
  <si>
    <t>Cost–Benefit Analysis (from insurer's perspective)</t>
  </si>
  <si>
    <t>The utilization costs decreased from $44,181 per 1,000 patient-days at baseline prior to the full implementation of the program (FY 2001) to $23,933 (a 45.8% decrease) by the end of the program. 
There was a reduction of approximately $3 million within the first 3 years, much of which was the result of a decrease in the use of antifungal agents in the cancer centre. 
After the program was discontinued, antimicrobial costs increased from $23,933 to $31,653 per 1,000 patient-days, a 32.3% increase within 2 years that is equivalent to a $2 million increase for the medical centre, mostly in the antibacterial category.</t>
  </si>
  <si>
    <t>Standiford HC, Chan S, Tripoli M, Weekes E, Forrest GN. Antimicrobial Stewardship at a Large Tertiary Care Academic Medical Centre: Cost Analysis Before, During, and After a 7-Year Program. Infection Control and Hospital Epidemiology. 2012;33(4):338-45.</t>
  </si>
  <si>
    <t>£30,000/QALY willingness to pay threshold
Individual-based dynamic transmission model 
Health benefits, summarised by changes in QALYs, are estimated over a patients lifetime.</t>
  </si>
  <si>
    <t>Results suggest that interventions such as sustainable travel towns could probably be considered more cost-effective than pedometers or led-walking.
Evidence for the effectiveness of the Travel Smart programme come in the form of increases in walking and cycling, decrease in car trips, and increases in sustainable travel trips from a 4 year funded programme to promote sustainable travel in Darlington, Peterborough and Worcester.
 It should be noted that the CBR shown here is for illustration, using the full cost of each intervention applied to only the specific subset of transport-related outcomes, and they should therefore be interpreted only within this context. They are much lower than values that would be obtained from a more comprehensive cost-benefit analysis. This fuller analysis would include health benefits  and other wider economic and societal benefits and losses.</t>
  </si>
  <si>
    <t>For Travel Smart (personalised travel support), the modelling undertaken suggests that the intervention appears cost-effective. The cost per QALY is estimated to be of the order of £300 using the continuous risk function, or £2,500 using the step risk function.</t>
  </si>
  <si>
    <t>Evidence for the effectiveness of the Travel Smart programme come in the form of increases in walking and cycling, decrease in car trips, and increases in sustainable travel trips.
Travel Smart has such a high benefit-cost ratio estimate here because the costs estimated are low. These results appear to suggest that, if only these environmental outcomes were considered, Travel Smart would be the most cost-effective intervention, followed by the Sustainable Travel Towns programme.</t>
  </si>
  <si>
    <t>This is a hypothetical intervention of a parent only intervention costing £389 to reduce weight in children.  Reduction in BMI assumed to carry on into later life which will tend decrease the incidence of various obesity related disease.
The cost per QALY ranges from £300 to £17,400, depending on inputs and assumptions used.</t>
  </si>
  <si>
    <t>A cohort of 457 participants from the state of Maryland, USA was matched to a cohort of 803 nonparticipants from a neighbouring state (Virginia, USA) where the 
CHF program was not offered.</t>
  </si>
  <si>
    <t xml:space="preserve">A cost benefit analysis of constructing pedestrian and bike trails in Lincoln, Nebraska, USA to address healthcare costs  related to inactive lifestyles was undertaken. Investing $1 in bike/pedestrian trails for physical activity produces a BCR of $2.94 in terms of direct medical benefits. </t>
  </si>
  <si>
    <t>(1) Selective breath testing checkpoints: 156 checkpoints (4 hours each) per year in the US. Effectiveness: Assumed 15% reduction in alcohol-related crashes. Total benefits: $9.2 million. Annual costs: $1.6 million. CBR = $6:$1.
(2)  Selective breath testing checkpoints: The program consisted of 18 checkpoints per community plus publicity campaigns and education programs in the US. Effectiveness: Net reductions in alcohol-related crash injuries and deaths ranged from 17.5% to 31.6%. Total benefits: $3.86 million, from societal savings realised through injuries and fatalities avoided. Costs: $164,552 (excl. publicity campaigns and education programs). CBR = $23:$1.
(3) Random breath testing (RBT) checkpoints: Study conducted 3 years after state-wide RBT checkpoints introduced in Australia. Effectiveness: assumption that 75% of the reduction in fatal crashes, serious injuries, minor injuries, and tow-away crashes was attributable to the checkpoints. Costs: $4 million; Benefits: $228 million ($US 1997). CBR = $57:$1.
(4) Random breath testing (RBT) checkpoints: RBT in the Netherlands. Effectiveness: 25% reduction in alcohol-related injury or property damage on weekend nights. Total benefits: $31.4 million. Costs: $15.6 million. CBR = $2:$1.</t>
  </si>
  <si>
    <t>Programmes for disadvantaged children</t>
  </si>
  <si>
    <t>Heckman JJ, Moon SH, Pinto R, Savelyev PA, Yavitz A. The rate of return to the High Scope Perry Preschool Program. Journal of public Economics. 2010;94(1):114-28.</t>
  </si>
  <si>
    <t>Hoddinott P, Craig L, Maclennan G, Boyers D, Vale L. The Feeding Support Team (FEST) randomised, controlled feasibility trial of proactive and reactive telephone support for breastfeeding women living in disadvantaged areas. BMJ open. 2012 Jan 1;2(2):e000652.</t>
  </si>
  <si>
    <t xml:space="preserve">The Child-Parent Centres (CPC) are located near state primary schools and their early childhood intervention provides education and family-support services to children aged between 3 and 9. The education focuses on acquiring basic skills in languages arts (reading, writing, speaking and listening) and maths. A cost-benefit analysis (CBA) of the Child-Parent Centre (CPC) Program for pre-school children, indicated that the ratio of benefits to cost (BCR) was $10.83 from a societal perspective for each $1 invested and $7.20 from a public perspective. </t>
  </si>
  <si>
    <t xml:space="preserve">The preschool programme runs 3 hours per day, 5 days per week during the 9-month school year, and usually includes a 6-week summer programme. The program has a child-to-staff ratios of 17 to 2 (qualified teacher and assistant). All teachers are qualified at undergraduate level i.e. Bachelor's degrees .The average length of participation for a child was 1.55 years. The benefits include increased earnings, tax revenues, averted costs in the criminal justice system, savings in public welfare and education. The benefits per child were $92,220 at a cost of $8,512 which results in a BCR of 10.83. </t>
  </si>
  <si>
    <t>Reynolds AJ, Temple JA, White BAB, et al. Age 26 cost-benefit analysis of the
child-parent centre early education program. Child Dev 2011;82:397404</t>
  </si>
  <si>
    <t>The Child-Parent Centres (CPC) are located near state primary schools and their early childhood intervention provides education and family-support services to children aged between 3 and 9. The education focuses on acquiring basic skills in languages arts (reading, writing, speaking and listening) and maths. A cost-benefit analysis (CBA) of the extended intervention of the Child-Parent Centre (CPC) Program for school-age children, indicated that the ratio of benefits to cost (BCR) was $8.24 from a societal perspective for each $1 invested and $5.21 from a public perspective.</t>
  </si>
  <si>
    <t>Effectiveness of the programme was measured as the difference in arrests between the MST and IT group. The benefits were defined as averted costs in the criminal justice system and averted costs to victims including damage to and loss of property, healthcare and lost productivity as well as intangible costs such as pain and lower quality of life. The cost of MST was $10,882 compared to $2,055 for IT, an incremental cost of $8,827. The benefits are calculated using two methods: the first assumes that each arrest has one victim resulting in a conservative BCR estimate of ($75,110 + $8,827)/($8,827) = 9.51. The second method assumes each arrest has multiple victims therefore greater savings if avoided, with a BCR of ($199,374+$8,827)/($8,827) = 23.59</t>
  </si>
  <si>
    <t>Working age population 18 - 67 (local authority employees in Wales)</t>
  </si>
  <si>
    <t>Impacts on presenteeism, absenteeism, staff retention as well as contact with GP's, secondary health services and local authority wellbeing services</t>
  </si>
  <si>
    <t>A free debt advice service for adults experiencing problematic debt, but who are without mental health problems. The intervention is delivered by a not-for-profit organisation provided within a practice or surgery. From a health system perspective, debt advice services are likely to have a positive return on investment, particularly if the bulk of the costs of the service are borne by creditors or the financial industry. Economic pay offs should include NHS impacts, legal system costs and productivity gains.</t>
  </si>
  <si>
    <t>Impacts on NHS
Legal system savings
Workplace productivity</t>
  </si>
  <si>
    <t>Adults are identified as being at risk of suicidal behaviour and who present at hospital following a self-harm event. This intervention has the long term potential to be cost saving from an NHS perspective and the ROI increases when impacts on other sectors are taken into account. Important to recognise this strategy needs to be combined with other approaches at national  level. This is to restrict access to means of suicide and measures to train gate keepers to identify, refer and make suicide hotspots (bridges, railway lines etc.) safer.</t>
  </si>
  <si>
    <t>The cost of a multi-competent intervention is estimated at £80 per employee per year</t>
  </si>
  <si>
    <t>This intervention has been taken from PHE's Best Start in Life Tool. It involves redesigned community postnatal care that includes changes to systematic identification and management of women's health problems, which is led by midwives with GP contact only when required. This intervention is dominant which means it is cost saving and delivers positive health gains in terms of QALYs.</t>
  </si>
  <si>
    <t>This intervention has been taken from PHE's Best Start in Life Tool. Early contact involves a postnatal check-up with a GP, 1 week after hospital discharge. This intervention has an ICER of £7,365.</t>
  </si>
  <si>
    <t>Cognitive Behavioural Therapy (CBT) based Intervention</t>
  </si>
  <si>
    <t>Cortes  JE, Curns  AT, Tate  JE, Cortese  MM, Patel  MM, Zhou  F, et al. Rotavirus Vaccine and Health Care Utilization for Diarrhoea in U.S. Children. New England Journal of Medicine. 2011;365(12):1108-17.</t>
  </si>
  <si>
    <t>Modelled a one-off delivery of both support and advice intervention in the trial. To do so, virtual cohorts of 20 million people were created by randomly sampling with replacement from the adult population enrolled in the BWeL trial.
BMI growth equation to the BMI of cohort members was simulated using a Monte Carlo process.
The data on BMI change were projected forward based on past trends in BMI for age and gender-specific groups in the English population taken from the Health Survey for England from 2004 to 2014.</t>
  </si>
  <si>
    <t>Wang G, Macera CA, Scudder-Soucie B, et al. A cost benefit analysis of physical
activity using bike/pedestrian trails. Health Promote Pract 2005;6:174.</t>
  </si>
  <si>
    <t xml:space="preserve">Tappin DM, Bauld L, Tannahill C, de Caestecker L, Radley A, McConnachie A, et al. The cessation in pregnancy incentives trial (CPIT): study protocol for a randomized controlled trial. Trials. 2012;13:113. 
Tappin D, Bauld L, Purves D, Boyd K, Sinclair L, MacAskill S, et al. Financial incentives for smoking cessation in pregnancy: randomised controlled trial. BMJ. 2015;350:h134. 
Tappin D, Bauld L, Purves D, Boyd K, Sinclair L, MacAskill S, et al. Financial incentives for smoking cessation during pregnancy: a randomised controlled trial. The Lancet. 2014;384:S4. Boyd KA, Briggs AH, Bauld L, Sinclair L, Tappin D. Are financial incentives cost-effective to support smoking cessation during pregnancy? Addiction. 2016;111(2):360-70 
McConnachie A, Haig C, Sinclair L, Bauld L, Tappin DM. Birth weight differences between those offered financial voucher incentives for verified smoking cessation and control participants enrolled in the Cessation in Pregnancy Incentives Trial (CPIT), employing an intuitive approach and a Complier Average Causal Effects (CACE) analysis. Trials. 2017;18(1):337.
</t>
  </si>
  <si>
    <t xml:space="preserve"> The BCR is based on a quasi-societal perspective which includes benefits and costs to the local economy and wider healthcare sector and over a lifetime horizon/timeframe. 9.6% of current smokers are allocated to an individual-level intervention and the current package requires an initial investment of £1,047,120.
9.3% of smokers receive Local Stop Smoking Service intervention (costing £828,986), 32.6% of pregnant smokers receive behavioural support (costing £28,346) and 26.0% of non-pregnant smokers are given GP Brief advice (£189,789). </t>
  </si>
  <si>
    <t>PhysioDirect - Early telephone assessment and advice - all MSK conditions</t>
  </si>
  <si>
    <t xml:space="preserve">A drug used to treat high blood pressure in addition to checking your own blood pressure regularly and making changes to lifestyle risk factors e.g. weight management, exercise, reduced salt in diet.
QALYs gained = 499644
</t>
  </si>
  <si>
    <t>England
 The tool looks only at secondary prevention of CVD, with the intervention being taken up by individuals with the following CVD risk factors: hypertension, chronic kidney disease, diabetes</t>
  </si>
  <si>
    <t>England
 The tool looks only at secondary prevention of CVD, with the intervention being taken up by individuals with the following CVD risk factors: Qrisk &gt;= 10%, familial hypercholesterolemia, type I diabetes, chronic kidney disease.</t>
  </si>
  <si>
    <t>Annual review which includes medication review and diagnosis of comorbid conditions. Patients are eligible to have the intervention every year following diagnosis of one or more high risk conditions.
QALYs gained  = 529734</t>
  </si>
  <si>
    <t>England
The tool looks only at secondary prevention of CVD, with the intervention taken up by individuals with the following CVD risk factors: familial hypercholesterolemia, hypertension, atrial fibrillation, chronic kidney disease, diabetes, non-diabetic hyperglycaemia.</t>
  </si>
  <si>
    <t>England
 The tool looks only at secondary prevention of CVD, with the intervention taken up by individuals with the following CVD risk factors: familial hypercholesterolemia, hypertension, atrial fibrillation, chronic kidney disease, diabetes, non-diabetic hyperglycaemia.</t>
  </si>
  <si>
    <t>England
 The tool looks only at secondary prevention of CVD, with the intervention  being taken up by individuals with undiagnosed Familial Hypercholesterolemia.</t>
  </si>
  <si>
    <t xml:space="preserve">Kerr et al., (2017) Cost effectiveness of cascade testing for familial hypercholesterolemia, based on data from familial hypercholesterolemia services in the UK. Eur Heart J 38(23):1832-39.
</t>
  </si>
  <si>
    <t>Background reduction in causalities in low and high casualty areas without mandatory 20 mph speed limits i.e. no intervention</t>
  </si>
  <si>
    <t>The intervention is applied to programmes watched on TV including children's programming defined as having children at greater than 35% of its audience share. This intervention was not modelled on adults or digital advertising in non-TV formats. The intervention was assumed to be in effect for 10 years.
This time horizon was chosen as 10 years due to uncertainties surrounding the lifetime maintenance effects of interventions implemented in childhood. The study did not account for any product reformulation that may result from the intervention. The price elasticity of demand was -0.74 for children aged 2-9 years and -0.61 for 10-19 years. The effective rate of corporation tax was assumed to be 12.6%</t>
  </si>
  <si>
    <t>This intervention aims to reduce children's exposure to lead and prevent associated health conditions by introducing lead hazard control. The main source of lead exposure is lead-based paint used in housing prior to 1978. The intervention provides a return of $17 to $221 for every $1 invested.</t>
  </si>
  <si>
    <t>Populations disproportionately affected by HIV including MSM, black and Hispanic.</t>
  </si>
  <si>
    <t>Net Costs (Savings) = Costs of Vaccination - Costs Averted Due to Vaccination
This study assumed that vaccinations were delivered in a low cost setting such as work place clinics, pharmacies and supermarkets.
The model assumes workers are full-time and work all year therefore the results may not apply to part-time or seasonal workers.
The best case scenario used a discount rate of 3.0% and the worst-case scenario used a discount rate of 5.0%</t>
  </si>
  <si>
    <t>The aim of this intervention is to provide to folic acid supplementation by fortifying cereal grain in order to prevent neural tube defects which are linked to birth defects: Spina bifida and anencephaly. Investing $1 in low-level fortification (140 micrograms per 100g of cereal grain)  provides benefits of 4.3. Investing $1  in high-level fortification (350 mcg per 100g of grain)  provides benefits of $6.10.</t>
  </si>
  <si>
    <t>Benefits of fortification = Incremental Cost of each case of neural tube defect × the number of cases averted.
There are two categories of folic acid fortification: low at 140 micrograms and high at 350 micrograms.
The price of folic acid was $115 per kilogram and the unit cost of low level fortification would be $0.0095 per 100 lb (45.34kg) of grain. The unit cost of high level fortification would be $0.0237 per 100 lb (45.34kg) of grain.
The total cost of a case of Spina bifida is $349,133 and for anencephaly it is $485,016.
This study assumes that sufficient folate intake decreases the risk of a neural tube defect in pregnancy by 50%. Accordingly, the target population can be split into two subgroups. The 33% with adequate folate intake have an expected prevalence for Spina bifida is 2.7 and for anencephaly it is 1.6 (per 10,000 live births).The 67% without sufficient folate have an expected prevalence for Spina bifida is 5.5 and for anencephaly it is 3.2 (per 10,000 live births). With low level fortification, 17% of the target population would move from inadequate to sufficient intake and with high level fortification, 42% would move.</t>
  </si>
  <si>
    <t>Bridges provide obvious jumping sites, and the construction of safety barriers has been shown successfully to reduce suicides on particular bridges. It appears that these averted suicides are not simply displaced to other, unsecured jumping sites, but whether suicide occurs by another method is difficult to analyse.</t>
  </si>
  <si>
    <r>
      <t xml:space="preserve">Intervention costs over 26 weeks were significantly higher for injectable heroin (mean £8995 v. </t>
    </r>
    <r>
      <rPr>
        <sz val="11"/>
        <color rgb="FF000000"/>
        <rFont val="Arial"/>
        <family val="2"/>
      </rPr>
      <t>£4674 injectable methadone and £2596 oral methadone; P&lt;0.0001). Costs overall were highest for oral methadone (mean £15 805 v. £13 410 injectable heroin and £10 945 injectable methadone;) due to higher costs of criminal activity. In cost-effectiveness analysis, oral methadone was dominated by injectable heroin and injectable methadone (more expensive and less effective). At willingness to pay of £30 000 per QALY, there is a higher probability of injectable methadone being more cost-effective (80%) than injectable heroin.</t>
    </r>
  </si>
  <si>
    <t xml:space="preserve">Average intervention cost=£27,296
Effect size= 1.02 lives saved. Based on 1999 data from a number of sites- issues exist in accident data accuracy </t>
  </si>
  <si>
    <t>Dominated to £360</t>
  </si>
  <si>
    <t>Dominated to £671; £1,627</t>
  </si>
  <si>
    <t>Dominated to £4,178</t>
  </si>
  <si>
    <t>Dominant to £5,735</t>
  </si>
  <si>
    <t>A24</t>
  </si>
  <si>
    <t>A25</t>
  </si>
  <si>
    <t>F65</t>
  </si>
  <si>
    <t xml:space="preserve"> Equity</t>
  </si>
  <si>
    <t xml:space="preserve"> Willingness to pay</t>
  </si>
  <si>
    <t xml:space="preserve"> System model analysis</t>
  </si>
  <si>
    <t xml:space="preserve"> Quasi-experiment</t>
  </si>
  <si>
    <t>variable is a difference between people that already exists (i.e. age or gender). The researcher examines the effect of this variable on the</t>
  </si>
  <si>
    <t>dependent variable.</t>
  </si>
  <si>
    <t xml:space="preserve">How fair the distribution of resources is within society. </t>
  </si>
  <si>
    <t xml:space="preserve">  • The HEER provides evidence for interventions across 13 areas within public health:</t>
  </si>
  <si>
    <t xml:space="preserve">  • Sexual Health Services; NHS Health Check Programme; Health Protection; Obesity &amp; Physical Activity; Alcohol Misuse; Drug Misuse; Smoking &amp; Tobacco; The Healthy Child Programme;</t>
  </si>
  <si>
    <t xml:space="preserve">    (HCP) 0-5; The Healthy Child Programme (HCP) 5-19; Mental Health; Cardiovascular Disease; MSK &amp; Falls; Miscellaneous</t>
  </si>
  <si>
    <t>The HEER will be reviewed annually to keep the information up-to-date. The next planned review will take place in September 2019. Each review will be carried out following the same rules as those used when the HEER was created. The new evidence will be clearly identified.</t>
  </si>
  <si>
    <t>Quasi-experiments contain a naturally occurring independent variable. However, in a quasi-experiment the naturally occurring independent</t>
  </si>
  <si>
    <t xml:space="preserve"> Secondary Sources of Evidence (Phase 1 2017)</t>
  </si>
  <si>
    <t>Published March 2019</t>
  </si>
  <si>
    <t>v2.0</t>
  </si>
  <si>
    <r>
      <t>Costs: estimated at a total upfront cost of</t>
    </r>
    <r>
      <rPr>
        <sz val="11"/>
        <rFont val="Arial"/>
        <family val="2"/>
      </rPr>
      <t xml:space="preserve"> £100</t>
    </r>
    <r>
      <rPr>
        <sz val="11"/>
        <color theme="1"/>
        <rFont val="Arial"/>
        <family val="2"/>
      </rPr>
      <t xml:space="preserve"> per person enrolled.
PHE has assumed a tier 2 intervention funded by local authorities that recruits 45 men and 255 women with an average age of 51 years, a mean starting BMI of 33.2 kg/m2 and a 36% drop out rate. Effectiveness: participants completing a 12-month intervention could reduce their body mass index by an average of 2.46 kg/m2 . </t>
    </r>
  </si>
  <si>
    <t>M8</t>
  </si>
  <si>
    <t>Establish fracture liaison services</t>
  </si>
  <si>
    <t>This intervention aims to reduce fractures from falls.
Fracture liaison services (FLS) will support elderly patients at risk of fracture and reduce demand for social care provision.
This intervention will seek to achieve this by identifying people at risk of future fractures and falls and offering bone strengthening medicines and referrals to services that can reduce this risk (for example, strength and balance programmes).</t>
  </si>
  <si>
    <t>Economic evaluation</t>
  </si>
  <si>
    <t>NHS trusts</t>
  </si>
  <si>
    <t>Improving perinatal mental health services</t>
  </si>
  <si>
    <t>Perinatal Health</t>
  </si>
  <si>
    <t>Smoke free mental health trusts and quitting support</t>
  </si>
  <si>
    <t>Sohal H, Huddlestone L, Ratschen E. Preparing for Completely Smoke-Free Mental Health Settings: Findings on Patient Smoking, Resources Spent Facilitating Smoking Breaks, and the Role of Smoking in Reported Incidents from a Large Mental Health Trust in England. International journal of environmental research and public health [Internet]. 2016 Feb 25; 13(3).</t>
  </si>
  <si>
    <t>Health and care system
NHS
Local authorities</t>
  </si>
  <si>
    <t>c£14p.a. per person over 5 years</t>
  </si>
  <si>
    <t xml:space="preserve"> ICER</t>
  </si>
  <si>
    <t xml:space="preserve">c£1,460 p.a. per person to the health and care system on average over 10 years
c£1,890 p.a. over 10 years to the NHS
c-£430 (net cost) to local authorities </t>
  </si>
  <si>
    <t>2 - 5 years</t>
  </si>
  <si>
    <t>£3.98 : £1</t>
  </si>
  <si>
    <t>Net savings over 10 years
PHE estimates that the intervention could cost c£1,430 p.a. to the health and care system on average over 10 years. The average cost per person to the NHS is c£790 p.a. over 10 years, and c£640 to local authorities. This includes nicotine replacement therapy, one off set up cost and training and estate costs (e.g. activities to replace smoking).</t>
  </si>
  <si>
    <t>Net savings over 5 years based on year 1 cohort
It can be estimated that the cost of running an FLS in NHS trusts for a year 1 cohort of 797 patients is c£59 p.a. per person over 5 years. This includes one year costs of running the FLS (staff and scanning equipment) and five year drug costs, the majority of which are incurred in the first year.</t>
  </si>
  <si>
    <t>Net savings observed from 2 - 5 years 
Total costs of the intervention to the NHS are £407 per birth p.a.
Per birth costs for each component being:
a) £205 for training and specialist supervision
b) £18 mental health assessments
c) £184 specialist psychological and clinical support and networks</t>
  </si>
  <si>
    <t>In an area with a population of 320,000, a cohort of 797 patients would present with a hip, humerus, spine or forearm fracture.</t>
  </si>
  <si>
    <t xml:space="preserve">
https://webarchive.nationalarchives.gov.uk/20130124050747/http://www.dh.gov.uk/prod_consum_dh/groups/dh_digitalassets/documents/digitalasset/dh_110099.pdf</t>
  </si>
  <si>
    <t xml:space="preserve">This intervention aims for every women to be able to access evidence-based specialist mental health advice, support and treatment during the perinatal period.
Seek to ensure that every footprint establishes a comprehensive perinatal pathway with four key components:
1. Access to mental health advice and support embedded within universal maternity, health visiting and GP services
2. Routinely asking about mental health in all consultations with pregnant women and up to one year after childbirth
3. Rapid access to psychological therapies for all women who will benefit
4. Clear pathways including support during and after childbirth, specialist perinatal community teams, parent-infant services, and appropriate access to mother and baby units
</t>
  </si>
  <si>
    <t>This intervention aims to reduce smoking related ill-health for patients of mental health trusts and their staff.
The intervention aims to do this by:
1. Enforcing smoke free buildings and ground
2. Providing a mix of very brief advice and intensive interventions training to all staff
3. Consistently recording smoking status
4. Offering stop smoking support to all people who smoke
PHE estimates that 95% of patients could be screened and 95% of those who are smokers could be given appropriate help to quit. It is estimated the long-term quit rate for long term patients is 40%, and 25% for short-term patients.</t>
  </si>
  <si>
    <t>L35</t>
  </si>
  <si>
    <t>L36</t>
  </si>
  <si>
    <t>M9</t>
  </si>
  <si>
    <t>M10</t>
  </si>
  <si>
    <t>M11</t>
  </si>
  <si>
    <t>M12</t>
  </si>
  <si>
    <t>M13</t>
  </si>
  <si>
    <t>Department of Health economic evaluation</t>
  </si>
  <si>
    <t>London School of Economics economic case</t>
  </si>
  <si>
    <t>Societal ROI (incl productivity) £11.14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</si>
</sst>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Red]\-&quot;£&quot;#,##0"/>
    <numFmt numFmtId="7" formatCode="&quot;£&quot;#,##0.00;\-&quot;£&quot;#,##0.00"/>
    <numFmt numFmtId="8" formatCode="&quot;£&quot;#,##0.00;[Red]\-&quot;£&quot;#,##0.00"/>
    <numFmt numFmtId="44" formatCode="_-&quot;£&quot;* #,##0.00_-;\-&quot;£&quot;* #,##0.00_-;_-&quot;£&quot;* &quot;-&quot;??_-;_-@_-"/>
    <numFmt numFmtId="43" formatCode="_-* #,##0.00_-;\-* #,##0.00_-;_-* &quot;-&quot;??_-;_-@_-"/>
    <numFmt numFmtId="164" formatCode="[$€-2]\ #,##0;[Red]\-[$€-2]\ #,##0"/>
    <numFmt numFmtId="165" formatCode="0.0%"/>
    <numFmt numFmtId="166" formatCode="&quot;£&quot;#,##0"/>
    <numFmt numFmtId="167" formatCode="&quot;£&quot;#,##0.00"/>
  </numFmts>
  <fonts count="5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u/>
      <sz val="11"/>
      <color theme="10"/>
      <name val="Calibri"/>
      <family val="2"/>
      <scheme val="minor"/>
    </font>
    <font>
      <sz val="11"/>
      <name val="Calibri"/>
      <family val="2"/>
      <scheme val="minor"/>
    </font>
    <font>
      <sz val="11"/>
      <color theme="0"/>
      <name val="Calibri"/>
      <family val="2"/>
      <scheme val="minor"/>
    </font>
    <font>
      <b/>
      <u/>
      <sz val="11"/>
      <color theme="0"/>
      <name val="Calibri"/>
      <family val="2"/>
      <scheme val="minor"/>
    </font>
    <font>
      <sz val="18"/>
      <color theme="0"/>
      <name val="Arial"/>
      <family val="2"/>
    </font>
    <font>
      <b/>
      <sz val="9"/>
      <color theme="1"/>
      <name val="Arial"/>
      <family val="2"/>
    </font>
    <font>
      <sz val="9"/>
      <color theme="1"/>
      <name val="Arial"/>
      <family val="2"/>
    </font>
    <font>
      <sz val="9"/>
      <color theme="1"/>
      <name val="Calibri"/>
      <family val="2"/>
      <scheme val="minor"/>
    </font>
    <font>
      <b/>
      <sz val="9"/>
      <name val="Arial"/>
      <family val="2"/>
    </font>
    <font>
      <sz val="9"/>
      <name val="Arial"/>
      <family val="2"/>
    </font>
    <font>
      <b/>
      <u/>
      <sz val="9"/>
      <color theme="1"/>
      <name val="Arial"/>
      <family val="2"/>
    </font>
    <font>
      <u/>
      <sz val="9"/>
      <color theme="10"/>
      <name val="Arial"/>
      <family val="2"/>
    </font>
    <font>
      <b/>
      <u/>
      <sz val="9"/>
      <color theme="0"/>
      <name val="Arial"/>
      <family val="2"/>
    </font>
    <font>
      <sz val="9"/>
      <color rgb="FFFF0000"/>
      <name val="Arial"/>
      <family val="2"/>
    </font>
    <font>
      <sz val="11"/>
      <name val="Arial"/>
      <family val="2"/>
    </font>
    <font>
      <sz val="11"/>
      <color rgb="FF2A2A2A"/>
      <name val="Arial"/>
      <family val="2"/>
    </font>
    <font>
      <sz val="11"/>
      <color rgb="FF000000"/>
      <name val="Arial"/>
      <family val="2"/>
    </font>
    <font>
      <b/>
      <sz val="9"/>
      <color rgb="FF000000"/>
      <name val="Arial"/>
      <family val="2"/>
    </font>
    <font>
      <sz val="9"/>
      <color rgb="FF000000"/>
      <name val="Arial"/>
      <family val="2"/>
    </font>
    <font>
      <b/>
      <sz val="11"/>
      <color theme="1"/>
      <name val="Arial"/>
      <family val="2"/>
    </font>
    <font>
      <u/>
      <sz val="11"/>
      <color theme="10"/>
      <name val="Arial"/>
      <family val="2"/>
    </font>
    <font>
      <sz val="11"/>
      <color rgb="FFFF0000"/>
      <name val="Arial"/>
      <family val="2"/>
    </font>
    <font>
      <u/>
      <sz val="11"/>
      <name val="Arial"/>
      <family val="2"/>
    </font>
    <font>
      <sz val="11"/>
      <color rgb="FF0E0E0E"/>
      <name val="Arial"/>
      <family val="2"/>
    </font>
    <font>
      <u/>
      <sz val="11"/>
      <color rgb="FF0E0E0E"/>
      <name val="Arial"/>
      <family val="2"/>
    </font>
    <font>
      <b/>
      <sz val="11"/>
      <name val="Arial"/>
      <family val="2"/>
    </font>
    <font>
      <sz val="10"/>
      <color theme="1"/>
      <name val="Arial"/>
      <family val="2"/>
    </font>
    <font>
      <sz val="10"/>
      <name val="Arial"/>
      <family val="2"/>
    </font>
    <font>
      <sz val="10"/>
      <color rgb="FF0E0E0E"/>
      <name val="Arial"/>
      <family val="2"/>
    </font>
    <font>
      <sz val="10"/>
      <color rgb="FF000000"/>
      <name val="Arial"/>
      <family val="2"/>
    </font>
    <font>
      <b/>
      <sz val="11"/>
      <color indexed="81"/>
      <name val="Arial"/>
      <family val="2"/>
    </font>
    <font>
      <b/>
      <u/>
      <sz val="11"/>
      <color indexed="81"/>
      <name val="Arial"/>
      <family val="2"/>
    </font>
    <font>
      <sz val="10"/>
      <color rgb="FFFF0000"/>
      <name val="Symbol"/>
      <family val="1"/>
      <charset val="2"/>
    </font>
    <font>
      <strike/>
      <sz val="9"/>
      <color rgb="FFFF0000"/>
      <name val="Arial"/>
      <family val="2"/>
    </font>
    <font>
      <b/>
      <u/>
      <sz val="9"/>
      <color rgb="FF000000"/>
      <name val="Arial"/>
      <family val="2"/>
    </font>
    <font>
      <b/>
      <sz val="9"/>
      <color rgb="FFFF0000"/>
      <name val="Arial"/>
      <family val="2"/>
    </font>
    <font>
      <sz val="10"/>
      <color theme="1"/>
      <name val="Calibri"/>
      <family val="2"/>
      <scheme val="minor"/>
    </font>
    <font>
      <u/>
      <sz val="10"/>
      <color theme="10"/>
      <name val="Arial"/>
      <family val="2"/>
    </font>
    <font>
      <b/>
      <sz val="10"/>
      <color rgb="FF98002E"/>
      <name val="Arial"/>
      <family val="2"/>
    </font>
    <font>
      <b/>
      <sz val="10"/>
      <color theme="1"/>
      <name val="Calibri"/>
      <family val="2"/>
      <scheme val="minor"/>
    </font>
    <font>
      <b/>
      <sz val="11"/>
      <color theme="0"/>
      <name val="Calibri"/>
      <family val="2"/>
      <scheme val="minor"/>
    </font>
    <font>
      <sz val="11"/>
      <color theme="1"/>
      <name val="Calibri"/>
      <family val="2"/>
      <scheme val="minor"/>
    </font>
    <font>
      <b/>
      <sz val="10"/>
      <name val="Arial"/>
      <family val="2"/>
    </font>
    <font>
      <u/>
      <sz val="11"/>
      <color theme="1"/>
      <name val="Arial"/>
      <family val="2"/>
    </font>
    <font>
      <u/>
      <sz val="11"/>
      <color rgb="FF0000FF"/>
      <name val="Arial"/>
      <family val="2"/>
    </font>
    <font>
      <sz val="11"/>
      <color rgb="FF9C0006"/>
      <name val="Calibri"/>
      <family val="2"/>
      <scheme val="minor"/>
    </font>
    <font>
      <sz val="11"/>
      <color rgb="FF9C5700"/>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822433"/>
        <bgColor indexed="64"/>
      </patternFill>
    </fill>
    <fill>
      <patternFill patternType="solid">
        <fgColor rgb="FF00B092"/>
        <bgColor indexed="64"/>
      </patternFill>
    </fill>
    <fill>
      <patternFill patternType="solid">
        <fgColor rgb="FF002776"/>
        <bgColor indexed="64"/>
      </patternFill>
    </fill>
    <fill>
      <patternFill patternType="solid">
        <fgColor rgb="FFDAD7CB"/>
        <bgColor indexed="64"/>
      </patternFill>
    </fill>
    <fill>
      <patternFill patternType="solid">
        <fgColor rgb="FFA4AEB5"/>
        <bgColor indexed="64"/>
      </patternFill>
    </fill>
    <fill>
      <patternFill patternType="solid">
        <fgColor theme="5" tint="0.79998168889431442"/>
        <bgColor indexed="64"/>
      </patternFill>
    </fill>
    <fill>
      <patternFill patternType="solid">
        <fgColor rgb="FFFAE2B5"/>
        <bgColor indexed="64"/>
      </patternFill>
    </fill>
    <fill>
      <patternFill patternType="solid">
        <fgColor rgb="FFA0C4DA"/>
        <bgColor indexed="64"/>
      </patternFill>
    </fill>
    <fill>
      <patternFill patternType="solid">
        <fgColor theme="9" tint="0.79998168889431442"/>
        <bgColor indexed="64"/>
      </patternFill>
    </fill>
    <fill>
      <patternFill patternType="solid">
        <fgColor rgb="FFFFFFCC"/>
      </patternFill>
    </fill>
    <fill>
      <patternFill patternType="solid">
        <fgColor theme="4" tint="0.79998168889431442"/>
        <bgColor indexed="64"/>
      </patternFill>
    </fill>
    <fill>
      <patternFill patternType="solid">
        <fgColor rgb="FFFFC7CE"/>
      </patternFill>
    </fill>
    <fill>
      <patternFill patternType="solid">
        <fgColor rgb="FFFFEB9C"/>
      </patternFill>
    </fill>
  </fills>
  <borders count="26">
    <border>
      <left/>
      <right/>
      <top/>
      <bottom/>
      <diagonal/>
    </border>
    <border>
      <left style="thin">
        <color rgb="FF92D050"/>
      </left>
      <right/>
      <top style="thin">
        <color rgb="FF92D050"/>
      </top>
      <bottom/>
      <diagonal/>
    </border>
    <border>
      <left/>
      <right/>
      <top style="thin">
        <color rgb="FF92D050"/>
      </top>
      <bottom/>
      <diagonal/>
    </border>
    <border>
      <left/>
      <right style="thin">
        <color rgb="FF92D050"/>
      </right>
      <top style="thin">
        <color rgb="FF92D050"/>
      </top>
      <bottom/>
      <diagonal/>
    </border>
    <border>
      <left style="thin">
        <color rgb="FF92D050"/>
      </left>
      <right/>
      <top/>
      <bottom/>
      <diagonal/>
    </border>
    <border>
      <left/>
      <right style="thin">
        <color rgb="FF92D050"/>
      </right>
      <top/>
      <bottom/>
      <diagonal/>
    </border>
    <border>
      <left style="thin">
        <color rgb="FF92D050"/>
      </left>
      <right/>
      <top/>
      <bottom style="thin">
        <color rgb="FF92D050"/>
      </bottom>
      <diagonal/>
    </border>
    <border>
      <left/>
      <right/>
      <top/>
      <bottom style="thin">
        <color rgb="FF92D050"/>
      </bottom>
      <diagonal/>
    </border>
    <border>
      <left/>
      <right style="thin">
        <color rgb="FF92D050"/>
      </right>
      <top/>
      <bottom style="thin">
        <color rgb="FF92D050"/>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theme="5"/>
      </left>
      <right style="thin">
        <color theme="5"/>
      </right>
      <top style="thin">
        <color theme="5"/>
      </top>
      <bottom style="thin">
        <color theme="5"/>
      </bottom>
      <diagonal/>
    </border>
    <border>
      <left style="medium">
        <color theme="5"/>
      </left>
      <right style="medium">
        <color theme="5"/>
      </right>
      <top style="medium">
        <color theme="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FF0000"/>
      </left>
      <right style="thin">
        <color rgb="FFFF0000"/>
      </right>
      <top style="thin">
        <color rgb="FFFF0000"/>
      </top>
      <bottom style="thin">
        <color rgb="FFFF0000"/>
      </bottom>
      <diagonal/>
    </border>
    <border>
      <left style="thin">
        <color theme="5"/>
      </left>
      <right style="thin">
        <color theme="5"/>
      </right>
      <top/>
      <bottom/>
      <diagonal/>
    </border>
  </borders>
  <cellStyleXfs count="22">
    <xf numFmtId="0" fontId="0" fillId="0" borderId="0"/>
    <xf numFmtId="0" fontId="4" fillId="0" borderId="0" applyNumberFormat="0" applyFill="0" applyBorder="0" applyAlignment="0" applyProtection="0"/>
    <xf numFmtId="0" fontId="30" fillId="0" borderId="0"/>
    <xf numFmtId="0" fontId="30" fillId="13" borderId="22" applyNumberFormat="0" applyFont="0" applyAlignment="0" applyProtection="0"/>
    <xf numFmtId="44" fontId="30" fillId="0" borderId="0" applyFont="0" applyFill="0" applyBorder="0" applyAlignment="0" applyProtection="0"/>
    <xf numFmtId="0" fontId="46" fillId="14" borderId="0" applyBorder="0">
      <alignment horizontal="center" vertical="center"/>
    </xf>
    <xf numFmtId="9" fontId="30" fillId="0" borderId="0" applyFont="0" applyFill="0" applyBorder="0" applyAlignment="0" applyProtection="0"/>
    <xf numFmtId="0" fontId="46" fillId="14" borderId="23">
      <alignment horizontal="center" vertical="center"/>
    </xf>
    <xf numFmtId="0" fontId="41" fillId="0" borderId="0" applyNumberFormat="0" applyFill="0" applyBorder="0" applyAlignment="0" applyProtection="0"/>
    <xf numFmtId="43" fontId="30" fillId="0" borderId="0" applyFont="0" applyFill="0" applyBorder="0" applyAlignment="0" applyProtection="0"/>
    <xf numFmtId="0" fontId="45" fillId="0" borderId="0"/>
    <xf numFmtId="43" fontId="45" fillId="0" borderId="0" applyFont="0" applyFill="0" applyBorder="0" applyAlignment="0" applyProtection="0"/>
    <xf numFmtId="9" fontId="45" fillId="0" borderId="0" applyFont="0" applyFill="0" applyBorder="0" applyAlignment="0" applyProtection="0"/>
    <xf numFmtId="43" fontId="30" fillId="0" borderId="0" applyFont="0" applyFill="0" applyBorder="0" applyAlignment="0" applyProtection="0"/>
    <xf numFmtId="0" fontId="45" fillId="0" borderId="0"/>
    <xf numFmtId="0" fontId="30" fillId="0" borderId="0"/>
    <xf numFmtId="0" fontId="31" fillId="0" borderId="0"/>
    <xf numFmtId="9" fontId="30" fillId="0" borderId="0" applyFont="0" applyFill="0" applyBorder="0" applyAlignment="0" applyProtection="0"/>
    <xf numFmtId="9" fontId="45" fillId="0" borderId="0" applyFont="0" applyFill="0" applyBorder="0" applyAlignment="0" applyProtection="0"/>
    <xf numFmtId="0" fontId="49" fillId="15" borderId="0" applyNumberFormat="0" applyBorder="0" applyAlignment="0" applyProtection="0"/>
    <xf numFmtId="0" fontId="50" fillId="16" borderId="0" applyNumberFormat="0" applyBorder="0" applyAlignment="0" applyProtection="0"/>
    <xf numFmtId="0" fontId="50" fillId="16" borderId="0" applyNumberFormat="0" applyBorder="0" applyAlignment="0" applyProtection="0"/>
  </cellStyleXfs>
  <cellXfs count="325">
    <xf numFmtId="0" fontId="0" fillId="0" borderId="0" xfId="0"/>
    <xf numFmtId="0" fontId="2" fillId="0" borderId="0" xfId="0" applyFont="1"/>
    <xf numFmtId="0" fontId="0" fillId="0" borderId="0" xfId="0" applyFill="1"/>
    <xf numFmtId="14" fontId="0" fillId="0" borderId="0" xfId="0" applyNumberFormat="1"/>
    <xf numFmtId="0" fontId="0" fillId="0" borderId="0" xfId="0" applyFont="1" applyBorder="1"/>
    <xf numFmtId="0" fontId="0" fillId="0" borderId="0" xfId="0" applyFont="1" applyFill="1" applyBorder="1"/>
    <xf numFmtId="0" fontId="2" fillId="0" borderId="0" xfId="0" applyFont="1" applyBorder="1" applyAlignment="1">
      <alignment horizontal="left"/>
    </xf>
    <xf numFmtId="0" fontId="0" fillId="3" borderId="0" xfId="0" applyFill="1"/>
    <xf numFmtId="0" fontId="7" fillId="4" borderId="1" xfId="0" applyFont="1" applyFill="1" applyBorder="1"/>
    <xf numFmtId="0" fontId="7" fillId="4" borderId="2" xfId="0" applyFont="1" applyFill="1" applyBorder="1"/>
    <xf numFmtId="0" fontId="7" fillId="4" borderId="3" xfId="0" applyFont="1" applyFill="1" applyBorder="1"/>
    <xf numFmtId="0" fontId="7" fillId="4" borderId="4" xfId="0" applyFont="1" applyFill="1" applyBorder="1"/>
    <xf numFmtId="0" fontId="7" fillId="4" borderId="0" xfId="0" applyFont="1" applyFill="1" applyBorder="1"/>
    <xf numFmtId="0" fontId="7" fillId="4" borderId="5" xfId="0" applyFont="1" applyFill="1" applyBorder="1"/>
    <xf numFmtId="0" fontId="8" fillId="4" borderId="0" xfId="0" applyFont="1" applyFill="1" applyBorder="1"/>
    <xf numFmtId="0" fontId="7" fillId="4" borderId="6" xfId="0" applyFont="1" applyFill="1" applyBorder="1"/>
    <xf numFmtId="0" fontId="7" fillId="4" borderId="7" xfId="0" applyFont="1" applyFill="1" applyBorder="1"/>
    <xf numFmtId="0" fontId="7" fillId="4" borderId="8" xfId="0" applyFont="1" applyFill="1" applyBorder="1"/>
    <xf numFmtId="0" fontId="2" fillId="3" borderId="0" xfId="0" applyFont="1" applyFill="1"/>
    <xf numFmtId="0" fontId="6" fillId="4" borderId="0" xfId="0" applyFont="1" applyFill="1" applyBorder="1"/>
    <xf numFmtId="0" fontId="6" fillId="5" borderId="0" xfId="0" applyFont="1" applyFill="1" applyBorder="1"/>
    <xf numFmtId="0" fontId="6" fillId="6" borderId="0" xfId="0" applyFont="1" applyFill="1" applyBorder="1"/>
    <xf numFmtId="0" fontId="5" fillId="7" borderId="0" xfId="0" applyFont="1" applyFill="1" applyBorder="1"/>
    <xf numFmtId="0" fontId="5" fillId="8" borderId="0" xfId="0" applyFont="1" applyFill="1" applyBorder="1"/>
    <xf numFmtId="0" fontId="3" fillId="3" borderId="0" xfId="0" applyFont="1" applyFill="1" applyAlignment="1"/>
    <xf numFmtId="0" fontId="7" fillId="3" borderId="0" xfId="0" applyFont="1" applyFill="1" applyBorder="1"/>
    <xf numFmtId="0" fontId="16" fillId="3" borderId="0" xfId="0" applyFont="1" applyFill="1" applyBorder="1"/>
    <xf numFmtId="0" fontId="0" fillId="0" borderId="0" xfId="0" applyFont="1" applyFill="1" applyBorder="1" applyProtection="1"/>
    <xf numFmtId="0" fontId="0" fillId="0" borderId="0" xfId="0" applyFont="1" applyFill="1" applyProtection="1"/>
    <xf numFmtId="0" fontId="0" fillId="0" borderId="0" xfId="0" applyFont="1" applyProtection="1"/>
    <xf numFmtId="0" fontId="0" fillId="0" borderId="0" xfId="0" applyProtection="1"/>
    <xf numFmtId="0" fontId="0" fillId="0" borderId="0" xfId="0" applyFill="1" applyProtection="1"/>
    <xf numFmtId="0" fontId="0" fillId="3" borderId="11" xfId="0" applyFill="1" applyBorder="1"/>
    <xf numFmtId="0" fontId="0" fillId="3" borderId="12" xfId="0" applyFill="1" applyBorder="1"/>
    <xf numFmtId="0" fontId="0" fillId="3" borderId="13" xfId="0" applyFill="1" applyBorder="1"/>
    <xf numFmtId="0" fontId="0" fillId="3" borderId="0" xfId="0" applyFill="1" applyBorder="1"/>
    <xf numFmtId="0" fontId="0" fillId="3" borderId="14" xfId="0" applyFill="1" applyBorder="1"/>
    <xf numFmtId="0" fontId="0" fillId="3" borderId="15" xfId="0" applyFill="1" applyBorder="1"/>
    <xf numFmtId="0" fontId="0" fillId="3" borderId="9" xfId="0" applyFill="1" applyBorder="1"/>
    <xf numFmtId="0" fontId="0" fillId="3" borderId="16" xfId="0" applyFill="1" applyBorder="1"/>
    <xf numFmtId="0" fontId="22" fillId="3" borderId="13" xfId="0" applyFont="1" applyFill="1" applyBorder="1"/>
    <xf numFmtId="0" fontId="21" fillId="3" borderId="13" xfId="0" applyFont="1" applyFill="1" applyBorder="1"/>
    <xf numFmtId="0" fontId="9" fillId="3" borderId="13" xfId="0" applyFont="1" applyFill="1" applyBorder="1"/>
    <xf numFmtId="0" fontId="10" fillId="3" borderId="0" xfId="0" applyFont="1" applyFill="1" applyBorder="1"/>
    <xf numFmtId="0" fontId="11" fillId="3" borderId="0" xfId="0" applyFont="1" applyFill="1" applyBorder="1"/>
    <xf numFmtId="0" fontId="12" fillId="3" borderId="13" xfId="0" applyFont="1" applyFill="1" applyBorder="1"/>
    <xf numFmtId="0" fontId="13" fillId="3" borderId="0" xfId="0" applyFont="1" applyFill="1" applyBorder="1"/>
    <xf numFmtId="0" fontId="10" fillId="3" borderId="0" xfId="0" applyFont="1" applyFill="1" applyBorder="1" applyAlignment="1">
      <alignment horizontal="left" vertical="top" wrapText="1"/>
    </xf>
    <xf numFmtId="0" fontId="17" fillId="3" borderId="0" xfId="0" applyFont="1" applyFill="1" applyBorder="1"/>
    <xf numFmtId="0" fontId="3" fillId="3" borderId="11" xfId="0" applyFont="1" applyFill="1" applyBorder="1"/>
    <xf numFmtId="0" fontId="14" fillId="3" borderId="10" xfId="0" applyFont="1" applyFill="1" applyBorder="1"/>
    <xf numFmtId="0" fontId="10" fillId="3" borderId="11" xfId="0" applyFont="1" applyFill="1" applyBorder="1"/>
    <xf numFmtId="0" fontId="3" fillId="3" borderId="11" xfId="0" applyFont="1" applyFill="1" applyBorder="1" applyAlignment="1"/>
    <xf numFmtId="0" fontId="3" fillId="3" borderId="12" xfId="0" applyFont="1" applyFill="1" applyBorder="1" applyAlignment="1"/>
    <xf numFmtId="0" fontId="10" fillId="3" borderId="13" xfId="0" applyFont="1" applyFill="1" applyBorder="1" applyAlignment="1"/>
    <xf numFmtId="0" fontId="3" fillId="3" borderId="0" xfId="0" applyFont="1" applyFill="1" applyBorder="1" applyAlignment="1"/>
    <xf numFmtId="0" fontId="3" fillId="3" borderId="14" xfId="0" applyFont="1" applyFill="1" applyBorder="1" applyAlignment="1"/>
    <xf numFmtId="0" fontId="10" fillId="3" borderId="13" xfId="0" applyFont="1" applyFill="1" applyBorder="1" applyAlignment="1">
      <alignment horizontal="left"/>
    </xf>
    <xf numFmtId="0" fontId="15" fillId="3" borderId="0" xfId="1" applyFont="1" applyFill="1" applyBorder="1"/>
    <xf numFmtId="0" fontId="1" fillId="3" borderId="0" xfId="0" applyFont="1" applyFill="1" applyBorder="1"/>
    <xf numFmtId="0" fontId="23" fillId="3" borderId="0" xfId="0" applyFont="1" applyFill="1" applyAlignment="1">
      <alignment horizontal="center" vertical="center" wrapText="1"/>
    </xf>
    <xf numFmtId="0" fontId="23" fillId="9" borderId="18" xfId="0" applyFont="1" applyFill="1" applyBorder="1" applyAlignment="1">
      <alignment horizontal="center" vertical="center" wrapText="1"/>
    </xf>
    <xf numFmtId="0" fontId="23" fillId="3" borderId="18" xfId="0" applyFont="1" applyFill="1" applyBorder="1" applyAlignment="1">
      <alignment horizontal="center" vertical="center" wrapText="1"/>
    </xf>
    <xf numFmtId="0" fontId="3" fillId="3" borderId="17" xfId="0" applyFont="1" applyFill="1" applyBorder="1" applyAlignment="1">
      <alignment horizontal="center" vertical="center" wrapText="1"/>
    </xf>
    <xf numFmtId="10" fontId="3" fillId="3" borderId="17" xfId="0" applyNumberFormat="1" applyFont="1" applyFill="1" applyBorder="1" applyAlignment="1">
      <alignment horizontal="center" vertical="center" wrapText="1"/>
    </xf>
    <xf numFmtId="165" fontId="3" fillId="3" borderId="17" xfId="0" applyNumberFormat="1" applyFont="1" applyFill="1" applyBorder="1" applyAlignment="1">
      <alignment horizontal="center" vertical="center" wrapText="1"/>
    </xf>
    <xf numFmtId="0" fontId="10" fillId="3" borderId="13" xfId="0" applyFont="1" applyFill="1" applyBorder="1" applyAlignment="1">
      <alignment vertical="center"/>
    </xf>
    <xf numFmtId="0" fontId="27" fillId="3" borderId="17" xfId="0" applyFont="1" applyFill="1" applyBorder="1" applyAlignment="1">
      <alignment horizontal="center" vertical="center" wrapText="1"/>
    </xf>
    <xf numFmtId="14" fontId="0" fillId="0" borderId="0" xfId="0" applyNumberFormat="1" applyAlignment="1"/>
    <xf numFmtId="0" fontId="13" fillId="3" borderId="13" xfId="0" applyFont="1" applyFill="1" applyBorder="1" applyAlignment="1">
      <alignment vertical="center" readingOrder="1"/>
    </xf>
    <xf numFmtId="0" fontId="30" fillId="0" borderId="0" xfId="0" applyFont="1" applyFill="1" applyBorder="1"/>
    <xf numFmtId="0" fontId="30" fillId="0" borderId="0" xfId="0" applyFont="1"/>
    <xf numFmtId="0" fontId="6" fillId="0" borderId="0" xfId="0" applyFont="1" applyAlignment="1"/>
    <xf numFmtId="0" fontId="0" fillId="10" borderId="0" xfId="0" applyFill="1"/>
    <xf numFmtId="0" fontId="6" fillId="4" borderId="19" xfId="0" applyFont="1" applyFill="1" applyBorder="1"/>
    <xf numFmtId="0" fontId="6" fillId="4" borderId="20" xfId="0" applyFont="1" applyFill="1" applyBorder="1"/>
    <xf numFmtId="0" fontId="6" fillId="4" borderId="21" xfId="0" applyFont="1" applyFill="1" applyBorder="1"/>
    <xf numFmtId="0" fontId="0" fillId="0" borderId="0" xfId="0" applyBorder="1"/>
    <xf numFmtId="0" fontId="5" fillId="0" borderId="0" xfId="0" applyFont="1" applyFill="1" applyBorder="1"/>
    <xf numFmtId="0" fontId="0" fillId="11" borderId="0" xfId="0" applyFill="1"/>
    <xf numFmtId="0" fontId="0" fillId="3" borderId="10" xfId="0" applyFill="1" applyBorder="1"/>
    <xf numFmtId="0" fontId="32" fillId="0" borderId="0" xfId="0" applyFont="1" applyFill="1" applyBorder="1" applyAlignment="1">
      <alignment horizontal="left" wrapText="1"/>
    </xf>
    <xf numFmtId="6" fontId="3" fillId="3" borderId="17" xfId="0" applyNumberFormat="1" applyFont="1" applyFill="1" applyBorder="1" applyAlignment="1">
      <alignment horizontal="center" vertical="center" wrapText="1"/>
    </xf>
    <xf numFmtId="0" fontId="13" fillId="3" borderId="13" xfId="0" applyFont="1" applyFill="1" applyBorder="1"/>
    <xf numFmtId="0" fontId="14" fillId="3" borderId="10" xfId="0" applyFont="1" applyFill="1" applyBorder="1" applyAlignment="1">
      <alignment vertical="center"/>
    </xf>
    <xf numFmtId="0" fontId="10" fillId="3" borderId="11" xfId="0" applyFont="1" applyFill="1" applyBorder="1" applyAlignment="1">
      <alignment vertical="center"/>
    </xf>
    <xf numFmtId="0" fontId="0" fillId="3" borderId="11" xfId="0" applyFill="1" applyBorder="1" applyAlignment="1">
      <alignment vertical="center"/>
    </xf>
    <xf numFmtId="0" fontId="0" fillId="3" borderId="12" xfId="0" applyFill="1" applyBorder="1" applyAlignment="1">
      <alignment vertical="center"/>
    </xf>
    <xf numFmtId="0" fontId="21" fillId="3" borderId="13" xfId="0" applyFont="1" applyFill="1" applyBorder="1" applyAlignment="1">
      <alignment vertical="center"/>
    </xf>
    <xf numFmtId="0" fontId="10" fillId="3" borderId="0" xfId="0" applyFont="1" applyFill="1" applyBorder="1" applyAlignment="1">
      <alignment vertical="center"/>
    </xf>
    <xf numFmtId="0" fontId="0" fillId="3" borderId="0" xfId="0" applyFill="1" applyBorder="1" applyAlignment="1">
      <alignment vertical="center"/>
    </xf>
    <xf numFmtId="0" fontId="0" fillId="3" borderId="14" xfId="0" applyFill="1" applyBorder="1" applyAlignment="1">
      <alignment vertical="center"/>
    </xf>
    <xf numFmtId="0" fontId="22" fillId="3" borderId="13" xfId="0" applyFont="1" applyFill="1" applyBorder="1" applyAlignment="1">
      <alignment vertical="center"/>
    </xf>
    <xf numFmtId="0" fontId="21" fillId="3" borderId="13" xfId="0" applyFont="1" applyFill="1" applyBorder="1" applyAlignment="1">
      <alignment horizontal="left" vertical="center"/>
    </xf>
    <xf numFmtId="0" fontId="13" fillId="3" borderId="13" xfId="0" quotePrefix="1" applyFont="1" applyFill="1" applyBorder="1" applyAlignment="1">
      <alignment vertical="center"/>
    </xf>
    <xf numFmtId="0" fontId="12" fillId="3" borderId="13" xfId="0" applyFont="1" applyFill="1" applyBorder="1" applyAlignment="1">
      <alignment vertical="center"/>
    </xf>
    <xf numFmtId="0" fontId="15" fillId="3" borderId="0" xfId="1" applyFont="1" applyFill="1" applyBorder="1" applyAlignment="1">
      <alignment vertical="center"/>
    </xf>
    <xf numFmtId="0" fontId="7" fillId="3" borderId="11" xfId="0" applyFont="1" applyFill="1" applyBorder="1"/>
    <xf numFmtId="0" fontId="7" fillId="3" borderId="12" xfId="0" applyFont="1" applyFill="1" applyBorder="1"/>
    <xf numFmtId="0" fontId="7" fillId="3" borderId="14" xfId="0" applyFont="1" applyFill="1" applyBorder="1"/>
    <xf numFmtId="0" fontId="10" fillId="0" borderId="0" xfId="0" applyFont="1" applyBorder="1"/>
    <xf numFmtId="0" fontId="10" fillId="3" borderId="0" xfId="0" applyFont="1" applyFill="1" applyBorder="1" applyAlignment="1">
      <alignment vertical="center" wrapText="1"/>
    </xf>
    <xf numFmtId="0" fontId="10" fillId="3" borderId="14" xfId="0" applyFont="1" applyFill="1" applyBorder="1" applyAlignment="1">
      <alignment vertical="center" wrapText="1"/>
    </xf>
    <xf numFmtId="0" fontId="10" fillId="3" borderId="14" xfId="0" applyFont="1" applyFill="1" applyBorder="1" applyAlignment="1">
      <alignment vertical="center"/>
    </xf>
    <xf numFmtId="0" fontId="13" fillId="3" borderId="13" xfId="0" applyFont="1" applyFill="1" applyBorder="1" applyAlignment="1">
      <alignment vertical="center"/>
    </xf>
    <xf numFmtId="166" fontId="3" fillId="3" borderId="17" xfId="0" applyNumberFormat="1" applyFont="1" applyFill="1" applyBorder="1" applyAlignment="1">
      <alignment horizontal="center" vertical="center" wrapText="1"/>
    </xf>
    <xf numFmtId="0" fontId="30" fillId="0" borderId="0" xfId="0" applyFont="1" applyFill="1" applyBorder="1" applyAlignment="1">
      <alignment horizontal="left"/>
    </xf>
    <xf numFmtId="20" fontId="30" fillId="0" borderId="0" xfId="0" applyNumberFormat="1" applyFont="1" applyFill="1" applyBorder="1" applyAlignment="1">
      <alignment horizontal="left"/>
    </xf>
    <xf numFmtId="6" fontId="30" fillId="0" borderId="0" xfId="0" applyNumberFormat="1" applyFont="1" applyFill="1" applyBorder="1" applyAlignment="1">
      <alignment horizontal="left"/>
    </xf>
    <xf numFmtId="0" fontId="31" fillId="0" borderId="0" xfId="0" applyFont="1" applyFill="1" applyBorder="1" applyAlignment="1">
      <alignment horizontal="left"/>
    </xf>
    <xf numFmtId="165" fontId="33" fillId="0" borderId="0" xfId="0" applyNumberFormat="1" applyFont="1" applyFill="1" applyBorder="1" applyAlignment="1">
      <alignment horizontal="left"/>
    </xf>
    <xf numFmtId="0" fontId="31" fillId="0" borderId="0" xfId="1" applyFont="1" applyFill="1" applyBorder="1" applyAlignment="1">
      <alignment horizontal="left"/>
    </xf>
    <xf numFmtId="0" fontId="30" fillId="0" borderId="0" xfId="0" applyFont="1" applyFill="1" applyAlignment="1">
      <alignment horizontal="left"/>
    </xf>
    <xf numFmtId="0" fontId="30" fillId="0" borderId="0" xfId="0" applyFont="1" applyAlignment="1">
      <alignment horizontal="left"/>
    </xf>
    <xf numFmtId="0" fontId="30" fillId="0" borderId="0" xfId="0" applyFont="1" applyFill="1" applyBorder="1" applyAlignment="1">
      <alignment horizontal="left" wrapText="1"/>
    </xf>
    <xf numFmtId="0" fontId="30" fillId="0" borderId="0" xfId="0" applyFont="1" applyFill="1" applyAlignment="1">
      <alignment horizontal="left" wrapText="1"/>
    </xf>
    <xf numFmtId="0" fontId="13" fillId="3" borderId="0" xfId="0" applyFont="1" applyFill="1" applyBorder="1" applyAlignment="1">
      <alignment vertical="center"/>
    </xf>
    <xf numFmtId="0" fontId="15" fillId="3" borderId="0" xfId="1" applyFont="1" applyFill="1" applyBorder="1" applyAlignment="1"/>
    <xf numFmtId="0" fontId="23" fillId="12" borderId="18" xfId="0" applyFont="1" applyFill="1" applyBorder="1" applyAlignment="1">
      <alignment horizontal="center" vertical="center" wrapText="1"/>
    </xf>
    <xf numFmtId="0" fontId="10" fillId="3" borderId="9" xfId="0" applyFont="1" applyFill="1" applyBorder="1"/>
    <xf numFmtId="0" fontId="36" fillId="0" borderId="0" xfId="0" applyFont="1" applyBorder="1" applyAlignment="1">
      <alignment horizontal="left" vertical="center" indent="5"/>
    </xf>
    <xf numFmtId="0" fontId="0" fillId="0" borderId="15" xfId="0" applyBorder="1"/>
    <xf numFmtId="0" fontId="17" fillId="3" borderId="13" xfId="0" applyFont="1" applyFill="1" applyBorder="1" applyAlignment="1">
      <alignment horizontal="left"/>
    </xf>
    <xf numFmtId="0" fontId="37" fillId="3" borderId="13" xfId="0" applyFont="1" applyFill="1" applyBorder="1"/>
    <xf numFmtId="0" fontId="38" fillId="3" borderId="10" xfId="0" applyFont="1" applyFill="1" applyBorder="1"/>
    <xf numFmtId="0" fontId="11" fillId="3" borderId="0" xfId="0" applyFont="1" applyFill="1" applyBorder="1" applyAlignment="1">
      <alignment vertical="center"/>
    </xf>
    <xf numFmtId="0" fontId="10" fillId="3" borderId="15" xfId="0" applyFont="1" applyFill="1" applyBorder="1" applyAlignment="1">
      <alignment vertical="center"/>
    </xf>
    <xf numFmtId="0" fontId="1" fillId="3" borderId="0" xfId="0" applyFont="1" applyFill="1"/>
    <xf numFmtId="0" fontId="12" fillId="3" borderId="13" xfId="0" applyFont="1" applyFill="1" applyBorder="1" applyAlignment="1">
      <alignment horizontal="left"/>
    </xf>
    <xf numFmtId="0" fontId="12" fillId="3" borderId="0" xfId="0" applyFont="1" applyFill="1" applyBorder="1" applyAlignment="1">
      <alignment horizontal="left"/>
    </xf>
    <xf numFmtId="0" fontId="0" fillId="0" borderId="14" xfId="0" applyBorder="1"/>
    <xf numFmtId="0" fontId="0" fillId="0" borderId="9" xfId="0" applyBorder="1"/>
    <xf numFmtId="0" fontId="0" fillId="0" borderId="16" xfId="0" applyBorder="1"/>
    <xf numFmtId="0" fontId="3" fillId="3" borderId="12" xfId="0" applyFont="1" applyFill="1" applyBorder="1"/>
    <xf numFmtId="0" fontId="10" fillId="3" borderId="14" xfId="0" applyFont="1" applyFill="1" applyBorder="1"/>
    <xf numFmtId="0" fontId="10" fillId="3" borderId="14" xfId="0" applyFont="1" applyFill="1" applyBorder="1" applyAlignment="1">
      <alignment horizontal="left" vertical="top" wrapText="1"/>
    </xf>
    <xf numFmtId="0" fontId="11" fillId="3" borderId="14" xfId="0" applyFont="1" applyFill="1" applyBorder="1"/>
    <xf numFmtId="0" fontId="15" fillId="3" borderId="14" xfId="1" applyFont="1" applyFill="1" applyBorder="1" applyAlignment="1"/>
    <xf numFmtId="0" fontId="10" fillId="3" borderId="13" xfId="0" applyFont="1" applyFill="1" applyBorder="1" applyAlignment="1">
      <alignment horizontal="right"/>
    </xf>
    <xf numFmtId="0" fontId="10" fillId="3" borderId="15" xfId="0" applyFont="1" applyFill="1" applyBorder="1"/>
    <xf numFmtId="0" fontId="17" fillId="3" borderId="9" xfId="0" applyFont="1" applyFill="1" applyBorder="1"/>
    <xf numFmtId="0" fontId="15" fillId="3" borderId="9" xfId="1" applyFont="1" applyFill="1" applyBorder="1" applyAlignment="1">
      <alignment horizontal="left" vertical="center" indent="5"/>
    </xf>
    <xf numFmtId="0" fontId="3" fillId="3" borderId="9" xfId="0" applyFont="1" applyFill="1" applyBorder="1" applyAlignment="1"/>
    <xf numFmtId="0" fontId="3" fillId="3" borderId="16" xfId="0" applyFont="1" applyFill="1" applyBorder="1" applyAlignment="1"/>
    <xf numFmtId="0" fontId="15" fillId="3" borderId="9" xfId="1" applyFont="1" applyFill="1" applyBorder="1" applyAlignment="1">
      <alignment vertical="center"/>
    </xf>
    <xf numFmtId="0" fontId="15" fillId="3" borderId="0" xfId="1" applyFont="1" applyFill="1" applyBorder="1" applyAlignment="1">
      <alignment horizontal="left"/>
    </xf>
    <xf numFmtId="0" fontId="15" fillId="3" borderId="14" xfId="1" applyFont="1" applyFill="1" applyBorder="1" applyAlignment="1">
      <alignment horizontal="left"/>
    </xf>
    <xf numFmtId="0" fontId="10" fillId="3" borderId="13" xfId="0" applyFont="1" applyFill="1" applyBorder="1"/>
    <xf numFmtId="0" fontId="14" fillId="3" borderId="13" xfId="0" applyFont="1" applyFill="1" applyBorder="1"/>
    <xf numFmtId="0" fontId="9" fillId="3" borderId="13" xfId="0" applyFont="1" applyFill="1" applyBorder="1" applyAlignment="1">
      <alignment horizontal="left"/>
    </xf>
    <xf numFmtId="0" fontId="15" fillId="0" borderId="0" xfId="1" applyFont="1" applyAlignment="1"/>
    <xf numFmtId="0" fontId="3" fillId="3" borderId="0" xfId="0" applyFont="1" applyFill="1" applyBorder="1" applyAlignment="1">
      <alignment horizontal="left"/>
    </xf>
    <xf numFmtId="0" fontId="3" fillId="3" borderId="13" xfId="0" applyFont="1" applyFill="1" applyBorder="1"/>
    <xf numFmtId="0" fontId="3" fillId="0" borderId="13" xfId="0" applyFont="1" applyBorder="1"/>
    <xf numFmtId="0" fontId="3" fillId="0" borderId="15" xfId="0" applyFont="1" applyBorder="1"/>
    <xf numFmtId="0" fontId="39" fillId="3" borderId="13" xfId="0" applyFont="1" applyFill="1" applyBorder="1"/>
    <xf numFmtId="0" fontId="5" fillId="3" borderId="0" xfId="0" applyFont="1" applyFill="1" applyBorder="1"/>
    <xf numFmtId="0" fontId="29" fillId="3" borderId="18" xfId="0" applyFont="1" applyFill="1" applyBorder="1" applyAlignment="1">
      <alignment horizontal="center" vertical="center" wrapText="1"/>
    </xf>
    <xf numFmtId="7" fontId="30" fillId="0" borderId="0" xfId="0" applyNumberFormat="1" applyFont="1" applyFill="1" applyBorder="1" applyAlignment="1">
      <alignment horizontal="left"/>
    </xf>
    <xf numFmtId="0" fontId="17" fillId="3" borderId="13" xfId="0" applyFont="1" applyFill="1" applyBorder="1" applyAlignment="1"/>
    <xf numFmtId="0" fontId="1" fillId="3" borderId="0" xfId="0" applyFont="1" applyFill="1" applyBorder="1" applyAlignment="1">
      <alignment vertical="center"/>
    </xf>
    <xf numFmtId="0" fontId="0" fillId="0" borderId="0" xfId="0" applyAlignment="1">
      <alignment horizontal="left" vertical="center" indent="5"/>
    </xf>
    <xf numFmtId="0" fontId="10" fillId="0" borderId="0" xfId="0" applyFont="1" applyAlignment="1">
      <alignment vertical="center"/>
    </xf>
    <xf numFmtId="0" fontId="13" fillId="0" borderId="0" xfId="0" applyFont="1" applyAlignment="1">
      <alignment vertical="center"/>
    </xf>
    <xf numFmtId="0" fontId="12" fillId="3" borderId="10" xfId="0" applyFont="1" applyFill="1" applyBorder="1" applyAlignment="1"/>
    <xf numFmtId="0" fontId="40" fillId="0" borderId="0" xfId="0" applyFont="1"/>
    <xf numFmtId="0" fontId="40" fillId="3" borderId="0" xfId="0" applyFont="1" applyFill="1" applyBorder="1"/>
    <xf numFmtId="49" fontId="30" fillId="0" borderId="0" xfId="0" applyNumberFormat="1" applyFont="1" applyAlignment="1">
      <alignment vertical="center"/>
    </xf>
    <xf numFmtId="0" fontId="30" fillId="0" borderId="0" xfId="0" applyFont="1" applyAlignment="1">
      <alignment vertical="center"/>
    </xf>
    <xf numFmtId="0" fontId="40" fillId="3" borderId="0" xfId="0" applyFont="1" applyFill="1"/>
    <xf numFmtId="0" fontId="41" fillId="0" borderId="0" xfId="1" applyFont="1" applyAlignment="1">
      <alignment vertical="center"/>
    </xf>
    <xf numFmtId="0" fontId="42" fillId="0" borderId="0" xfId="0" applyFont="1" applyAlignment="1">
      <alignment vertical="center"/>
    </xf>
    <xf numFmtId="0" fontId="43" fillId="0" borderId="0" xfId="0" applyFont="1"/>
    <xf numFmtId="0" fontId="13" fillId="3" borderId="13" xfId="0" applyFont="1" applyFill="1" applyBorder="1" applyAlignment="1">
      <alignment horizontal="left" vertical="center" wrapText="1" readingOrder="1"/>
    </xf>
    <xf numFmtId="0" fontId="13" fillId="3" borderId="0" xfId="0" applyFont="1" applyFill="1" applyBorder="1" applyAlignment="1">
      <alignment horizontal="left" vertical="center" wrapText="1" readingOrder="1"/>
    </xf>
    <xf numFmtId="0" fontId="13" fillId="3" borderId="14" xfId="0" applyFont="1" applyFill="1" applyBorder="1" applyAlignment="1">
      <alignment horizontal="left" vertical="center" wrapText="1" readingOrder="1"/>
    </xf>
    <xf numFmtId="0" fontId="4" fillId="3" borderId="0" xfId="1" applyFill="1" applyBorder="1" applyAlignment="1">
      <alignment vertical="center"/>
    </xf>
    <xf numFmtId="0" fontId="13" fillId="3" borderId="13" xfId="0" applyFont="1" applyFill="1" applyBorder="1" applyAlignment="1">
      <alignment horizontal="left" vertical="center" readingOrder="1"/>
    </xf>
    <xf numFmtId="0" fontId="5" fillId="0" borderId="0" xfId="0" applyFont="1" applyProtection="1"/>
    <xf numFmtId="0" fontId="13" fillId="3" borderId="0" xfId="0" applyFont="1" applyFill="1" applyBorder="1" applyAlignment="1">
      <alignment vertical="center" wrapText="1" readingOrder="1"/>
    </xf>
    <xf numFmtId="0" fontId="13" fillId="3" borderId="14" xfId="0" applyFont="1" applyFill="1" applyBorder="1" applyAlignment="1">
      <alignment vertical="center" wrapText="1" readingOrder="1"/>
    </xf>
    <xf numFmtId="0" fontId="4" fillId="3" borderId="0" xfId="1" applyFill="1" applyBorder="1" applyAlignment="1">
      <alignment vertical="center" wrapText="1" readingOrder="1"/>
    </xf>
    <xf numFmtId="0" fontId="44" fillId="4" borderId="3" xfId="0" applyFont="1" applyFill="1" applyBorder="1"/>
    <xf numFmtId="0" fontId="44" fillId="4" borderId="8" xfId="0" applyFont="1" applyFill="1" applyBorder="1" applyAlignment="1">
      <alignment horizontal="right"/>
    </xf>
    <xf numFmtId="0" fontId="3" fillId="0" borderId="17" xfId="0" applyFont="1" applyBorder="1" applyAlignment="1" applyProtection="1">
      <alignment horizontal="center" vertical="center" wrapText="1"/>
    </xf>
    <xf numFmtId="8" fontId="3" fillId="3" borderId="17" xfId="0" applyNumberFormat="1" applyFont="1" applyFill="1" applyBorder="1" applyAlignment="1" applyProtection="1">
      <alignment horizontal="center" vertical="center" wrapText="1"/>
    </xf>
    <xf numFmtId="3" fontId="3" fillId="0" borderId="17" xfId="0" applyNumberFormat="1" applyFont="1" applyBorder="1" applyAlignment="1" applyProtection="1">
      <alignment horizontal="center" vertical="center" wrapText="1"/>
    </xf>
    <xf numFmtId="0" fontId="3" fillId="0" borderId="17" xfId="0" applyFont="1" applyBorder="1" applyAlignment="1" applyProtection="1">
      <alignment horizontal="center" vertical="center"/>
    </xf>
    <xf numFmtId="0" fontId="24" fillId="0" borderId="17" xfId="1" applyFont="1" applyBorder="1" applyAlignment="1" applyProtection="1">
      <alignment horizontal="center" vertical="center" wrapText="1"/>
    </xf>
    <xf numFmtId="166" fontId="3" fillId="0" borderId="17" xfId="0" applyNumberFormat="1" applyFont="1" applyBorder="1" applyAlignment="1" applyProtection="1">
      <alignment horizontal="center" vertical="center" wrapText="1"/>
    </xf>
    <xf numFmtId="165" fontId="3" fillId="0" borderId="17" xfId="0" applyNumberFormat="1" applyFont="1" applyBorder="1" applyAlignment="1" applyProtection="1">
      <alignment horizontal="center" vertical="center"/>
    </xf>
    <xf numFmtId="165" fontId="3" fillId="0" borderId="17" xfId="0" applyNumberFormat="1" applyFont="1" applyFill="1" applyBorder="1" applyAlignment="1" applyProtection="1">
      <alignment horizontal="center" vertical="center" wrapText="1"/>
    </xf>
    <xf numFmtId="0" fontId="24" fillId="0" borderId="17" xfId="1" applyFont="1" applyFill="1" applyBorder="1" applyAlignment="1" applyProtection="1">
      <alignment horizontal="center" vertical="center" wrapText="1"/>
    </xf>
    <xf numFmtId="0" fontId="20" fillId="0" borderId="17" xfId="0" applyFont="1" applyBorder="1" applyAlignment="1" applyProtection="1">
      <alignment horizontal="center" vertical="center" wrapText="1"/>
    </xf>
    <xf numFmtId="6" fontId="3" fillId="0" borderId="17" xfId="0" applyNumberFormat="1" applyFont="1" applyBorder="1" applyAlignment="1" applyProtection="1">
      <alignment horizontal="center" vertical="center" wrapText="1"/>
    </xf>
    <xf numFmtId="0" fontId="27" fillId="0" borderId="17" xfId="0" applyFont="1" applyBorder="1" applyAlignment="1" applyProtection="1">
      <alignment horizontal="center" vertical="center" wrapText="1"/>
    </xf>
    <xf numFmtId="6" fontId="18" fillId="0" borderId="17" xfId="0" applyNumberFormat="1" applyFont="1" applyFill="1" applyBorder="1" applyAlignment="1" applyProtection="1">
      <alignment horizontal="center" vertical="center" wrapText="1"/>
    </xf>
    <xf numFmtId="9" fontId="3" fillId="0" borderId="17" xfId="0" applyNumberFormat="1" applyFont="1" applyBorder="1" applyAlignment="1" applyProtection="1">
      <alignment horizontal="center" vertical="center" wrapText="1"/>
    </xf>
    <xf numFmtId="0" fontId="20" fillId="0" borderId="17" xfId="0" applyFont="1" applyFill="1" applyBorder="1" applyAlignment="1" applyProtection="1">
      <alignment horizontal="center" vertical="center" wrapText="1"/>
    </xf>
    <xf numFmtId="0" fontId="18" fillId="0" borderId="17" xfId="0" applyFont="1" applyBorder="1" applyAlignment="1" applyProtection="1">
      <alignment horizontal="center" vertical="center" wrapText="1"/>
    </xf>
    <xf numFmtId="3" fontId="3" fillId="3" borderId="17" xfId="0" applyNumberFormat="1" applyFont="1" applyFill="1" applyBorder="1" applyAlignment="1" applyProtection="1">
      <alignment horizontal="center" vertical="center" wrapText="1"/>
    </xf>
    <xf numFmtId="0" fontId="18" fillId="0" borderId="17" xfId="0" applyFont="1" applyFill="1" applyBorder="1" applyAlignment="1" applyProtection="1">
      <alignment horizontal="center" vertical="center" wrapText="1"/>
    </xf>
    <xf numFmtId="0" fontId="23" fillId="0" borderId="17" xfId="0" applyFont="1" applyBorder="1" applyAlignment="1" applyProtection="1">
      <alignment horizontal="center" vertical="center" wrapText="1"/>
    </xf>
    <xf numFmtId="165" fontId="3" fillId="0" borderId="17" xfId="0" applyNumberFormat="1" applyFont="1" applyBorder="1" applyAlignment="1" applyProtection="1">
      <alignment horizontal="center" vertical="center" wrapText="1"/>
    </xf>
    <xf numFmtId="0" fontId="27" fillId="0" borderId="17" xfId="0" applyFont="1" applyFill="1" applyBorder="1" applyAlignment="1" applyProtection="1">
      <alignment horizontal="center" vertical="center" wrapText="1"/>
    </xf>
    <xf numFmtId="6" fontId="24" fillId="0" borderId="17" xfId="1" applyNumberFormat="1" applyFont="1" applyBorder="1" applyAlignment="1" applyProtection="1">
      <alignment horizontal="center" vertical="center" wrapText="1"/>
    </xf>
    <xf numFmtId="9" fontId="3" fillId="0" borderId="17" xfId="0" applyNumberFormat="1" applyFont="1" applyFill="1" applyBorder="1" applyAlignment="1" applyProtection="1">
      <alignment horizontal="center" vertical="center" wrapText="1"/>
    </xf>
    <xf numFmtId="0" fontId="18" fillId="0" borderId="17" xfId="0" applyFont="1" applyBorder="1" applyAlignment="1" applyProtection="1">
      <alignment horizontal="center" vertical="center"/>
    </xf>
    <xf numFmtId="6" fontId="18" fillId="3" borderId="17" xfId="0" applyNumberFormat="1" applyFont="1" applyFill="1" applyBorder="1" applyAlignment="1" applyProtection="1">
      <alignment horizontal="center" vertical="center" wrapText="1"/>
    </xf>
    <xf numFmtId="9" fontId="3" fillId="3" borderId="17" xfId="0" applyNumberFormat="1" applyFont="1" applyFill="1" applyBorder="1" applyAlignment="1" applyProtection="1">
      <alignment horizontal="center" vertical="center" wrapText="1"/>
    </xf>
    <xf numFmtId="20" fontId="3" fillId="3" borderId="17" xfId="0" applyNumberFormat="1" applyFont="1" applyFill="1" applyBorder="1" applyAlignment="1" applyProtection="1">
      <alignment horizontal="center" vertical="center" wrapText="1"/>
    </xf>
    <xf numFmtId="0" fontId="20" fillId="3" borderId="17" xfId="0" applyFont="1" applyFill="1" applyBorder="1" applyAlignment="1" applyProtection="1">
      <alignment horizontal="center" vertical="center" wrapText="1"/>
    </xf>
    <xf numFmtId="165" fontId="3" fillId="3" borderId="17" xfId="0" applyNumberFormat="1" applyFont="1" applyFill="1" applyBorder="1" applyAlignment="1" applyProtection="1">
      <alignment horizontal="center" vertical="center"/>
    </xf>
    <xf numFmtId="0" fontId="3" fillId="0" borderId="17" xfId="0" applyNumberFormat="1" applyFont="1" applyBorder="1" applyAlignment="1" applyProtection="1">
      <alignment horizontal="center" vertical="center" wrapText="1"/>
    </xf>
    <xf numFmtId="164" fontId="3" fillId="3" borderId="17" xfId="0" applyNumberFormat="1" applyFont="1" applyFill="1" applyBorder="1" applyAlignment="1" applyProtection="1">
      <alignment horizontal="center" vertical="center" wrapText="1"/>
    </xf>
    <xf numFmtId="9" fontId="3" fillId="0" borderId="17" xfId="0" applyNumberFormat="1" applyFont="1" applyFill="1" applyBorder="1" applyAlignment="1" applyProtection="1">
      <alignment horizontal="center" vertical="center"/>
    </xf>
    <xf numFmtId="0" fontId="20" fillId="3" borderId="17" xfId="0" applyFont="1" applyFill="1" applyBorder="1" applyAlignment="1">
      <alignment horizontal="center" vertical="center" wrapText="1"/>
    </xf>
    <xf numFmtId="0" fontId="3" fillId="0" borderId="17" xfId="0" applyFont="1" applyFill="1" applyBorder="1" applyAlignment="1">
      <alignment horizontal="center" vertical="center" wrapText="1"/>
    </xf>
    <xf numFmtId="1" fontId="3" fillId="3" borderId="17" xfId="0" applyNumberFormat="1" applyFont="1" applyFill="1" applyBorder="1" applyAlignment="1">
      <alignment horizontal="center" vertical="center" wrapText="1"/>
    </xf>
    <xf numFmtId="20" fontId="3" fillId="3" borderId="17" xfId="0" quotePrefix="1" applyNumberFormat="1" applyFont="1" applyFill="1" applyBorder="1" applyAlignment="1" applyProtection="1">
      <alignment horizontal="center" vertical="center" wrapText="1"/>
    </xf>
    <xf numFmtId="0" fontId="3" fillId="0" borderId="17" xfId="0" applyFont="1" applyBorder="1" applyAlignment="1">
      <alignment horizontal="center" vertical="center" wrapText="1"/>
    </xf>
    <xf numFmtId="0" fontId="3" fillId="0" borderId="17" xfId="0" applyFont="1" applyBorder="1" applyAlignment="1">
      <alignment horizontal="center" vertical="center"/>
    </xf>
    <xf numFmtId="3" fontId="18" fillId="3" borderId="17" xfId="0" applyNumberFormat="1" applyFont="1" applyFill="1" applyBorder="1" applyAlignment="1" applyProtection="1">
      <alignment horizontal="center" vertical="center" wrapText="1"/>
    </xf>
    <xf numFmtId="3" fontId="18" fillId="0" borderId="17" xfId="0" applyNumberFormat="1" applyFont="1" applyFill="1" applyBorder="1" applyAlignment="1" applyProtection="1">
      <alignment horizontal="center" vertical="center" wrapText="1"/>
    </xf>
    <xf numFmtId="165" fontId="20" fillId="0" borderId="17" xfId="0" applyNumberFormat="1" applyFont="1" applyBorder="1" applyAlignment="1" applyProtection="1">
      <alignment horizontal="center" vertical="center" wrapText="1"/>
    </xf>
    <xf numFmtId="9" fontId="20" fillId="0" borderId="17" xfId="0" applyNumberFormat="1" applyFont="1" applyBorder="1" applyAlignment="1" applyProtection="1">
      <alignment horizontal="center" vertical="center" wrapText="1"/>
    </xf>
    <xf numFmtId="166" fontId="18" fillId="0" borderId="17" xfId="0" applyNumberFormat="1" applyFont="1" applyFill="1" applyBorder="1" applyAlignment="1" applyProtection="1">
      <alignment horizontal="center" vertical="center" wrapText="1"/>
    </xf>
    <xf numFmtId="0" fontId="18" fillId="0" borderId="17" xfId="0" applyFont="1" applyFill="1" applyBorder="1" applyAlignment="1" applyProtection="1">
      <alignment horizontal="center" vertical="center"/>
    </xf>
    <xf numFmtId="8" fontId="18" fillId="3" borderId="17" xfId="0" applyNumberFormat="1" applyFont="1" applyFill="1" applyBorder="1" applyAlignment="1" applyProtection="1">
      <alignment horizontal="center" vertical="center" wrapText="1"/>
    </xf>
    <xf numFmtId="3" fontId="18" fillId="0" borderId="17" xfId="0" applyNumberFormat="1" applyFont="1" applyBorder="1" applyAlignment="1" applyProtection="1">
      <alignment horizontal="center" vertical="center" wrapText="1"/>
    </xf>
    <xf numFmtId="166" fontId="3" fillId="3" borderId="17" xfId="0" applyNumberFormat="1" applyFont="1" applyFill="1" applyBorder="1" applyAlignment="1" applyProtection="1">
      <alignment horizontal="center" vertical="center" wrapText="1"/>
    </xf>
    <xf numFmtId="0" fontId="27" fillId="3" borderId="17" xfId="0" applyFont="1" applyFill="1" applyBorder="1" applyAlignment="1" applyProtection="1">
      <alignment horizontal="center" vertical="center" wrapText="1"/>
    </xf>
    <xf numFmtId="0" fontId="3" fillId="0" borderId="17" xfId="0" quotePrefix="1" applyFont="1" applyFill="1" applyBorder="1" applyAlignment="1" applyProtection="1">
      <alignment horizontal="center" vertical="center" wrapText="1"/>
    </xf>
    <xf numFmtId="0" fontId="3" fillId="0" borderId="17" xfId="0" quotePrefix="1" applyFont="1" applyBorder="1" applyAlignment="1" applyProtection="1">
      <alignment horizontal="center" vertical="center" wrapText="1"/>
    </xf>
    <xf numFmtId="6" fontId="3" fillId="3" borderId="17" xfId="0" applyNumberFormat="1" applyFont="1" applyFill="1" applyBorder="1" applyAlignment="1" applyProtection="1">
      <alignment horizontal="center" vertical="center" wrapText="1"/>
    </xf>
    <xf numFmtId="0" fontId="29" fillId="3" borderId="17" xfId="0" applyFont="1" applyFill="1" applyBorder="1" applyAlignment="1">
      <alignment horizontal="center" vertical="center" wrapText="1"/>
    </xf>
    <xf numFmtId="0" fontId="18" fillId="0" borderId="17" xfId="0" applyFont="1" applyBorder="1" applyAlignment="1">
      <alignment horizontal="center" vertical="center" wrapText="1"/>
    </xf>
    <xf numFmtId="166" fontId="18" fillId="3" borderId="17" xfId="0" applyNumberFormat="1" applyFont="1" applyFill="1" applyBorder="1" applyAlignment="1">
      <alignment horizontal="center" vertical="center" wrapText="1"/>
    </xf>
    <xf numFmtId="165" fontId="18" fillId="0" borderId="17" xfId="0" applyNumberFormat="1" applyFont="1" applyBorder="1" applyAlignment="1" applyProtection="1">
      <alignment horizontal="center" vertical="center" wrapText="1"/>
    </xf>
    <xf numFmtId="6" fontId="18" fillId="0" borderId="17" xfId="0" applyNumberFormat="1" applyFont="1" applyBorder="1" applyAlignment="1" applyProtection="1">
      <alignment horizontal="center" vertical="center" wrapText="1"/>
    </xf>
    <xf numFmtId="0" fontId="18" fillId="0" borderId="17" xfId="1" applyFont="1" applyBorder="1" applyAlignment="1" applyProtection="1">
      <alignment horizontal="center" vertical="center" wrapText="1"/>
    </xf>
    <xf numFmtId="9" fontId="3" fillId="0" borderId="17" xfId="0" applyNumberFormat="1" applyFont="1" applyBorder="1" applyAlignment="1" applyProtection="1">
      <alignment horizontal="center" vertical="center"/>
    </xf>
    <xf numFmtId="9" fontId="3" fillId="3" borderId="17" xfId="0" applyNumberFormat="1" applyFont="1" applyFill="1" applyBorder="1" applyAlignment="1" applyProtection="1">
      <alignment horizontal="center" vertical="center"/>
    </xf>
    <xf numFmtId="0" fontId="3" fillId="3" borderId="17" xfId="0" quotePrefix="1" applyFont="1" applyFill="1" applyBorder="1" applyAlignment="1" applyProtection="1">
      <alignment horizontal="center" vertical="center" wrapText="1"/>
    </xf>
    <xf numFmtId="0" fontId="19" fillId="0" borderId="17" xfId="0" applyFont="1" applyBorder="1" applyAlignment="1" applyProtection="1">
      <alignment horizontal="center" vertical="center" wrapText="1"/>
    </xf>
    <xf numFmtId="0" fontId="24" fillId="0" borderId="17" xfId="1" applyFont="1" applyBorder="1" applyAlignment="1">
      <alignment horizontal="center" vertical="center" wrapText="1"/>
    </xf>
    <xf numFmtId="8" fontId="3" fillId="0" borderId="17" xfId="0" quotePrefix="1" applyNumberFormat="1" applyFont="1" applyFill="1" applyBorder="1" applyAlignment="1" applyProtection="1">
      <alignment horizontal="center" vertical="center" wrapText="1"/>
    </xf>
    <xf numFmtId="8" fontId="3" fillId="3" borderId="17" xfId="0" quotePrefix="1" applyNumberFormat="1" applyFont="1" applyFill="1" applyBorder="1" applyAlignment="1" applyProtection="1">
      <alignment horizontal="center" vertical="center" wrapText="1"/>
    </xf>
    <xf numFmtId="165" fontId="47" fillId="0" borderId="17" xfId="0" applyNumberFormat="1" applyFont="1" applyBorder="1" applyAlignment="1" applyProtection="1">
      <alignment horizontal="center" vertical="center" wrapText="1"/>
    </xf>
    <xf numFmtId="165" fontId="3" fillId="0" borderId="17" xfId="18" applyNumberFormat="1" applyFont="1" applyBorder="1" applyAlignment="1" applyProtection="1">
      <alignment horizontal="center" vertical="center" wrapText="1"/>
    </xf>
    <xf numFmtId="0" fontId="3" fillId="9" borderId="17" xfId="0" applyFont="1" applyFill="1" applyBorder="1" applyAlignment="1">
      <alignment horizontal="center" vertical="center" wrapText="1"/>
    </xf>
    <xf numFmtId="0" fontId="23" fillId="3" borderId="17" xfId="0" applyFont="1" applyFill="1" applyBorder="1" applyAlignment="1">
      <alignment horizontal="center" vertical="center" wrapText="1"/>
    </xf>
    <xf numFmtId="0" fontId="18" fillId="3" borderId="17" xfId="0" applyFont="1" applyFill="1" applyBorder="1" applyAlignment="1">
      <alignment horizontal="center" vertical="center" wrapText="1"/>
    </xf>
    <xf numFmtId="0" fontId="3" fillId="2" borderId="17" xfId="0" applyFont="1" applyFill="1" applyBorder="1" applyAlignment="1" applyProtection="1">
      <alignment horizontal="center" vertical="center" wrapText="1"/>
      <protection locked="0"/>
    </xf>
    <xf numFmtId="0" fontId="3" fillId="3" borderId="17" xfId="0" applyFont="1" applyFill="1" applyBorder="1" applyAlignment="1" applyProtection="1">
      <alignment horizontal="center" vertical="center" wrapText="1"/>
    </xf>
    <xf numFmtId="0" fontId="3" fillId="0" borderId="17" xfId="0" applyFont="1" applyFill="1" applyBorder="1" applyAlignment="1" applyProtection="1">
      <alignment horizontal="center" vertical="center" wrapText="1"/>
    </xf>
    <xf numFmtId="0" fontId="18" fillId="3" borderId="17" xfId="0" applyFont="1" applyFill="1" applyBorder="1" applyAlignment="1" applyProtection="1">
      <alignment horizontal="center" vertical="center" wrapText="1"/>
    </xf>
    <xf numFmtId="3" fontId="3" fillId="0" borderId="17" xfId="0" applyNumberFormat="1" applyFont="1" applyFill="1" applyBorder="1" applyAlignment="1" applyProtection="1">
      <alignment horizontal="center" vertical="center" wrapText="1"/>
    </xf>
    <xf numFmtId="0" fontId="3" fillId="0" borderId="17" xfId="0" applyFont="1" applyFill="1" applyBorder="1" applyAlignment="1" applyProtection="1">
      <alignment horizontal="center" vertical="center"/>
    </xf>
    <xf numFmtId="165" fontId="3" fillId="0" borderId="17" xfId="0" applyNumberFormat="1" applyFont="1" applyFill="1" applyBorder="1" applyAlignment="1" applyProtection="1">
      <alignment horizontal="center" vertical="center"/>
    </xf>
    <xf numFmtId="1" fontId="3" fillId="0" borderId="17" xfId="0" applyNumberFormat="1" applyFont="1" applyFill="1" applyBorder="1" applyAlignment="1" applyProtection="1">
      <alignment horizontal="center" vertical="center" wrapText="1"/>
    </xf>
    <xf numFmtId="0" fontId="48" fillId="0" borderId="17" xfId="1" applyFont="1" applyBorder="1" applyAlignment="1" applyProtection="1">
      <alignment horizontal="center" vertical="center" wrapText="1"/>
    </xf>
    <xf numFmtId="0" fontId="18" fillId="0" borderId="17" xfId="19" applyFont="1" applyFill="1" applyBorder="1" applyAlignment="1" applyProtection="1">
      <alignment horizontal="center" vertical="center" wrapText="1"/>
    </xf>
    <xf numFmtId="165" fontId="18" fillId="0" borderId="17" xfId="20" applyNumberFormat="1" applyFont="1" applyFill="1" applyBorder="1" applyAlignment="1" applyProtection="1">
      <alignment horizontal="center" vertical="center"/>
    </xf>
    <xf numFmtId="0" fontId="18" fillId="0" borderId="17" xfId="1" applyFont="1" applyBorder="1" applyAlignment="1">
      <alignment horizontal="center" vertical="center" wrapText="1"/>
    </xf>
    <xf numFmtId="0" fontId="23" fillId="0" borderId="17" xfId="0" applyFont="1" applyFill="1" applyBorder="1" applyAlignment="1">
      <alignment horizontal="center" vertical="center" wrapText="1"/>
    </xf>
    <xf numFmtId="0" fontId="23" fillId="0" borderId="17" xfId="0" applyFont="1" applyFill="1" applyBorder="1" applyAlignment="1" applyProtection="1">
      <alignment horizontal="center" vertical="center" wrapText="1"/>
    </xf>
    <xf numFmtId="165" fontId="18" fillId="0" borderId="17" xfId="18" applyNumberFormat="1" applyFont="1" applyFill="1" applyBorder="1" applyAlignment="1" applyProtection="1">
      <alignment horizontal="center" vertical="center" wrapText="1"/>
    </xf>
    <xf numFmtId="0" fontId="48" fillId="0" borderId="24" xfId="1" applyFont="1" applyBorder="1" applyAlignment="1" applyProtection="1">
      <alignment horizontal="center" vertical="center" wrapText="1"/>
    </xf>
    <xf numFmtId="49" fontId="3" fillId="0" borderId="17" xfId="0" applyNumberFormat="1" applyFont="1" applyFill="1" applyBorder="1" applyAlignment="1" applyProtection="1">
      <alignment horizontal="center" vertical="center"/>
    </xf>
    <xf numFmtId="49" fontId="3" fillId="0" borderId="17" xfId="0" applyNumberFormat="1" applyFont="1" applyBorder="1" applyAlignment="1" applyProtection="1">
      <alignment horizontal="center" vertical="center"/>
    </xf>
    <xf numFmtId="0" fontId="24" fillId="3" borderId="17" xfId="1" applyFont="1" applyFill="1" applyBorder="1" applyAlignment="1">
      <alignment horizontal="center" vertical="center" wrapText="1"/>
    </xf>
    <xf numFmtId="0" fontId="24" fillId="0" borderId="17" xfId="1" applyFont="1" applyFill="1" applyBorder="1" applyAlignment="1">
      <alignment horizontal="center" vertical="center" wrapText="1"/>
    </xf>
    <xf numFmtId="6" fontId="3" fillId="0" borderId="17" xfId="0" applyNumberFormat="1" applyFont="1" applyBorder="1" applyAlignment="1">
      <alignment horizontal="center" vertical="center"/>
    </xf>
    <xf numFmtId="166" fontId="3" fillId="0" borderId="17" xfId="0" applyNumberFormat="1" applyFont="1" applyBorder="1" applyAlignment="1">
      <alignment horizontal="center" vertical="center"/>
    </xf>
    <xf numFmtId="167" fontId="3" fillId="0" borderId="17" xfId="0" applyNumberFormat="1" applyFont="1" applyBorder="1" applyAlignment="1">
      <alignment horizontal="center" vertical="center"/>
    </xf>
    <xf numFmtId="0" fontId="24" fillId="3" borderId="17" xfId="1" applyFont="1" applyFill="1" applyBorder="1" applyAlignment="1" applyProtection="1">
      <alignment horizontal="center" vertical="center" wrapText="1"/>
    </xf>
    <xf numFmtId="0" fontId="26" fillId="0" borderId="17" xfId="1" applyFont="1" applyBorder="1" applyAlignment="1" applyProtection="1">
      <alignment horizontal="center" vertical="center" wrapText="1"/>
    </xf>
    <xf numFmtId="8" fontId="3" fillId="0" borderId="17" xfId="0" applyNumberFormat="1" applyFont="1" applyBorder="1" applyAlignment="1">
      <alignment horizontal="center" vertical="center"/>
    </xf>
    <xf numFmtId="165" fontId="3" fillId="0" borderId="17" xfId="0" applyNumberFormat="1" applyFont="1" applyBorder="1" applyAlignment="1">
      <alignment horizontal="center" vertical="center"/>
    </xf>
    <xf numFmtId="0" fontId="24" fillId="0" borderId="17" xfId="1" applyFont="1" applyBorder="1" applyAlignment="1">
      <alignment horizontal="center" vertical="center"/>
    </xf>
    <xf numFmtId="8" fontId="3" fillId="0" borderId="17" xfId="0" applyNumberFormat="1" applyFont="1" applyBorder="1" applyAlignment="1">
      <alignment horizontal="center" vertical="center" wrapText="1"/>
    </xf>
    <xf numFmtId="165" fontId="3" fillId="0" borderId="17" xfId="0" applyNumberFormat="1" applyFont="1" applyBorder="1" applyAlignment="1">
      <alignment horizontal="center" vertical="center" wrapText="1"/>
    </xf>
    <xf numFmtId="49" fontId="3" fillId="0" borderId="17" xfId="0" applyNumberFormat="1" applyFont="1" applyBorder="1" applyAlignment="1">
      <alignment horizontal="center" vertical="center" wrapText="1"/>
    </xf>
    <xf numFmtId="0" fontId="18" fillId="0" borderId="17" xfId="2" applyFont="1" applyFill="1" applyBorder="1" applyAlignment="1">
      <alignment horizontal="center" vertical="center" wrapText="1"/>
    </xf>
    <xf numFmtId="0" fontId="3" fillId="0" borderId="17" xfId="0" applyFont="1" applyFill="1" applyBorder="1" applyAlignment="1">
      <alignment horizontal="center" vertical="center"/>
    </xf>
    <xf numFmtId="1" fontId="3" fillId="0" borderId="17" xfId="0" applyNumberFormat="1" applyFont="1" applyBorder="1" applyAlignment="1">
      <alignment horizontal="center" vertical="center" wrapText="1"/>
    </xf>
    <xf numFmtId="166" fontId="3" fillId="0" borderId="17" xfId="0" applyNumberFormat="1" applyFont="1" applyFill="1" applyBorder="1" applyAlignment="1">
      <alignment horizontal="center" vertical="center"/>
    </xf>
    <xf numFmtId="0" fontId="23" fillId="3" borderId="18" xfId="0" applyFont="1" applyFill="1" applyBorder="1" applyAlignment="1">
      <alignment horizontal="center" vertical="center" textRotation="255" wrapText="1"/>
    </xf>
    <xf numFmtId="0" fontId="4" fillId="0" borderId="17" xfId="1" applyBorder="1" applyAlignment="1" applyProtection="1">
      <alignment horizontal="center" vertical="center" wrapText="1"/>
    </xf>
    <xf numFmtId="0" fontId="3" fillId="0" borderId="25" xfId="0" applyFont="1" applyFill="1" applyBorder="1" applyAlignment="1" applyProtection="1">
      <alignment horizontal="center" vertical="center" wrapText="1"/>
    </xf>
    <xf numFmtId="0" fontId="3" fillId="0" borderId="0" xfId="0" applyFont="1" applyAlignment="1">
      <alignment horizontal="center" vertical="center" wrapText="1"/>
    </xf>
    <xf numFmtId="0" fontId="3" fillId="0" borderId="17" xfId="0" applyFont="1" applyBorder="1"/>
    <xf numFmtId="14" fontId="0" fillId="0" borderId="0" xfId="0" applyNumberFormat="1" applyAlignment="1">
      <alignment horizontal="right"/>
    </xf>
    <xf numFmtId="0" fontId="30" fillId="10" borderId="10" xfId="0" applyFont="1" applyFill="1" applyBorder="1" applyAlignment="1">
      <alignment horizontal="left" vertical="top" wrapText="1"/>
    </xf>
    <xf numFmtId="0" fontId="30" fillId="10" borderId="11" xfId="0" applyFont="1" applyFill="1" applyBorder="1" applyAlignment="1">
      <alignment horizontal="left" vertical="top" wrapText="1"/>
    </xf>
    <xf numFmtId="0" fontId="30" fillId="10" borderId="12" xfId="0" applyFont="1" applyFill="1" applyBorder="1" applyAlignment="1">
      <alignment horizontal="left" vertical="top" wrapText="1"/>
    </xf>
    <xf numFmtId="0" fontId="30" fillId="10" borderId="13" xfId="0" applyFont="1" applyFill="1" applyBorder="1" applyAlignment="1">
      <alignment horizontal="left" vertical="top" wrapText="1"/>
    </xf>
    <xf numFmtId="0" fontId="30" fillId="10" borderId="0" xfId="0" applyFont="1" applyFill="1" applyBorder="1" applyAlignment="1">
      <alignment horizontal="left" vertical="top" wrapText="1"/>
    </xf>
    <xf numFmtId="0" fontId="30" fillId="10" borderId="14" xfId="0" applyFont="1" applyFill="1" applyBorder="1" applyAlignment="1">
      <alignment horizontal="left" vertical="top" wrapText="1"/>
    </xf>
    <xf numFmtId="0" fontId="30" fillId="10" borderId="15" xfId="0" applyFont="1" applyFill="1" applyBorder="1" applyAlignment="1">
      <alignment horizontal="left" vertical="top" wrapText="1"/>
    </xf>
    <xf numFmtId="0" fontId="30" fillId="10" borderId="9" xfId="0" applyFont="1" applyFill="1" applyBorder="1" applyAlignment="1">
      <alignment horizontal="left" vertical="top" wrapText="1"/>
    </xf>
    <xf numFmtId="0" fontId="30" fillId="10" borderId="16" xfId="0" applyFont="1" applyFill="1" applyBorder="1" applyAlignment="1">
      <alignment horizontal="left" vertical="top" wrapText="1"/>
    </xf>
    <xf numFmtId="0" fontId="10" fillId="3" borderId="13" xfId="0" applyFont="1" applyFill="1" applyBorder="1" applyAlignment="1">
      <alignment horizontal="left" vertical="center"/>
    </xf>
    <xf numFmtId="0" fontId="10" fillId="3" borderId="0" xfId="0" applyFont="1" applyFill="1" applyBorder="1" applyAlignment="1">
      <alignment horizontal="left" vertical="center"/>
    </xf>
    <xf numFmtId="0" fontId="22" fillId="3" borderId="13" xfId="0" applyFont="1" applyFill="1" applyBorder="1" applyAlignment="1">
      <alignment horizontal="left"/>
    </xf>
    <xf numFmtId="0" fontId="22" fillId="3" borderId="0" xfId="0" applyFont="1" applyFill="1" applyBorder="1" applyAlignment="1">
      <alignment horizontal="left"/>
    </xf>
    <xf numFmtId="0" fontId="22" fillId="3" borderId="14" xfId="0" applyFont="1" applyFill="1" applyBorder="1" applyAlignment="1">
      <alignment horizontal="left"/>
    </xf>
    <xf numFmtId="0" fontId="13" fillId="3" borderId="13" xfId="0" applyFont="1" applyFill="1" applyBorder="1" applyAlignment="1">
      <alignment horizontal="left"/>
    </xf>
    <xf numFmtId="0" fontId="13" fillId="3" borderId="0" xfId="0" applyFont="1" applyFill="1" applyBorder="1" applyAlignment="1">
      <alignment horizontal="left"/>
    </xf>
    <xf numFmtId="0" fontId="13" fillId="3" borderId="14" xfId="0" applyFont="1" applyFill="1" applyBorder="1" applyAlignment="1">
      <alignment horizontal="left"/>
    </xf>
    <xf numFmtId="0" fontId="13" fillId="3" borderId="13" xfId="0" applyFont="1" applyFill="1" applyBorder="1" applyAlignment="1">
      <alignment horizontal="left" vertical="center" readingOrder="1"/>
    </xf>
    <xf numFmtId="0" fontId="13" fillId="3" borderId="0" xfId="0" applyFont="1" applyFill="1" applyBorder="1" applyAlignment="1">
      <alignment horizontal="left" vertical="center" readingOrder="1"/>
    </xf>
    <xf numFmtId="0" fontId="13" fillId="3" borderId="14" xfId="0" applyFont="1" applyFill="1" applyBorder="1" applyAlignment="1">
      <alignment horizontal="left" vertical="center" readingOrder="1"/>
    </xf>
    <xf numFmtId="0" fontId="13" fillId="3" borderId="13"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14" xfId="0" applyFont="1" applyFill="1" applyBorder="1" applyAlignment="1">
      <alignment horizontal="left" vertical="center" wrapText="1"/>
    </xf>
    <xf numFmtId="0" fontId="13" fillId="3" borderId="13" xfId="0" quotePrefix="1" applyFont="1" applyFill="1" applyBorder="1" applyAlignment="1">
      <alignment horizontal="left" vertical="center" wrapText="1"/>
    </xf>
    <xf numFmtId="0" fontId="13" fillId="3" borderId="0" xfId="0" quotePrefix="1" applyFont="1" applyFill="1" applyBorder="1" applyAlignment="1">
      <alignment horizontal="left" vertical="center" wrapText="1"/>
    </xf>
    <xf numFmtId="0" fontId="13" fillId="3" borderId="14" xfId="0" quotePrefix="1" applyFont="1" applyFill="1" applyBorder="1" applyAlignment="1">
      <alignment horizontal="left" vertical="center" wrapText="1"/>
    </xf>
    <xf numFmtId="0" fontId="13" fillId="3" borderId="13" xfId="0" quotePrefix="1" applyFont="1" applyFill="1" applyBorder="1" applyAlignment="1">
      <alignment horizontal="center" vertical="center"/>
    </xf>
    <xf numFmtId="0" fontId="13" fillId="3" borderId="0" xfId="0" quotePrefix="1" applyFont="1" applyFill="1" applyBorder="1" applyAlignment="1">
      <alignment horizontal="center" vertical="center"/>
    </xf>
    <xf numFmtId="0" fontId="15" fillId="3" borderId="0" xfId="1" applyFont="1" applyFill="1" applyBorder="1" applyAlignment="1">
      <alignment horizontal="left"/>
    </xf>
    <xf numFmtId="0" fontId="15" fillId="3" borderId="14" xfId="1" applyFont="1" applyFill="1" applyBorder="1" applyAlignment="1">
      <alignment horizontal="left"/>
    </xf>
    <xf numFmtId="0" fontId="15" fillId="0" borderId="0" xfId="1" applyFont="1" applyAlignment="1">
      <alignment horizontal="left"/>
    </xf>
  </cellXfs>
  <cellStyles count="22">
    <cellStyle name="Bad" xfId="19" builtinId="27"/>
    <cellStyle name="Comma 2" xfId="11" xr:uid="{00000000-0005-0000-0000-000001000000}"/>
    <cellStyle name="Comma 2 2" xfId="13" xr:uid="{00000000-0005-0000-0000-000002000000}"/>
    <cellStyle name="Comma 3" xfId="9" xr:uid="{00000000-0005-0000-0000-000003000000}"/>
    <cellStyle name="Currency 2" xfId="4" xr:uid="{00000000-0005-0000-0000-000004000000}"/>
    <cellStyle name="Hyperlink" xfId="1" builtinId="8"/>
    <cellStyle name="Hyperlink 2" xfId="8" xr:uid="{00000000-0005-0000-0000-000006000000}"/>
    <cellStyle name="Main title" xfId="7" xr:uid="{00000000-0005-0000-0000-000007000000}"/>
    <cellStyle name="Neutral" xfId="20" builtinId="28"/>
    <cellStyle name="Neutral 2" xfId="21" xr:uid="{00000000-0005-0000-0000-000009000000}"/>
    <cellStyle name="Normal" xfId="0" builtinId="0"/>
    <cellStyle name="Normal 2" xfId="10" xr:uid="{00000000-0005-0000-0000-00000B000000}"/>
    <cellStyle name="Normal 3" xfId="2" xr:uid="{00000000-0005-0000-0000-00000C000000}"/>
    <cellStyle name="Normal 3 2" xfId="15" xr:uid="{00000000-0005-0000-0000-00000D000000}"/>
    <cellStyle name="Normal 3 2 2" xfId="16" xr:uid="{00000000-0005-0000-0000-00000E000000}"/>
    <cellStyle name="Normal 3 3" xfId="14" xr:uid="{00000000-0005-0000-0000-00000F000000}"/>
    <cellStyle name="Note 2" xfId="3" xr:uid="{00000000-0005-0000-0000-000010000000}"/>
    <cellStyle name="Percent" xfId="18" builtinId="5"/>
    <cellStyle name="Percent 2" xfId="12" xr:uid="{00000000-0005-0000-0000-000012000000}"/>
    <cellStyle name="Percent 2 2" xfId="17" xr:uid="{00000000-0005-0000-0000-000013000000}"/>
    <cellStyle name="Percent 3" xfId="6" xr:uid="{00000000-0005-0000-0000-000014000000}"/>
    <cellStyle name="Table Header" xfId="5" xr:uid="{00000000-0005-0000-0000-000015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AD7CB"/>
      <color rgb="FFA4AEB5"/>
      <color rgb="FFDDD9C3"/>
      <color rgb="FFFAE2B5"/>
      <color rgb="FF00B092"/>
      <color rgb="FFA0C4DA"/>
      <color rgb="FFEFEEE4"/>
      <color rgb="FF822433"/>
      <color rgb="FF8224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hyperlink" Target="#Sources!A1"/><Relationship Id="rId3" Type="http://schemas.openxmlformats.org/officeDocument/2006/relationships/hyperlink" Target="#Introduction!A1"/><Relationship Id="rId7" Type="http://schemas.openxmlformats.org/officeDocument/2006/relationships/hyperlink" Target="#Glossary!A1"/><Relationship Id="rId2" Type="http://schemas.openxmlformats.org/officeDocument/2006/relationships/hyperlink" Target="#'User Guide'!A1"/><Relationship Id="rId1" Type="http://schemas.openxmlformats.org/officeDocument/2006/relationships/image" Target="../media/image1.png"/><Relationship Id="rId6" Type="http://schemas.openxmlformats.org/officeDocument/2006/relationships/hyperlink" Target="mailto:healtheconomics@phe.gov.uk?subject=Health%20Economics%20Evidence%20Resource" TargetMode="External"/><Relationship Id="rId5" Type="http://schemas.openxmlformats.org/officeDocument/2006/relationships/hyperlink" Target="#'Further Information'!A1"/><Relationship Id="rId4" Type="http://schemas.openxmlformats.org/officeDocument/2006/relationships/hyperlink" Target="#Evidence!A1"/><Relationship Id="rId9" Type="http://schemas.openxmlformats.org/officeDocument/2006/relationships/hyperlink" Target="https://surveys.phe.org.uk/TakeSurvey.aspx?PageNumber=1&amp;SurveyID=8842mm51&amp;Preview=true" TargetMode="External"/></Relationships>
</file>

<file path=xl/drawings/_rels/drawing2.xml.rels><?xml version="1.0" encoding="UTF-8" standalone="yes"?>
<Relationships xmlns="http://schemas.openxmlformats.org/package/2006/relationships"><Relationship Id="rId8" Type="http://schemas.openxmlformats.org/officeDocument/2006/relationships/hyperlink" Target="#Glossary!A1"/><Relationship Id="rId3" Type="http://schemas.openxmlformats.org/officeDocument/2006/relationships/hyperlink" Target="#'User Guide'!A1"/><Relationship Id="rId7" Type="http://schemas.openxmlformats.org/officeDocument/2006/relationships/hyperlink" Target="mailto:healtheconomics@phe.gov.uk?subject=Health%20Economics%20Evidence%20Resource" TargetMode="External"/><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hyperlink" Target="#'Further Information'!A1"/><Relationship Id="rId5" Type="http://schemas.openxmlformats.org/officeDocument/2006/relationships/hyperlink" Target="#Evidence!A1"/><Relationship Id="rId10" Type="http://schemas.openxmlformats.org/officeDocument/2006/relationships/hyperlink" Target="https://surveys.phe.org.uk/TakeSurvey.aspx?PageNumber=1&amp;SurveyID=8842mm51&amp;Preview=true" TargetMode="External"/><Relationship Id="rId4" Type="http://schemas.openxmlformats.org/officeDocument/2006/relationships/hyperlink" Target="#Introduction!A1"/><Relationship Id="rId9" Type="http://schemas.openxmlformats.org/officeDocument/2006/relationships/hyperlink" Target="#Sources!A1"/></Relationships>
</file>

<file path=xl/drawings/_rels/drawing3.xml.rels><?xml version="1.0" encoding="UTF-8" standalone="yes"?>
<Relationships xmlns="http://schemas.openxmlformats.org/package/2006/relationships"><Relationship Id="rId2" Type="http://schemas.openxmlformats.org/officeDocument/2006/relationships/hyperlink" Target="#Glossary!A1"/><Relationship Id="rId1" Type="http://schemas.openxmlformats.org/officeDocument/2006/relationships/hyperlink" Target="#'User Guide'!A1"/></Relationships>
</file>

<file path=xl/drawings/_rels/drawing4.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hyperlink" Target="https://surveys.phe.org.uk/TakeSurvey.aspx?PageNumber=1&amp;SurveyID=8842mm51&amp;Preview=true" TargetMode="External"/><Relationship Id="rId3" Type="http://schemas.openxmlformats.org/officeDocument/2006/relationships/hyperlink" Target="#Evidence!A1"/><Relationship Id="rId7" Type="http://schemas.openxmlformats.org/officeDocument/2006/relationships/hyperlink" Target="#Sources!A1"/><Relationship Id="rId2" Type="http://schemas.openxmlformats.org/officeDocument/2006/relationships/hyperlink" Target="#Introduction!A1"/><Relationship Id="rId1" Type="http://schemas.openxmlformats.org/officeDocument/2006/relationships/hyperlink" Target="#'User Guide'!A1"/><Relationship Id="rId6" Type="http://schemas.openxmlformats.org/officeDocument/2006/relationships/hyperlink" Target="#Glossary!A1"/><Relationship Id="rId5" Type="http://schemas.openxmlformats.org/officeDocument/2006/relationships/hyperlink" Target="mailto:healtheconomics@phe.gov.uk?subject=Health%20Economics%20Evidence%20Resource" TargetMode="External"/><Relationship Id="rId4" Type="http://schemas.openxmlformats.org/officeDocument/2006/relationships/hyperlink" Target="#'Further Information'!Print_Area"/><Relationship Id="rId9"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hyperlink" Target="https://surveys.phe.org.uk/TakeSurvey.aspx?PageNumber=1&amp;SurveyID=8842mm51&amp;Preview=true" TargetMode="External"/><Relationship Id="rId3" Type="http://schemas.openxmlformats.org/officeDocument/2006/relationships/hyperlink" Target="#Evidence!A1"/><Relationship Id="rId7" Type="http://schemas.openxmlformats.org/officeDocument/2006/relationships/hyperlink" Target="#Sources!A1"/><Relationship Id="rId2" Type="http://schemas.openxmlformats.org/officeDocument/2006/relationships/hyperlink" Target="#Introduction!A1"/><Relationship Id="rId1" Type="http://schemas.openxmlformats.org/officeDocument/2006/relationships/hyperlink" Target="#'User Guide'!A1"/><Relationship Id="rId6" Type="http://schemas.openxmlformats.org/officeDocument/2006/relationships/hyperlink" Target="#Glossary!A1"/><Relationship Id="rId5" Type="http://schemas.openxmlformats.org/officeDocument/2006/relationships/hyperlink" Target="mailto:healtheconomics@phe.gov.uk?subject=Health%20Economics%20Evidence%20Resource" TargetMode="External"/><Relationship Id="rId4" Type="http://schemas.openxmlformats.org/officeDocument/2006/relationships/hyperlink" Target="#'Further Information'!A1"/><Relationship Id="rId9"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hyperlink" Target="https://surveys.phe.org.uk/TakeSurvey.aspx?PageNumber=1&amp;SurveyID=8842mm51&amp;Preview=true" TargetMode="External"/><Relationship Id="rId3" Type="http://schemas.openxmlformats.org/officeDocument/2006/relationships/hyperlink" Target="#Evidence!A1"/><Relationship Id="rId7" Type="http://schemas.openxmlformats.org/officeDocument/2006/relationships/hyperlink" Target="#Sources!A1"/><Relationship Id="rId12" Type="http://schemas.openxmlformats.org/officeDocument/2006/relationships/image" Target="../media/image9.jpeg"/><Relationship Id="rId2" Type="http://schemas.openxmlformats.org/officeDocument/2006/relationships/hyperlink" Target="#Introduction!A1"/><Relationship Id="rId1" Type="http://schemas.openxmlformats.org/officeDocument/2006/relationships/hyperlink" Target="#'User Guide'!A1"/><Relationship Id="rId6" Type="http://schemas.openxmlformats.org/officeDocument/2006/relationships/hyperlink" Target="#Glossary!A1"/><Relationship Id="rId11" Type="http://schemas.openxmlformats.org/officeDocument/2006/relationships/hyperlink" Target="https://www.gov.uk/government/collections/sustainability-and-public-health-a-guide-to-good-practice" TargetMode="External"/><Relationship Id="rId5" Type="http://schemas.openxmlformats.org/officeDocument/2006/relationships/hyperlink" Target="mailto:healtheconomics@phe.gov.uk?subject=Health%20Economics%20Evidence%20Resource" TargetMode="External"/><Relationship Id="rId10" Type="http://schemas.openxmlformats.org/officeDocument/2006/relationships/image" Target="../media/image8.jpeg"/><Relationship Id="rId4" Type="http://schemas.openxmlformats.org/officeDocument/2006/relationships/hyperlink" Target="#'Further Information'!A1"/><Relationship Id="rId9"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262890</xdr:colOff>
      <xdr:row>0</xdr:row>
      <xdr:rowOff>158115</xdr:rowOff>
    </xdr:from>
    <xdr:to>
      <xdr:col>1</xdr:col>
      <xdr:colOff>539584</xdr:colOff>
      <xdr:row>2</xdr:row>
      <xdr:rowOff>293370</xdr:rowOff>
    </xdr:to>
    <xdr:pic>
      <xdr:nvPicPr>
        <xdr:cNvPr id="3" name="Picture 2" descr="Image result for phe 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2890" y="158115"/>
          <a:ext cx="886294" cy="520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371476</xdr:colOff>
      <xdr:row>5</xdr:row>
      <xdr:rowOff>0</xdr:rowOff>
    </xdr:from>
    <xdr:to>
      <xdr:col>7</xdr:col>
      <xdr:colOff>323851</xdr:colOff>
      <xdr:row>6</xdr:row>
      <xdr:rowOff>171450</xdr:rowOff>
    </xdr:to>
    <xdr:sp macro="" textlink="">
      <xdr:nvSpPr>
        <xdr:cNvPr id="19" name="Chevron 18">
          <a:hlinkClick xmlns:r="http://schemas.openxmlformats.org/officeDocument/2006/relationships" r:id="rId2"/>
          <a:extLst>
            <a:ext uri="{FF2B5EF4-FFF2-40B4-BE49-F238E27FC236}">
              <a16:creationId xmlns:a16="http://schemas.microsoft.com/office/drawing/2014/main" id="{00000000-0008-0000-0000-000013000000}"/>
            </a:ext>
          </a:extLst>
        </xdr:cNvPr>
        <xdr:cNvSpPr/>
      </xdr:nvSpPr>
      <xdr:spPr>
        <a:xfrm>
          <a:off x="30003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User Guide</a:t>
          </a:r>
        </a:p>
      </xdr:txBody>
    </xdr:sp>
    <xdr:clientData/>
  </xdr:twoCellAnchor>
  <xdr:twoCellAnchor>
    <xdr:from>
      <xdr:col>4</xdr:col>
      <xdr:colOff>0</xdr:colOff>
      <xdr:row>5</xdr:row>
      <xdr:rowOff>0</xdr:rowOff>
    </xdr:from>
    <xdr:to>
      <xdr:col>5</xdr:col>
      <xdr:colOff>561975</xdr:colOff>
      <xdr:row>6</xdr:row>
      <xdr:rowOff>171450</xdr:rowOff>
    </xdr:to>
    <xdr:sp macro="" textlink="">
      <xdr:nvSpPr>
        <xdr:cNvPr id="20" name="Pentagon 19">
          <a:hlinkClick xmlns:r="http://schemas.openxmlformats.org/officeDocument/2006/relationships" r:id="rId3"/>
          <a:extLst>
            <a:ext uri="{FF2B5EF4-FFF2-40B4-BE49-F238E27FC236}">
              <a16:creationId xmlns:a16="http://schemas.microsoft.com/office/drawing/2014/main" id="{00000000-0008-0000-0000-000014000000}"/>
            </a:ext>
          </a:extLst>
        </xdr:cNvPr>
        <xdr:cNvSpPr/>
      </xdr:nvSpPr>
      <xdr:spPr>
        <a:xfrm>
          <a:off x="2019300" y="1057275"/>
          <a:ext cx="1171575" cy="361950"/>
        </a:xfrm>
        <a:prstGeom prst="homePlate">
          <a:avLst/>
        </a:prstGeom>
        <a:solidFill>
          <a:srgbClr val="A4AEB5"/>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chemeClr val="bg1"/>
              </a:solidFill>
              <a:latin typeface="Arial" panose="020B0604020202020204" pitchFamily="34" charset="0"/>
              <a:cs typeface="Arial" panose="020B0604020202020204" pitchFamily="34" charset="0"/>
            </a:rPr>
            <a:t>Introduction</a:t>
          </a:r>
        </a:p>
      </xdr:txBody>
    </xdr:sp>
    <xdr:clientData/>
  </xdr:twoCellAnchor>
  <xdr:twoCellAnchor>
    <xdr:from>
      <xdr:col>7</xdr:col>
      <xdr:colOff>144067</xdr:colOff>
      <xdr:row>5</xdr:row>
      <xdr:rowOff>0</xdr:rowOff>
    </xdr:from>
    <xdr:to>
      <xdr:col>9</xdr:col>
      <xdr:colOff>96442</xdr:colOff>
      <xdr:row>6</xdr:row>
      <xdr:rowOff>171450</xdr:rowOff>
    </xdr:to>
    <xdr:sp macro="" textlink="">
      <xdr:nvSpPr>
        <xdr:cNvPr id="21" name="Chevron 20">
          <a:hlinkClick xmlns:r="http://schemas.openxmlformats.org/officeDocument/2006/relationships" r:id="rId4"/>
          <a:extLst>
            <a:ext uri="{FF2B5EF4-FFF2-40B4-BE49-F238E27FC236}">
              <a16:creationId xmlns:a16="http://schemas.microsoft.com/office/drawing/2014/main" id="{00000000-0008-0000-0000-000015000000}"/>
            </a:ext>
          </a:extLst>
        </xdr:cNvPr>
        <xdr:cNvSpPr/>
      </xdr:nvSpPr>
      <xdr:spPr>
        <a:xfrm>
          <a:off x="3992167"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Evidence</a:t>
          </a:r>
        </a:p>
      </xdr:txBody>
    </xdr:sp>
    <xdr:clientData/>
  </xdr:twoCellAnchor>
  <xdr:twoCellAnchor>
    <xdr:from>
      <xdr:col>8</xdr:col>
      <xdr:colOff>523876</xdr:colOff>
      <xdr:row>5</xdr:row>
      <xdr:rowOff>0</xdr:rowOff>
    </xdr:from>
    <xdr:to>
      <xdr:col>10</xdr:col>
      <xdr:colOff>542925</xdr:colOff>
      <xdr:row>6</xdr:row>
      <xdr:rowOff>171450</xdr:rowOff>
    </xdr:to>
    <xdr:sp macro="" textlink="">
      <xdr:nvSpPr>
        <xdr:cNvPr id="22" name="Chevron 21">
          <a:hlinkClick xmlns:r="http://schemas.openxmlformats.org/officeDocument/2006/relationships" r:id="rId5"/>
          <a:extLst>
            <a:ext uri="{FF2B5EF4-FFF2-40B4-BE49-F238E27FC236}">
              <a16:creationId xmlns:a16="http://schemas.microsoft.com/office/drawing/2014/main" id="{00000000-0008-0000-0000-000016000000}"/>
            </a:ext>
          </a:extLst>
        </xdr:cNvPr>
        <xdr:cNvSpPr/>
      </xdr:nvSpPr>
      <xdr:spPr>
        <a:xfrm>
          <a:off x="4848226" y="1047750"/>
          <a:ext cx="1200149"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Further Information</a:t>
          </a:r>
        </a:p>
      </xdr:txBody>
    </xdr:sp>
    <xdr:clientData/>
  </xdr:twoCellAnchor>
  <xdr:twoCellAnchor>
    <xdr:from>
      <xdr:col>14</xdr:col>
      <xdr:colOff>209551</xdr:colOff>
      <xdr:row>5</xdr:row>
      <xdr:rowOff>9525</xdr:rowOff>
    </xdr:from>
    <xdr:to>
      <xdr:col>16</xdr:col>
      <xdr:colOff>257176</xdr:colOff>
      <xdr:row>6</xdr:row>
      <xdr:rowOff>161925</xdr:rowOff>
    </xdr:to>
    <xdr:sp macro="" textlink="">
      <xdr:nvSpPr>
        <xdr:cNvPr id="23" name="TextBox 22">
          <a:hlinkClick xmlns:r="http://schemas.openxmlformats.org/officeDocument/2006/relationships" r:id="rId6"/>
          <a:extLst>
            <a:ext uri="{FF2B5EF4-FFF2-40B4-BE49-F238E27FC236}">
              <a16:creationId xmlns:a16="http://schemas.microsoft.com/office/drawing/2014/main" id="{00000000-0008-0000-0000-000017000000}"/>
            </a:ext>
          </a:extLst>
        </xdr:cNvPr>
        <xdr:cNvSpPr txBox="1"/>
      </xdr:nvSpPr>
      <xdr:spPr>
        <a:xfrm>
          <a:off x="8324851"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Email us</a:t>
          </a:r>
        </a:p>
      </xdr:txBody>
    </xdr:sp>
    <xdr:clientData/>
  </xdr:twoCellAnchor>
  <xdr:twoCellAnchor>
    <xdr:from>
      <xdr:col>10</xdr:col>
      <xdr:colOff>295276</xdr:colOff>
      <xdr:row>5</xdr:row>
      <xdr:rowOff>0</xdr:rowOff>
    </xdr:from>
    <xdr:to>
      <xdr:col>12</xdr:col>
      <xdr:colOff>247651</xdr:colOff>
      <xdr:row>6</xdr:row>
      <xdr:rowOff>171450</xdr:rowOff>
    </xdr:to>
    <xdr:sp macro="" textlink="">
      <xdr:nvSpPr>
        <xdr:cNvPr id="24" name="Chevron 23">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59721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Glossary</a:t>
          </a:r>
        </a:p>
      </xdr:txBody>
    </xdr:sp>
    <xdr:clientData/>
  </xdr:twoCellAnchor>
  <xdr:twoCellAnchor>
    <xdr:from>
      <xdr:col>12</xdr:col>
      <xdr:colOff>66676</xdr:colOff>
      <xdr:row>5</xdr:row>
      <xdr:rowOff>0</xdr:rowOff>
    </xdr:from>
    <xdr:to>
      <xdr:col>14</xdr:col>
      <xdr:colOff>19051</xdr:colOff>
      <xdr:row>6</xdr:row>
      <xdr:rowOff>171450</xdr:rowOff>
    </xdr:to>
    <xdr:sp macro="" textlink="">
      <xdr:nvSpPr>
        <xdr:cNvPr id="25" name="Chevron 24">
          <a:hlinkClick xmlns:r="http://schemas.openxmlformats.org/officeDocument/2006/relationships" r:id="rId8"/>
          <a:extLst>
            <a:ext uri="{FF2B5EF4-FFF2-40B4-BE49-F238E27FC236}">
              <a16:creationId xmlns:a16="http://schemas.microsoft.com/office/drawing/2014/main" id="{00000000-0008-0000-0000-000019000000}"/>
            </a:ext>
          </a:extLst>
        </xdr:cNvPr>
        <xdr:cNvSpPr/>
      </xdr:nvSpPr>
      <xdr:spPr>
        <a:xfrm>
          <a:off x="69627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Sources</a:t>
          </a:r>
        </a:p>
      </xdr:txBody>
    </xdr:sp>
    <xdr:clientData/>
  </xdr:twoCellAnchor>
  <xdr:twoCellAnchor>
    <xdr:from>
      <xdr:col>16</xdr:col>
      <xdr:colOff>504825</xdr:colOff>
      <xdr:row>5</xdr:row>
      <xdr:rowOff>9525</xdr:rowOff>
    </xdr:from>
    <xdr:to>
      <xdr:col>18</xdr:col>
      <xdr:colOff>552450</xdr:colOff>
      <xdr:row>6</xdr:row>
      <xdr:rowOff>161925</xdr:rowOff>
    </xdr:to>
    <xdr:sp macro="" textlink="">
      <xdr:nvSpPr>
        <xdr:cNvPr id="11" name="TextBox 10">
          <a:hlinkClick xmlns:r="http://schemas.openxmlformats.org/officeDocument/2006/relationships" r:id="rId9"/>
          <a:extLst>
            <a:ext uri="{FF2B5EF4-FFF2-40B4-BE49-F238E27FC236}">
              <a16:creationId xmlns:a16="http://schemas.microsoft.com/office/drawing/2014/main" id="{00000000-0008-0000-0000-00000B000000}"/>
            </a:ext>
          </a:extLst>
        </xdr:cNvPr>
        <xdr:cNvSpPr txBox="1"/>
      </xdr:nvSpPr>
      <xdr:spPr>
        <a:xfrm>
          <a:off x="9839325"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Feedback </a:t>
          </a:r>
          <a:r>
            <a:rPr lang="en-GB" sz="1100" b="1" baseline="0">
              <a:solidFill>
                <a:schemeClr val="bg1"/>
              </a:solidFill>
            </a:rPr>
            <a:t>Survey</a:t>
          </a:r>
          <a:endParaRPr lang="en-GB"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262891</xdr:colOff>
      <xdr:row>0</xdr:row>
      <xdr:rowOff>158115</xdr:rowOff>
    </xdr:from>
    <xdr:to>
      <xdr:col>1</xdr:col>
      <xdr:colOff>542394</xdr:colOff>
      <xdr:row>3</xdr:row>
      <xdr:rowOff>7620</xdr:rowOff>
    </xdr:to>
    <xdr:pic>
      <xdr:nvPicPr>
        <xdr:cNvPr id="12" name="Picture 11" descr="Image result for phe logo">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2891" y="158115"/>
          <a:ext cx="889103" cy="520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57150</xdr:colOff>
      <xdr:row>9</xdr:row>
      <xdr:rowOff>55468</xdr:rowOff>
    </xdr:from>
    <xdr:to>
      <xdr:col>19</xdr:col>
      <xdr:colOff>533399</xdr:colOff>
      <xdr:row>16</xdr:row>
      <xdr:rowOff>47625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019300" y="1865218"/>
          <a:ext cx="9486899" cy="1449482"/>
        </a:xfrm>
        <a:prstGeom prst="rect">
          <a:avLst/>
        </a:prstGeom>
        <a:solidFill>
          <a:schemeClr val="lt1"/>
        </a:solidFill>
        <a:ln w="9525" cmpd="sng">
          <a:solidFill>
            <a:sysClr val="windowText" lastClr="000000"/>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300"/>
            </a:lnSpc>
          </a:pPr>
          <a:r>
            <a:rPr lang="en-GB" sz="900" b="1">
              <a:latin typeface="Arial" panose="020B0604020202020204" pitchFamily="34" charset="0"/>
              <a:cs typeface="Arial" panose="020B0604020202020204" pitchFamily="34" charset="0"/>
            </a:rPr>
            <a:t>Caveats for use:</a:t>
          </a:r>
        </a:p>
        <a:p>
          <a:pPr>
            <a:lnSpc>
              <a:spcPts val="1300"/>
            </a:lnSpc>
          </a:pPr>
          <a:r>
            <a:rPr lang="en-GB" sz="900">
              <a:solidFill>
                <a:schemeClr val="dk1"/>
              </a:solidFill>
              <a:effectLst/>
              <a:latin typeface="Arial" panose="020B0604020202020204" pitchFamily="34" charset="0"/>
              <a:ea typeface="+mn-ea"/>
              <a:cs typeface="Arial" panose="020B0604020202020204" pitchFamily="34" charset="0"/>
            </a:rPr>
            <a:t>•</a:t>
          </a:r>
          <a:r>
            <a:rPr lang="en-GB" sz="1100">
              <a:solidFill>
                <a:schemeClr val="dk1"/>
              </a:solidFill>
              <a:effectLst/>
              <a:latin typeface="+mn-lt"/>
              <a:ea typeface="+mn-ea"/>
              <a:cs typeface="+mn-cs"/>
            </a:rPr>
            <a:t> </a:t>
          </a:r>
          <a:r>
            <a:rPr lang="en-GB" sz="900">
              <a:solidFill>
                <a:schemeClr val="dk1"/>
              </a:solidFill>
              <a:effectLst/>
              <a:latin typeface="Arial" panose="020B0604020202020204" pitchFamily="34" charset="0"/>
              <a:ea typeface="+mn-ea"/>
              <a:cs typeface="Arial" panose="020B0604020202020204" pitchFamily="34" charset="0"/>
            </a:rPr>
            <a:t>PHE has provided this tool to aid decision-making and cannot be held liable for any investment or other decisions that are made using information obtained </a:t>
          </a:r>
          <a:r>
            <a:rPr lang="en-GB" sz="900" baseline="0">
              <a:solidFill>
                <a:schemeClr val="dk1"/>
              </a:solidFill>
              <a:effectLst/>
              <a:latin typeface="Arial" panose="020B0604020202020204" pitchFamily="34" charset="0"/>
              <a:ea typeface="+mn-ea"/>
              <a:cs typeface="Arial" panose="020B0604020202020204" pitchFamily="34" charset="0"/>
            </a:rPr>
            <a:t>fr</a:t>
          </a:r>
          <a:r>
            <a:rPr lang="en-GB" sz="900">
              <a:solidFill>
                <a:schemeClr val="dk1"/>
              </a:solidFill>
              <a:effectLst/>
              <a:latin typeface="Arial" panose="020B0604020202020204" pitchFamily="34" charset="0"/>
              <a:ea typeface="+mn-ea"/>
              <a:cs typeface="Arial" panose="020B0604020202020204" pitchFamily="34" charset="0"/>
            </a:rPr>
            <a:t>om the tool</a:t>
          </a:r>
          <a:endParaRPr lang="en-GB" sz="900" b="1">
            <a:latin typeface="Arial" panose="020B0604020202020204" pitchFamily="34" charset="0"/>
            <a:cs typeface="Arial" panose="020B0604020202020204" pitchFamily="34" charset="0"/>
          </a:endParaRPr>
        </a:p>
        <a:p>
          <a:pPr>
            <a:lnSpc>
              <a:spcPts val="1300"/>
            </a:lnSpc>
          </a:pPr>
          <a:r>
            <a:rPr lang="en-GB" sz="900">
              <a:latin typeface="Arial" panose="020B0604020202020204" pitchFamily="34" charset="0"/>
              <a:cs typeface="Arial" panose="020B0604020202020204" pitchFamily="34" charset="0"/>
            </a:rPr>
            <a:t>• interventions have not been selected as part of a systematic</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review of the evidence,</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nor is the order in which they are presented a</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ranking of</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interventions; and the list is not</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exhaustive</a:t>
          </a:r>
        </a:p>
        <a:p>
          <a:pPr>
            <a:lnSpc>
              <a:spcPts val="1300"/>
            </a:lnSpc>
          </a:pPr>
          <a:r>
            <a:rPr lang="en-GB" sz="900">
              <a:solidFill>
                <a:schemeClr val="dk1"/>
              </a:solidFill>
              <a:effectLst/>
              <a:latin typeface="Arial" panose="020B0604020202020204" pitchFamily="34" charset="0"/>
              <a:ea typeface="+mn-ea"/>
              <a:cs typeface="Arial" panose="020B0604020202020204" pitchFamily="34" charset="0"/>
            </a:rPr>
            <a:t>• u</a:t>
          </a:r>
          <a:r>
            <a:rPr lang="en-GB" sz="900">
              <a:latin typeface="Arial" panose="020B0604020202020204" pitchFamily="34" charset="0"/>
              <a:cs typeface="Arial" panose="020B0604020202020204" pitchFamily="34" charset="0"/>
            </a:rPr>
            <a:t>sers should not make judgements on the cost-effectiveness of interventions where</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evidence does not exist in the tool</a:t>
          </a:r>
        </a:p>
        <a:p>
          <a:pPr>
            <a:lnSpc>
              <a:spcPts val="1300"/>
            </a:lnSpc>
          </a:pPr>
          <a:r>
            <a:rPr lang="en-GB" sz="900">
              <a:solidFill>
                <a:schemeClr val="dk1"/>
              </a:solidFill>
              <a:effectLst/>
              <a:latin typeface="Arial" panose="020B0604020202020204" pitchFamily="34" charset="0"/>
              <a:ea typeface="+mn-ea"/>
              <a:cs typeface="Arial" panose="020B0604020202020204" pitchFamily="34" charset="0"/>
            </a:rPr>
            <a:t>• w</a:t>
          </a:r>
          <a:r>
            <a:rPr lang="en-GB" sz="900">
              <a:latin typeface="Arial" panose="020B0604020202020204" pitchFamily="34" charset="0"/>
              <a:cs typeface="Arial" panose="020B0604020202020204" pitchFamily="34" charset="0"/>
            </a:rPr>
            <a:t>hile PHE has ensured the evidence comes from reputable</a:t>
          </a:r>
          <a:r>
            <a:rPr lang="en-GB" sz="900" baseline="0">
              <a:latin typeface="Arial" panose="020B0604020202020204" pitchFamily="34" charset="0"/>
              <a:cs typeface="Arial" panose="020B0604020202020204" pitchFamily="34" charset="0"/>
            </a:rPr>
            <a:t> sources</a:t>
          </a:r>
          <a:r>
            <a:rPr lang="en-GB" sz="900">
              <a:latin typeface="Arial" panose="020B0604020202020204" pitchFamily="34" charset="0"/>
              <a:cs typeface="Arial" panose="020B0604020202020204" pitchFamily="34" charset="0"/>
            </a:rPr>
            <a:t>, figures are likely to be</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subject to change as a result of new evidence</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becoming available. Therefore caution</a:t>
          </a:r>
          <a:r>
            <a:rPr lang="en-GB" sz="900" baseline="0">
              <a:latin typeface="Arial" panose="020B0604020202020204" pitchFamily="34" charset="0"/>
              <a:cs typeface="Arial" panose="020B0604020202020204" pitchFamily="34" charset="0"/>
            </a:rPr>
            <a:t> </a:t>
          </a:r>
          <a:r>
            <a:rPr lang="en-GB" sz="900">
              <a:latin typeface="Arial" panose="020B0604020202020204" pitchFamily="34" charset="0"/>
              <a:cs typeface="Arial" panose="020B0604020202020204" pitchFamily="34" charset="0"/>
            </a:rPr>
            <a:t>should be taken when interpreting and using the information provided</a:t>
          </a:r>
        </a:p>
        <a:p>
          <a:pPr>
            <a:lnSpc>
              <a:spcPts val="1300"/>
            </a:lnSpc>
          </a:pPr>
          <a:r>
            <a:rPr lang="en-GB" sz="900">
              <a:solidFill>
                <a:sysClr val="windowText" lastClr="000000"/>
              </a:solidFill>
              <a:effectLst/>
              <a:latin typeface="Arial" panose="020B0604020202020204" pitchFamily="34" charset="0"/>
              <a:ea typeface="+mn-ea"/>
              <a:cs typeface="Arial" panose="020B0604020202020204" pitchFamily="34" charset="0"/>
            </a:rPr>
            <a:t>• users should not make judgements on the economic evidence without reading the FAQs section on "Factors to consider</a:t>
          </a:r>
          <a:r>
            <a:rPr lang="en-GB" sz="900" baseline="0">
              <a:solidFill>
                <a:sysClr val="windowText" lastClr="000000"/>
              </a:solidFill>
              <a:effectLst/>
              <a:latin typeface="Arial" panose="020B0604020202020204" pitchFamily="34" charset="0"/>
              <a:ea typeface="+mn-ea"/>
              <a:cs typeface="Arial" panose="020B0604020202020204" pitchFamily="34" charset="0"/>
            </a:rPr>
            <a:t> when interpreting economic evidence"</a:t>
          </a:r>
          <a:endParaRPr lang="en-GB" sz="900">
            <a:solidFill>
              <a:sysClr val="windowText" lastClr="000000"/>
            </a:solidFill>
            <a:latin typeface="Arial" panose="020B0604020202020204" pitchFamily="34" charset="0"/>
            <a:cs typeface="Arial" panose="020B0604020202020204" pitchFamily="34" charset="0"/>
          </a:endParaRPr>
        </a:p>
        <a:p>
          <a:endParaRPr lang="en-GB" sz="900">
            <a:latin typeface="Arial" panose="020B0604020202020204" pitchFamily="34" charset="0"/>
            <a:cs typeface="Arial" panose="020B0604020202020204" pitchFamily="34" charset="0"/>
          </a:endParaRPr>
        </a:p>
      </xdr:txBody>
    </xdr:sp>
    <xdr:clientData/>
  </xdr:twoCellAnchor>
  <xdr:twoCellAnchor>
    <xdr:from>
      <xdr:col>4</xdr:col>
      <xdr:colOff>95250</xdr:colOff>
      <xdr:row>16</xdr:row>
      <xdr:rowOff>114300</xdr:rowOff>
    </xdr:from>
    <xdr:to>
      <xdr:col>8</xdr:col>
      <xdr:colOff>248850</xdr:colOff>
      <xdr:row>18</xdr:row>
      <xdr:rowOff>57300</xdr:rowOff>
    </xdr:to>
    <xdr:sp macro="[0]!Export_Page" textlink="">
      <xdr:nvSpPr>
        <xdr:cNvPr id="32" name="TextBox 31">
          <a:extLst>
            <a:ext uri="{FF2B5EF4-FFF2-40B4-BE49-F238E27FC236}">
              <a16:creationId xmlns:a16="http://schemas.microsoft.com/office/drawing/2014/main" id="{00000000-0008-0000-0100-000020000000}"/>
            </a:ext>
          </a:extLst>
        </xdr:cNvPr>
        <xdr:cNvSpPr txBox="1"/>
      </xdr:nvSpPr>
      <xdr:spPr>
        <a:xfrm>
          <a:off x="2114550" y="3267075"/>
          <a:ext cx="2592000" cy="3240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b="1">
              <a:solidFill>
                <a:schemeClr val="bg1"/>
              </a:solidFill>
              <a:latin typeface="Arial" panose="020B0604020202020204" pitchFamily="34" charset="0"/>
              <a:cs typeface="Arial" panose="020B0604020202020204" pitchFamily="34" charset="0"/>
            </a:rPr>
            <a:t>Produce PDF of User</a:t>
          </a:r>
          <a:r>
            <a:rPr lang="en-GB" sz="900" b="1" baseline="0">
              <a:solidFill>
                <a:schemeClr val="bg1"/>
              </a:solidFill>
              <a:latin typeface="Arial" panose="020B0604020202020204" pitchFamily="34" charset="0"/>
              <a:cs typeface="Arial" panose="020B0604020202020204" pitchFamily="34" charset="0"/>
            </a:rPr>
            <a:t> Guide</a:t>
          </a:r>
          <a:endParaRPr lang="en-GB" sz="9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85725</xdr:colOff>
      <xdr:row>40</xdr:row>
      <xdr:rowOff>37539</xdr:rowOff>
    </xdr:from>
    <xdr:to>
      <xdr:col>8</xdr:col>
      <xdr:colOff>239325</xdr:colOff>
      <xdr:row>41</xdr:row>
      <xdr:rowOff>171039</xdr:rowOff>
    </xdr:to>
    <xdr:sp macro="[0]!print_selected" textlink="">
      <xdr:nvSpPr>
        <xdr:cNvPr id="33" name="TextBox 32">
          <a:extLst>
            <a:ext uri="{FF2B5EF4-FFF2-40B4-BE49-F238E27FC236}">
              <a16:creationId xmlns:a16="http://schemas.microsoft.com/office/drawing/2014/main" id="{00000000-0008-0000-0100-000021000000}"/>
            </a:ext>
          </a:extLst>
        </xdr:cNvPr>
        <xdr:cNvSpPr txBox="1"/>
      </xdr:nvSpPr>
      <xdr:spPr>
        <a:xfrm>
          <a:off x="2105025" y="8333814"/>
          <a:ext cx="2592000" cy="3240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b="1">
              <a:solidFill>
                <a:schemeClr val="bg1"/>
              </a:solidFill>
              <a:latin typeface="Arial" panose="020B0604020202020204" pitchFamily="34" charset="0"/>
              <a:cs typeface="Arial" panose="020B0604020202020204" pitchFamily="34" charset="0"/>
            </a:rPr>
            <a:t>Produce PDFs of my selection</a:t>
          </a:r>
        </a:p>
      </xdr:txBody>
    </xdr:sp>
    <xdr:clientData/>
  </xdr:twoCellAnchor>
  <xdr:twoCellAnchor>
    <xdr:from>
      <xdr:col>4</xdr:col>
      <xdr:colOff>85725</xdr:colOff>
      <xdr:row>44</xdr:row>
      <xdr:rowOff>30803</xdr:rowOff>
    </xdr:from>
    <xdr:to>
      <xdr:col>8</xdr:col>
      <xdr:colOff>239325</xdr:colOff>
      <xdr:row>45</xdr:row>
      <xdr:rowOff>164303</xdr:rowOff>
    </xdr:to>
    <xdr:sp macro="[0]!clear_selection" textlink="">
      <xdr:nvSpPr>
        <xdr:cNvPr id="34" name="TextBox 33">
          <a:extLst>
            <a:ext uri="{FF2B5EF4-FFF2-40B4-BE49-F238E27FC236}">
              <a16:creationId xmlns:a16="http://schemas.microsoft.com/office/drawing/2014/main" id="{00000000-0008-0000-0100-000022000000}"/>
            </a:ext>
          </a:extLst>
        </xdr:cNvPr>
        <xdr:cNvSpPr txBox="1"/>
      </xdr:nvSpPr>
      <xdr:spPr>
        <a:xfrm>
          <a:off x="2105025" y="9089078"/>
          <a:ext cx="2592000" cy="3240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b="1">
              <a:solidFill>
                <a:schemeClr val="bg1"/>
              </a:solidFill>
              <a:latin typeface="Arial" panose="020B0604020202020204" pitchFamily="34" charset="0"/>
              <a:cs typeface="Arial" panose="020B0604020202020204" pitchFamily="34" charset="0"/>
            </a:rPr>
            <a:t>Clear my selection</a:t>
          </a:r>
        </a:p>
      </xdr:txBody>
    </xdr:sp>
    <xdr:clientData/>
  </xdr:twoCellAnchor>
  <xdr:twoCellAnchor editAs="oneCell">
    <xdr:from>
      <xdr:col>12</xdr:col>
      <xdr:colOff>380999</xdr:colOff>
      <xdr:row>16</xdr:row>
      <xdr:rowOff>106795</xdr:rowOff>
    </xdr:from>
    <xdr:to>
      <xdr:col>19</xdr:col>
      <xdr:colOff>552473</xdr:colOff>
      <xdr:row>49</xdr:row>
      <xdr:rowOff>67240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219949" y="3373870"/>
          <a:ext cx="4305324" cy="6246945"/>
        </a:xfrm>
        <a:prstGeom prst="rect">
          <a:avLst/>
        </a:prstGeom>
      </xdr:spPr>
    </xdr:pic>
    <xdr:clientData/>
  </xdr:twoCellAnchor>
  <xdr:twoCellAnchor>
    <xdr:from>
      <xdr:col>5</xdr:col>
      <xdr:colOff>371476</xdr:colOff>
      <xdr:row>5</xdr:row>
      <xdr:rowOff>0</xdr:rowOff>
    </xdr:from>
    <xdr:to>
      <xdr:col>7</xdr:col>
      <xdr:colOff>323851</xdr:colOff>
      <xdr:row>6</xdr:row>
      <xdr:rowOff>171450</xdr:rowOff>
    </xdr:to>
    <xdr:sp macro="" textlink="">
      <xdr:nvSpPr>
        <xdr:cNvPr id="24" name="Chevron 23">
          <a:hlinkClick xmlns:r="http://schemas.openxmlformats.org/officeDocument/2006/relationships" r:id="rId3"/>
          <a:extLst>
            <a:ext uri="{FF2B5EF4-FFF2-40B4-BE49-F238E27FC236}">
              <a16:creationId xmlns:a16="http://schemas.microsoft.com/office/drawing/2014/main" id="{00000000-0008-0000-0100-000018000000}"/>
            </a:ext>
          </a:extLst>
        </xdr:cNvPr>
        <xdr:cNvSpPr/>
      </xdr:nvSpPr>
      <xdr:spPr>
        <a:xfrm>
          <a:off x="3000376" y="1057275"/>
          <a:ext cx="1171575" cy="361950"/>
        </a:xfrm>
        <a:prstGeom prst="chevron">
          <a:avLst/>
        </a:prstGeom>
        <a:solidFill>
          <a:srgbClr val="A4AEB5"/>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chemeClr val="bg1"/>
              </a:solidFill>
              <a:latin typeface="Arial" panose="020B0604020202020204" pitchFamily="34" charset="0"/>
              <a:cs typeface="Arial" panose="020B0604020202020204" pitchFamily="34" charset="0"/>
            </a:rPr>
            <a:t>User Guide</a:t>
          </a:r>
        </a:p>
      </xdr:txBody>
    </xdr:sp>
    <xdr:clientData/>
  </xdr:twoCellAnchor>
  <xdr:twoCellAnchor>
    <xdr:from>
      <xdr:col>4</xdr:col>
      <xdr:colOff>0</xdr:colOff>
      <xdr:row>5</xdr:row>
      <xdr:rowOff>0</xdr:rowOff>
    </xdr:from>
    <xdr:to>
      <xdr:col>5</xdr:col>
      <xdr:colOff>561975</xdr:colOff>
      <xdr:row>6</xdr:row>
      <xdr:rowOff>171450</xdr:rowOff>
    </xdr:to>
    <xdr:sp macro="" textlink="">
      <xdr:nvSpPr>
        <xdr:cNvPr id="25" name="Pentagon 24">
          <a:hlinkClick xmlns:r="http://schemas.openxmlformats.org/officeDocument/2006/relationships" r:id="rId4"/>
          <a:extLst>
            <a:ext uri="{FF2B5EF4-FFF2-40B4-BE49-F238E27FC236}">
              <a16:creationId xmlns:a16="http://schemas.microsoft.com/office/drawing/2014/main" id="{00000000-0008-0000-0100-000019000000}"/>
            </a:ext>
          </a:extLst>
        </xdr:cNvPr>
        <xdr:cNvSpPr/>
      </xdr:nvSpPr>
      <xdr:spPr>
        <a:xfrm>
          <a:off x="2019300" y="1057275"/>
          <a:ext cx="1171575" cy="361950"/>
        </a:xfrm>
        <a:prstGeom prst="homePlate">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Introduction</a:t>
          </a:r>
        </a:p>
      </xdr:txBody>
    </xdr:sp>
    <xdr:clientData/>
  </xdr:twoCellAnchor>
  <xdr:twoCellAnchor>
    <xdr:from>
      <xdr:col>7</xdr:col>
      <xdr:colOff>144067</xdr:colOff>
      <xdr:row>5</xdr:row>
      <xdr:rowOff>0</xdr:rowOff>
    </xdr:from>
    <xdr:to>
      <xdr:col>9</xdr:col>
      <xdr:colOff>96442</xdr:colOff>
      <xdr:row>6</xdr:row>
      <xdr:rowOff>171450</xdr:rowOff>
    </xdr:to>
    <xdr:sp macro="" textlink="">
      <xdr:nvSpPr>
        <xdr:cNvPr id="26" name="Chevron 25">
          <a:hlinkClick xmlns:r="http://schemas.openxmlformats.org/officeDocument/2006/relationships" r:id="rId5"/>
          <a:extLst>
            <a:ext uri="{FF2B5EF4-FFF2-40B4-BE49-F238E27FC236}">
              <a16:creationId xmlns:a16="http://schemas.microsoft.com/office/drawing/2014/main" id="{00000000-0008-0000-0100-00001A000000}"/>
            </a:ext>
          </a:extLst>
        </xdr:cNvPr>
        <xdr:cNvSpPr/>
      </xdr:nvSpPr>
      <xdr:spPr>
        <a:xfrm>
          <a:off x="3992167"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Evidence</a:t>
          </a:r>
        </a:p>
      </xdr:txBody>
    </xdr:sp>
    <xdr:clientData/>
  </xdr:twoCellAnchor>
  <xdr:twoCellAnchor>
    <xdr:from>
      <xdr:col>8</xdr:col>
      <xdr:colOff>523876</xdr:colOff>
      <xdr:row>5</xdr:row>
      <xdr:rowOff>0</xdr:rowOff>
    </xdr:from>
    <xdr:to>
      <xdr:col>10</xdr:col>
      <xdr:colOff>552450</xdr:colOff>
      <xdr:row>6</xdr:row>
      <xdr:rowOff>171450</xdr:rowOff>
    </xdr:to>
    <xdr:sp macro="" textlink="">
      <xdr:nvSpPr>
        <xdr:cNvPr id="27" name="Chevron 26">
          <a:hlinkClick xmlns:r="http://schemas.openxmlformats.org/officeDocument/2006/relationships" r:id="rId6"/>
          <a:extLst>
            <a:ext uri="{FF2B5EF4-FFF2-40B4-BE49-F238E27FC236}">
              <a16:creationId xmlns:a16="http://schemas.microsoft.com/office/drawing/2014/main" id="{00000000-0008-0000-0100-00001B000000}"/>
            </a:ext>
          </a:extLst>
        </xdr:cNvPr>
        <xdr:cNvSpPr/>
      </xdr:nvSpPr>
      <xdr:spPr>
        <a:xfrm>
          <a:off x="5000626" y="1047750"/>
          <a:ext cx="1209674"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Further Information</a:t>
          </a:r>
        </a:p>
      </xdr:txBody>
    </xdr:sp>
    <xdr:clientData/>
  </xdr:twoCellAnchor>
  <xdr:twoCellAnchor>
    <xdr:from>
      <xdr:col>14</xdr:col>
      <xdr:colOff>209551</xdr:colOff>
      <xdr:row>5</xdr:row>
      <xdr:rowOff>9525</xdr:rowOff>
    </xdr:from>
    <xdr:to>
      <xdr:col>16</xdr:col>
      <xdr:colOff>257176</xdr:colOff>
      <xdr:row>6</xdr:row>
      <xdr:rowOff>161925</xdr:rowOff>
    </xdr:to>
    <xdr:sp macro="" textlink="">
      <xdr:nvSpPr>
        <xdr:cNvPr id="28" name="TextBox 27">
          <a:hlinkClick xmlns:r="http://schemas.openxmlformats.org/officeDocument/2006/relationships" r:id="rId7"/>
          <a:extLst>
            <a:ext uri="{FF2B5EF4-FFF2-40B4-BE49-F238E27FC236}">
              <a16:creationId xmlns:a16="http://schemas.microsoft.com/office/drawing/2014/main" id="{00000000-0008-0000-0100-00001C000000}"/>
            </a:ext>
          </a:extLst>
        </xdr:cNvPr>
        <xdr:cNvSpPr txBox="1"/>
      </xdr:nvSpPr>
      <xdr:spPr>
        <a:xfrm>
          <a:off x="8324851"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Email us</a:t>
          </a:r>
        </a:p>
      </xdr:txBody>
    </xdr:sp>
    <xdr:clientData/>
  </xdr:twoCellAnchor>
  <xdr:twoCellAnchor>
    <xdr:from>
      <xdr:col>10</xdr:col>
      <xdr:colOff>295276</xdr:colOff>
      <xdr:row>5</xdr:row>
      <xdr:rowOff>0</xdr:rowOff>
    </xdr:from>
    <xdr:to>
      <xdr:col>12</xdr:col>
      <xdr:colOff>247651</xdr:colOff>
      <xdr:row>6</xdr:row>
      <xdr:rowOff>171450</xdr:rowOff>
    </xdr:to>
    <xdr:sp macro="" textlink="">
      <xdr:nvSpPr>
        <xdr:cNvPr id="30" name="Chevron 29">
          <a:hlinkClick xmlns:r="http://schemas.openxmlformats.org/officeDocument/2006/relationships" r:id="rId8"/>
          <a:extLst>
            <a:ext uri="{FF2B5EF4-FFF2-40B4-BE49-F238E27FC236}">
              <a16:creationId xmlns:a16="http://schemas.microsoft.com/office/drawing/2014/main" id="{00000000-0008-0000-0100-00001E000000}"/>
            </a:ext>
          </a:extLst>
        </xdr:cNvPr>
        <xdr:cNvSpPr/>
      </xdr:nvSpPr>
      <xdr:spPr>
        <a:xfrm>
          <a:off x="59721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Glossary</a:t>
          </a:r>
        </a:p>
      </xdr:txBody>
    </xdr:sp>
    <xdr:clientData/>
  </xdr:twoCellAnchor>
  <xdr:twoCellAnchor>
    <xdr:from>
      <xdr:col>12</xdr:col>
      <xdr:colOff>66676</xdr:colOff>
      <xdr:row>5</xdr:row>
      <xdr:rowOff>0</xdr:rowOff>
    </xdr:from>
    <xdr:to>
      <xdr:col>14</xdr:col>
      <xdr:colOff>19051</xdr:colOff>
      <xdr:row>6</xdr:row>
      <xdr:rowOff>171450</xdr:rowOff>
    </xdr:to>
    <xdr:sp macro="" textlink="">
      <xdr:nvSpPr>
        <xdr:cNvPr id="35" name="Chevron 34">
          <a:hlinkClick xmlns:r="http://schemas.openxmlformats.org/officeDocument/2006/relationships" r:id="rId9"/>
          <a:extLst>
            <a:ext uri="{FF2B5EF4-FFF2-40B4-BE49-F238E27FC236}">
              <a16:creationId xmlns:a16="http://schemas.microsoft.com/office/drawing/2014/main" id="{00000000-0008-0000-0100-000023000000}"/>
            </a:ext>
          </a:extLst>
        </xdr:cNvPr>
        <xdr:cNvSpPr/>
      </xdr:nvSpPr>
      <xdr:spPr>
        <a:xfrm>
          <a:off x="69627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Sources</a:t>
          </a:r>
        </a:p>
      </xdr:txBody>
    </xdr:sp>
    <xdr:clientData/>
  </xdr:twoCellAnchor>
  <xdr:twoCellAnchor>
    <xdr:from>
      <xdr:col>16</xdr:col>
      <xdr:colOff>504825</xdr:colOff>
      <xdr:row>5</xdr:row>
      <xdr:rowOff>9525</xdr:rowOff>
    </xdr:from>
    <xdr:to>
      <xdr:col>18</xdr:col>
      <xdr:colOff>552450</xdr:colOff>
      <xdr:row>6</xdr:row>
      <xdr:rowOff>161925</xdr:rowOff>
    </xdr:to>
    <xdr:sp macro="" textlink="">
      <xdr:nvSpPr>
        <xdr:cNvPr id="17" name="TextBox 16">
          <a:hlinkClick xmlns:r="http://schemas.openxmlformats.org/officeDocument/2006/relationships" r:id="rId10"/>
          <a:extLst>
            <a:ext uri="{FF2B5EF4-FFF2-40B4-BE49-F238E27FC236}">
              <a16:creationId xmlns:a16="http://schemas.microsoft.com/office/drawing/2014/main" id="{00000000-0008-0000-0100-000011000000}"/>
            </a:ext>
          </a:extLst>
        </xdr:cNvPr>
        <xdr:cNvSpPr txBox="1"/>
      </xdr:nvSpPr>
      <xdr:spPr>
        <a:xfrm>
          <a:off x="9839325"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Feedback </a:t>
          </a:r>
          <a:r>
            <a:rPr lang="en-GB" sz="1100" b="1" baseline="0">
              <a:solidFill>
                <a:schemeClr val="bg1"/>
              </a:solidFill>
            </a:rPr>
            <a:t>Survey</a:t>
          </a:r>
          <a:endParaRPr lang="en-GB"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36741</xdr:colOff>
      <xdr:row>0</xdr:row>
      <xdr:rowOff>46264</xdr:rowOff>
    </xdr:from>
    <xdr:to>
      <xdr:col>1</xdr:col>
      <xdr:colOff>707572</xdr:colOff>
      <xdr:row>0</xdr:row>
      <xdr:rowOff>639536</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36741" y="46264"/>
          <a:ext cx="1296760" cy="593272"/>
        </a:xfrm>
        <a:prstGeom prst="roundRect">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ysClr val="windowText" lastClr="000000"/>
              </a:solidFill>
              <a:latin typeface="Arial" panose="020B0604020202020204" pitchFamily="34" charset="0"/>
              <a:cs typeface="Arial" panose="020B0604020202020204" pitchFamily="34" charset="0"/>
            </a:rPr>
            <a:t>Back to User</a:t>
          </a:r>
          <a:r>
            <a:rPr lang="en-GB" sz="1200" b="1" baseline="0">
              <a:solidFill>
                <a:sysClr val="windowText" lastClr="000000"/>
              </a:solidFill>
              <a:latin typeface="Arial" panose="020B0604020202020204" pitchFamily="34" charset="0"/>
              <a:cs typeface="Arial" panose="020B0604020202020204" pitchFamily="34" charset="0"/>
            </a:rPr>
            <a:t> Guide</a:t>
          </a:r>
          <a:endParaRPr lang="en-GB"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748393</xdr:colOff>
      <xdr:row>0</xdr:row>
      <xdr:rowOff>40821</xdr:rowOff>
    </xdr:from>
    <xdr:to>
      <xdr:col>2</xdr:col>
      <xdr:colOff>888546</xdr:colOff>
      <xdr:row>0</xdr:row>
      <xdr:rowOff>634093</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1374322" y="40821"/>
          <a:ext cx="1296760" cy="593272"/>
        </a:xfrm>
        <a:prstGeom prst="roundRect">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ysClr val="windowText" lastClr="000000"/>
              </a:solidFill>
              <a:latin typeface="Arial" panose="020B0604020202020204" pitchFamily="34" charset="0"/>
              <a:cs typeface="Arial" panose="020B0604020202020204" pitchFamily="34" charset="0"/>
            </a:rPr>
            <a:t>Go to Glossary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0</xdr:colOff>
      <xdr:row>5</xdr:row>
      <xdr:rowOff>161924</xdr:rowOff>
    </xdr:to>
    <xdr:pic>
      <xdr:nvPicPr>
        <xdr:cNvPr id="60" name="Picture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1"/>
        <a:stretch>
          <a:fillRect/>
        </a:stretch>
      </xdr:blipFill>
      <xdr:spPr>
        <a:xfrm>
          <a:off x="0" y="0"/>
          <a:ext cx="6723529" cy="1114424"/>
        </a:xfrm>
        <a:prstGeom prst="rect">
          <a:avLst/>
        </a:prstGeom>
        <a:ln>
          <a:solidFill>
            <a:schemeClr val="bg1">
              <a:lumMod val="85000"/>
            </a:schemeClr>
          </a:solidFill>
        </a:ln>
      </xdr:spPr>
    </xdr:pic>
    <xdr:clientData/>
  </xdr:twoCellAnchor>
  <xdr:twoCellAnchor>
    <xdr:from>
      <xdr:col>1</xdr:col>
      <xdr:colOff>403482</xdr:colOff>
      <xdr:row>50</xdr:row>
      <xdr:rowOff>102535</xdr:rowOff>
    </xdr:from>
    <xdr:to>
      <xdr:col>9</xdr:col>
      <xdr:colOff>663466</xdr:colOff>
      <xdr:row>53</xdr:row>
      <xdr:rowOff>134473</xdr:rowOff>
    </xdr:to>
    <xdr:sp macro="" textlink="$N$28">
      <xdr:nvSpPr>
        <xdr:cNvPr id="87061" name="TextBox 87060">
          <a:extLst>
            <a:ext uri="{FF2B5EF4-FFF2-40B4-BE49-F238E27FC236}">
              <a16:creationId xmlns:a16="http://schemas.microsoft.com/office/drawing/2014/main" id="{00000000-0008-0000-0300-000015540100}"/>
            </a:ext>
          </a:extLst>
        </xdr:cNvPr>
        <xdr:cNvSpPr txBox="1"/>
      </xdr:nvSpPr>
      <xdr:spPr>
        <a:xfrm>
          <a:off x="1075835" y="9683564"/>
          <a:ext cx="5638807" cy="603438"/>
        </a:xfrm>
        <a:prstGeom prst="rect">
          <a:avLst/>
        </a:prstGeom>
        <a:solidFill>
          <a:sysClr val="window" lastClr="FFFFFF"/>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DDFC3AE-F564-4DD7-857B-A1DD19BB990F}" type="TxLink">
            <a:rPr lang="en-US" sz="1000" b="0" i="0" u="none" strike="noStrike">
              <a:solidFill>
                <a:srgbClr val="000000"/>
              </a:solidFill>
              <a:latin typeface="Arial"/>
              <a:cs typeface="Arial"/>
            </a:rPr>
            <a:pPr algn="l"/>
            <a:t>Matrix Insight. Prioritising investments in preventative health. 2009.</a:t>
          </a:fld>
          <a:endParaRPr lang="en-GB" sz="1000">
            <a:latin typeface="Arial" panose="020B0604020202020204" pitchFamily="34" charset="0"/>
            <a:cs typeface="Arial" panose="020B0604020202020204" pitchFamily="34" charset="0"/>
          </a:endParaRPr>
        </a:p>
      </xdr:txBody>
    </xdr:sp>
    <xdr:clientData/>
  </xdr:twoCellAnchor>
  <xdr:twoCellAnchor editAs="oneCell">
    <xdr:from>
      <xdr:col>11</xdr:col>
      <xdr:colOff>203200</xdr:colOff>
      <xdr:row>1</xdr:row>
      <xdr:rowOff>12700</xdr:rowOff>
    </xdr:from>
    <xdr:to>
      <xdr:col>14</xdr:col>
      <xdr:colOff>101600</xdr:colOff>
      <xdr:row>4</xdr:row>
      <xdr:rowOff>177800</xdr:rowOff>
    </xdr:to>
    <xdr:sp macro="" textlink="">
      <xdr:nvSpPr>
        <xdr:cNvPr id="87041" name="CommandButton1" hidden="1">
          <a:extLst>
            <a:ext uri="{63B3BB69-23CF-44E3-9099-C40C66FF867C}">
              <a14:compatExt xmlns:a14="http://schemas.microsoft.com/office/drawing/2010/main" spid="_x0000_s87041"/>
            </a:ext>
            <a:ext uri="{FF2B5EF4-FFF2-40B4-BE49-F238E27FC236}">
              <a16:creationId xmlns:a16="http://schemas.microsoft.com/office/drawing/2014/main" id="{00000000-0008-0000-0300-0000015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10717</xdr:colOff>
      <xdr:row>0</xdr:row>
      <xdr:rowOff>7327</xdr:rowOff>
    </xdr:from>
    <xdr:to>
      <xdr:col>10</xdr:col>
      <xdr:colOff>1191</xdr:colOff>
      <xdr:row>5</xdr:row>
      <xdr:rowOff>124558</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0717" y="7327"/>
          <a:ext cx="6714003" cy="1069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bg1"/>
              </a:solidFill>
              <a:latin typeface="Arial" panose="020B0604020202020204" pitchFamily="34" charset="0"/>
              <a:cs typeface="Arial" panose="020B0604020202020204" pitchFamily="34" charset="0"/>
            </a:rPr>
            <a:t>PHE Health Economics Evidence Resource</a:t>
          </a:r>
        </a:p>
      </xdr:txBody>
    </xdr:sp>
    <xdr:clientData/>
  </xdr:twoCellAnchor>
  <xdr:twoCellAnchor>
    <xdr:from>
      <xdr:col>0</xdr:col>
      <xdr:colOff>10026</xdr:colOff>
      <xdr:row>6</xdr:row>
      <xdr:rowOff>19050</xdr:rowOff>
    </xdr:from>
    <xdr:to>
      <xdr:col>1</xdr:col>
      <xdr:colOff>261080</xdr:colOff>
      <xdr:row>7</xdr:row>
      <xdr:rowOff>8550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0026" y="1162050"/>
          <a:ext cx="917804" cy="180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Theme:</a:t>
          </a:r>
        </a:p>
      </xdr:txBody>
    </xdr:sp>
    <xdr:clientData/>
  </xdr:twoCellAnchor>
  <xdr:twoCellAnchor>
    <xdr:from>
      <xdr:col>1</xdr:col>
      <xdr:colOff>298450</xdr:colOff>
      <xdr:row>6</xdr:row>
      <xdr:rowOff>19050</xdr:rowOff>
    </xdr:from>
    <xdr:to>
      <xdr:col>5</xdr:col>
      <xdr:colOff>638400</xdr:colOff>
      <xdr:row>7</xdr:row>
      <xdr:rowOff>8550</xdr:rowOff>
    </xdr:to>
    <xdr:sp macro="" textlink="$N$8">
      <xdr:nvSpPr>
        <xdr:cNvPr id="5" name="TextBox 4">
          <a:extLst>
            <a:ext uri="{FF2B5EF4-FFF2-40B4-BE49-F238E27FC236}">
              <a16:creationId xmlns:a16="http://schemas.microsoft.com/office/drawing/2014/main" id="{00000000-0008-0000-0300-000005000000}"/>
            </a:ext>
          </a:extLst>
        </xdr:cNvPr>
        <xdr:cNvSpPr txBox="1"/>
      </xdr:nvSpPr>
      <xdr:spPr>
        <a:xfrm>
          <a:off x="965200" y="1162050"/>
          <a:ext cx="3006950" cy="180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47EC5CA-CCE1-4A74-BA42-0644A6CBB1A8}" type="TxLink">
            <a:rPr lang="en-US" sz="1000" b="0" i="0" u="none" strike="noStrike">
              <a:solidFill>
                <a:srgbClr val="000000"/>
              </a:solidFill>
              <a:latin typeface="Arial" panose="020B0604020202020204" pitchFamily="34" charset="0"/>
              <a:cs typeface="Arial" panose="020B0604020202020204" pitchFamily="34" charset="0"/>
            </a:rPr>
            <a:pPr algn="l"/>
            <a:t>Sexual Health, Reproductive Health and HIV</a:t>
          </a:fld>
          <a:endParaRPr lang="en-GB" sz="1000">
            <a:latin typeface="Arial" panose="020B0604020202020204" pitchFamily="34" charset="0"/>
            <a:cs typeface="Arial" panose="020B0604020202020204" pitchFamily="34" charset="0"/>
          </a:endParaRPr>
        </a:p>
      </xdr:txBody>
    </xdr:sp>
    <xdr:clientData/>
  </xdr:twoCellAnchor>
  <xdr:twoCellAnchor>
    <xdr:from>
      <xdr:col>9</xdr:col>
      <xdr:colOff>262672</xdr:colOff>
      <xdr:row>6</xdr:row>
      <xdr:rowOff>19050</xdr:rowOff>
    </xdr:from>
    <xdr:to>
      <xdr:col>9</xdr:col>
      <xdr:colOff>647700</xdr:colOff>
      <xdr:row>7</xdr:row>
      <xdr:rowOff>0</xdr:rowOff>
    </xdr:to>
    <xdr:sp macro="" textlink="$N$7">
      <xdr:nvSpPr>
        <xdr:cNvPr id="7" name="TextBox 6">
          <a:extLst>
            <a:ext uri="{FF2B5EF4-FFF2-40B4-BE49-F238E27FC236}">
              <a16:creationId xmlns:a16="http://schemas.microsoft.com/office/drawing/2014/main" id="{00000000-0008-0000-0300-000007000000}"/>
            </a:ext>
          </a:extLst>
        </xdr:cNvPr>
        <xdr:cNvSpPr txBox="1"/>
      </xdr:nvSpPr>
      <xdr:spPr>
        <a:xfrm>
          <a:off x="6263422" y="1162050"/>
          <a:ext cx="385028" cy="1714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5101DD-02E7-4137-A802-B3F7F9278549}" type="TxLink">
            <a:rPr lang="en-US" sz="1000" b="0" i="0" u="none" strike="noStrike">
              <a:solidFill>
                <a:srgbClr val="000000"/>
              </a:solidFill>
              <a:latin typeface="Arial" panose="020B0604020202020204" pitchFamily="34" charset="0"/>
              <a:cs typeface="Arial" panose="020B0604020202020204" pitchFamily="34" charset="0"/>
            </a:rPr>
            <a:pPr algn="l"/>
            <a:t>A2</a:t>
          </a:fld>
          <a:endParaRPr lang="en-GB" sz="1000" b="0">
            <a:latin typeface="Arial" panose="020B0604020202020204" pitchFamily="34" charset="0"/>
            <a:cs typeface="Arial" panose="020B0604020202020204" pitchFamily="34" charset="0"/>
          </a:endParaRPr>
        </a:p>
      </xdr:txBody>
    </xdr:sp>
    <xdr:clientData/>
  </xdr:twoCellAnchor>
  <xdr:twoCellAnchor>
    <xdr:from>
      <xdr:col>0</xdr:col>
      <xdr:colOff>15039</xdr:colOff>
      <xdr:row>7</xdr:row>
      <xdr:rowOff>9524</xdr:rowOff>
    </xdr:from>
    <xdr:to>
      <xdr:col>1</xdr:col>
      <xdr:colOff>266093</xdr:colOff>
      <xdr:row>7</xdr:row>
      <xdr:rowOff>189524</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5039" y="1343024"/>
          <a:ext cx="917804" cy="180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Activity:</a:t>
          </a:r>
        </a:p>
      </xdr:txBody>
    </xdr:sp>
    <xdr:clientData/>
  </xdr:twoCellAnchor>
  <xdr:twoCellAnchor>
    <xdr:from>
      <xdr:col>1</xdr:col>
      <xdr:colOff>298450</xdr:colOff>
      <xdr:row>7</xdr:row>
      <xdr:rowOff>9524</xdr:rowOff>
    </xdr:from>
    <xdr:to>
      <xdr:col>8</xdr:col>
      <xdr:colOff>495250</xdr:colOff>
      <xdr:row>7</xdr:row>
      <xdr:rowOff>189524</xdr:rowOff>
    </xdr:to>
    <xdr:sp macro="" textlink="$N$9">
      <xdr:nvSpPr>
        <xdr:cNvPr id="9" name="TextBox 8">
          <a:extLst>
            <a:ext uri="{FF2B5EF4-FFF2-40B4-BE49-F238E27FC236}">
              <a16:creationId xmlns:a16="http://schemas.microsoft.com/office/drawing/2014/main" id="{00000000-0008-0000-0300-000009000000}"/>
            </a:ext>
          </a:extLst>
        </xdr:cNvPr>
        <xdr:cNvSpPr txBox="1"/>
      </xdr:nvSpPr>
      <xdr:spPr>
        <a:xfrm>
          <a:off x="965200" y="1343024"/>
          <a:ext cx="4864050" cy="180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798E4AE-9BA1-497C-BDFD-0F91605632A4}" type="TxLink">
            <a:rPr lang="en-US" sz="1000" b="0" i="0" u="none" strike="noStrike">
              <a:solidFill>
                <a:srgbClr val="000000"/>
              </a:solidFill>
              <a:latin typeface="Arial" panose="020B0604020202020204" pitchFamily="34" charset="0"/>
              <a:cs typeface="Arial" panose="020B0604020202020204" pitchFamily="34" charset="0"/>
            </a:rPr>
            <a:pPr algn="l"/>
            <a:t>Contraception</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20053</xdr:colOff>
      <xdr:row>7</xdr:row>
      <xdr:rowOff>190121</xdr:rowOff>
    </xdr:from>
    <xdr:to>
      <xdr:col>1</xdr:col>
      <xdr:colOff>266093</xdr:colOff>
      <xdr:row>8</xdr:row>
      <xdr:rowOff>179621</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20053" y="1523621"/>
          <a:ext cx="912790" cy="180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Intervention:</a:t>
          </a:r>
        </a:p>
      </xdr:txBody>
    </xdr:sp>
    <xdr:clientData/>
  </xdr:twoCellAnchor>
  <xdr:twoCellAnchor>
    <xdr:from>
      <xdr:col>1</xdr:col>
      <xdr:colOff>292497</xdr:colOff>
      <xdr:row>7</xdr:row>
      <xdr:rowOff>190120</xdr:rowOff>
    </xdr:from>
    <xdr:to>
      <xdr:col>9</xdr:col>
      <xdr:colOff>655784</xdr:colOff>
      <xdr:row>8</xdr:row>
      <xdr:rowOff>179620</xdr:rowOff>
    </xdr:to>
    <xdr:sp macro="" textlink="$N$10">
      <xdr:nvSpPr>
        <xdr:cNvPr id="11" name="TextBox 10">
          <a:extLst>
            <a:ext uri="{FF2B5EF4-FFF2-40B4-BE49-F238E27FC236}">
              <a16:creationId xmlns:a16="http://schemas.microsoft.com/office/drawing/2014/main" id="{00000000-0008-0000-0300-00000B000000}"/>
            </a:ext>
          </a:extLst>
        </xdr:cNvPr>
        <xdr:cNvSpPr txBox="1"/>
      </xdr:nvSpPr>
      <xdr:spPr>
        <a:xfrm>
          <a:off x="959247" y="1523620"/>
          <a:ext cx="5697287" cy="180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A1EC068-1274-4ABF-8FEE-BC6CDC7C8C89}" type="TxLink">
            <a:rPr lang="en-US" sz="1000" b="0" i="0" u="none" strike="noStrike">
              <a:solidFill>
                <a:srgbClr val="000000"/>
              </a:solidFill>
              <a:latin typeface="Arial" panose="020B0604020202020204" pitchFamily="34" charset="0"/>
              <a:cs typeface="Arial" panose="020B0604020202020204" pitchFamily="34" charset="0"/>
            </a:rPr>
            <a:pPr algn="l"/>
            <a:t>Contraception</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9710</xdr:colOff>
      <xdr:row>10</xdr:row>
      <xdr:rowOff>72468</xdr:rowOff>
    </xdr:from>
    <xdr:to>
      <xdr:col>2</xdr:col>
      <xdr:colOff>44210</xdr:colOff>
      <xdr:row>11</xdr:row>
      <xdr:rowOff>64453</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9710" y="1977468"/>
          <a:ext cx="1368000" cy="182485"/>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solidFill>
                <a:sysClr val="windowText" lastClr="000000"/>
              </a:solidFill>
              <a:latin typeface="Arial" panose="020B0604020202020204" pitchFamily="34" charset="0"/>
              <a:cs typeface="Arial" panose="020B0604020202020204" pitchFamily="34" charset="0"/>
            </a:rPr>
            <a:t>Cost-benefit</a:t>
          </a:r>
          <a:r>
            <a:rPr lang="en-GB" sz="1000" b="1" baseline="0">
              <a:solidFill>
                <a:sysClr val="windowText" lastClr="000000"/>
              </a:solidFill>
              <a:latin typeface="Arial" panose="020B0604020202020204" pitchFamily="34" charset="0"/>
              <a:cs typeface="Arial" panose="020B0604020202020204" pitchFamily="34" charset="0"/>
            </a:rPr>
            <a:t> </a:t>
          </a:r>
          <a:r>
            <a:rPr lang="en-GB" sz="1000" b="1">
              <a:solidFill>
                <a:sysClr val="windowText" lastClr="000000"/>
              </a:solidFill>
              <a:latin typeface="Arial" panose="020B0604020202020204" pitchFamily="34" charset="0"/>
              <a:cs typeface="Arial" panose="020B0604020202020204" pitchFamily="34" charset="0"/>
            </a:rPr>
            <a:t>ratio:</a:t>
          </a:r>
        </a:p>
      </xdr:txBody>
    </xdr:sp>
    <xdr:clientData/>
  </xdr:twoCellAnchor>
  <xdr:twoCellAnchor>
    <xdr:from>
      <xdr:col>2</xdr:col>
      <xdr:colOff>116849</xdr:colOff>
      <xdr:row>10</xdr:row>
      <xdr:rowOff>76194</xdr:rowOff>
    </xdr:from>
    <xdr:to>
      <xdr:col>4</xdr:col>
      <xdr:colOff>439349</xdr:colOff>
      <xdr:row>11</xdr:row>
      <xdr:rowOff>66669</xdr:rowOff>
    </xdr:to>
    <xdr:sp macro="" textlink="$N$12">
      <xdr:nvSpPr>
        <xdr:cNvPr id="13" name="TextBox 12">
          <a:extLst>
            <a:ext uri="{FF2B5EF4-FFF2-40B4-BE49-F238E27FC236}">
              <a16:creationId xmlns:a16="http://schemas.microsoft.com/office/drawing/2014/main" id="{00000000-0008-0000-0300-00000D000000}"/>
            </a:ext>
          </a:extLst>
        </xdr:cNvPr>
        <xdr:cNvSpPr txBox="1"/>
      </xdr:nvSpPr>
      <xdr:spPr>
        <a:xfrm>
          <a:off x="1450349" y="1981194"/>
          <a:ext cx="1656000" cy="180975"/>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9EDCD0E-87FD-4AED-9445-7135B2EC9AB3}" type="TxLink">
            <a:rPr lang="en-US" sz="1000" b="1" i="0" u="none" strike="noStrike">
              <a:solidFill>
                <a:srgbClr val="000000"/>
              </a:solidFill>
              <a:latin typeface="Arial" panose="020B0604020202020204" pitchFamily="34" charset="0"/>
              <a:cs typeface="Arial" panose="020B0604020202020204" pitchFamily="34" charset="0"/>
            </a:rPr>
            <a:pPr algn="l"/>
            <a:t> </a:t>
          </a:fld>
          <a:endParaRPr lang="en-GB" sz="1000" b="1">
            <a:latin typeface="Arial" panose="020B0604020202020204" pitchFamily="34" charset="0"/>
            <a:cs typeface="Arial" panose="020B0604020202020204" pitchFamily="34" charset="0"/>
          </a:endParaRPr>
        </a:p>
      </xdr:txBody>
    </xdr:sp>
    <xdr:clientData/>
  </xdr:twoCellAnchor>
  <xdr:twoCellAnchor>
    <xdr:from>
      <xdr:col>0</xdr:col>
      <xdr:colOff>9710</xdr:colOff>
      <xdr:row>11</xdr:row>
      <xdr:rowOff>95243</xdr:rowOff>
    </xdr:from>
    <xdr:to>
      <xdr:col>0</xdr:col>
      <xdr:colOff>562851</xdr:colOff>
      <xdr:row>13</xdr:row>
      <xdr:rowOff>145744</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9710" y="2190743"/>
          <a:ext cx="553141" cy="491032"/>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baseline="0">
              <a:solidFill>
                <a:sysClr val="windowText" lastClr="000000"/>
              </a:solidFill>
              <a:latin typeface="Arial" panose="020B0604020202020204" pitchFamily="34" charset="0"/>
              <a:cs typeface="Arial" panose="020B0604020202020204" pitchFamily="34" charset="0"/>
            </a:rPr>
            <a:t>ICER:</a:t>
          </a:r>
          <a:endParaRPr lang="en-GB" sz="10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0</xdr:col>
      <xdr:colOff>658349</xdr:colOff>
      <xdr:row>11</xdr:row>
      <xdr:rowOff>95243</xdr:rowOff>
    </xdr:from>
    <xdr:to>
      <xdr:col>4</xdr:col>
      <xdr:colOff>439349</xdr:colOff>
      <xdr:row>13</xdr:row>
      <xdr:rowOff>145743</xdr:rowOff>
    </xdr:to>
    <xdr:sp macro="" textlink="$N$13">
      <xdr:nvSpPr>
        <xdr:cNvPr id="17" name="TextBox 16">
          <a:extLst>
            <a:ext uri="{FF2B5EF4-FFF2-40B4-BE49-F238E27FC236}">
              <a16:creationId xmlns:a16="http://schemas.microsoft.com/office/drawing/2014/main" id="{00000000-0008-0000-0300-000011000000}"/>
            </a:ext>
          </a:extLst>
        </xdr:cNvPr>
        <xdr:cNvSpPr txBox="1"/>
      </xdr:nvSpPr>
      <xdr:spPr>
        <a:xfrm>
          <a:off x="658349" y="2190743"/>
          <a:ext cx="2448000" cy="491031"/>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58F0658-685B-4DE8-9A94-864639E34E41}" type="TxLink">
            <a:rPr lang="en-US" sz="1000" b="1" i="0" u="none" strike="noStrike">
              <a:solidFill>
                <a:srgbClr val="000000"/>
              </a:solidFill>
              <a:latin typeface="Arial"/>
              <a:cs typeface="Arial"/>
            </a:rPr>
            <a:pPr algn="l"/>
            <a:t>£4,965</a:t>
          </a:fld>
          <a:endParaRPr lang="en-GB" sz="1000" b="1">
            <a:latin typeface="Arial" panose="020B0604020202020204" pitchFamily="34" charset="0"/>
            <a:cs typeface="Arial" panose="020B0604020202020204" pitchFamily="34" charset="0"/>
          </a:endParaRPr>
        </a:p>
      </xdr:txBody>
    </xdr:sp>
    <xdr:clientData/>
  </xdr:twoCellAnchor>
  <xdr:twoCellAnchor>
    <xdr:from>
      <xdr:col>4</xdr:col>
      <xdr:colOff>509379</xdr:colOff>
      <xdr:row>11</xdr:row>
      <xdr:rowOff>95244</xdr:rowOff>
    </xdr:from>
    <xdr:to>
      <xdr:col>6</xdr:col>
      <xdr:colOff>118399</xdr:colOff>
      <xdr:row>13</xdr:row>
      <xdr:rowOff>145459</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3176379" y="2190744"/>
          <a:ext cx="942520" cy="490746"/>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solidFill>
                <a:sysClr val="windowText" lastClr="000000"/>
              </a:solidFill>
              <a:latin typeface="Arial" panose="020B0604020202020204" pitchFamily="34" charset="0"/>
              <a:cs typeface="Arial" panose="020B0604020202020204" pitchFamily="34" charset="0"/>
            </a:rPr>
            <a:t>Cost saving evidence:</a:t>
          </a:r>
        </a:p>
      </xdr:txBody>
    </xdr:sp>
    <xdr:clientData/>
  </xdr:twoCellAnchor>
  <xdr:twoCellAnchor>
    <xdr:from>
      <xdr:col>6</xdr:col>
      <xdr:colOff>149849</xdr:colOff>
      <xdr:row>11</xdr:row>
      <xdr:rowOff>95141</xdr:rowOff>
    </xdr:from>
    <xdr:to>
      <xdr:col>10</xdr:col>
      <xdr:colOff>2849</xdr:colOff>
      <xdr:row>13</xdr:row>
      <xdr:rowOff>137176</xdr:rowOff>
    </xdr:to>
    <xdr:sp macro="" textlink="$N$14">
      <xdr:nvSpPr>
        <xdr:cNvPr id="19" name="TextBox 18">
          <a:extLst>
            <a:ext uri="{FF2B5EF4-FFF2-40B4-BE49-F238E27FC236}">
              <a16:creationId xmlns:a16="http://schemas.microsoft.com/office/drawing/2014/main" id="{00000000-0008-0000-0300-000013000000}"/>
            </a:ext>
          </a:extLst>
        </xdr:cNvPr>
        <xdr:cNvSpPr txBox="1"/>
      </xdr:nvSpPr>
      <xdr:spPr>
        <a:xfrm>
          <a:off x="4150349" y="2190641"/>
          <a:ext cx="2520000" cy="482566"/>
        </a:xfrm>
        <a:prstGeom prst="rect">
          <a:avLst/>
        </a:prstGeom>
        <a:solidFill>
          <a:schemeClr val="bg1"/>
        </a:solidFill>
        <a:ln w="63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79822EB-1EBA-4612-9E5A-833D6A7F4D51}" type="TxLink">
            <a:rPr lang="en-US" sz="1000" b="1" i="0" u="none" strike="noStrike">
              <a:solidFill>
                <a:srgbClr val="000000"/>
              </a:solidFill>
              <a:latin typeface="Arial" panose="020B0604020202020204" pitchFamily="34" charset="0"/>
              <a:cs typeface="Arial" panose="020B0604020202020204" pitchFamily="34" charset="0"/>
            </a:rPr>
            <a:pPr algn="l"/>
            <a:t> </a:t>
          </a:fld>
          <a:endParaRPr lang="en-GB" sz="1000" b="1">
            <a:latin typeface="Arial" panose="020B0604020202020204" pitchFamily="34" charset="0"/>
            <a:cs typeface="Arial" panose="020B0604020202020204" pitchFamily="34" charset="0"/>
          </a:endParaRPr>
        </a:p>
      </xdr:txBody>
    </xdr:sp>
    <xdr:clientData/>
  </xdr:twoCellAnchor>
  <xdr:twoCellAnchor>
    <xdr:from>
      <xdr:col>0</xdr:col>
      <xdr:colOff>10182</xdr:colOff>
      <xdr:row>26</xdr:row>
      <xdr:rowOff>56127</xdr:rowOff>
    </xdr:from>
    <xdr:to>
      <xdr:col>1</xdr:col>
      <xdr:colOff>91109</xdr:colOff>
      <xdr:row>28</xdr:row>
      <xdr:rowOff>143127</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0182" y="5068658"/>
          <a:ext cx="747677" cy="468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Type of analysis:</a:t>
          </a:r>
        </a:p>
      </xdr:txBody>
    </xdr:sp>
    <xdr:clientData/>
  </xdr:twoCellAnchor>
  <xdr:twoCellAnchor>
    <xdr:from>
      <xdr:col>1</xdr:col>
      <xdr:colOff>123825</xdr:colOff>
      <xdr:row>26</xdr:row>
      <xdr:rowOff>56127</xdr:rowOff>
    </xdr:from>
    <xdr:to>
      <xdr:col>4</xdr:col>
      <xdr:colOff>239025</xdr:colOff>
      <xdr:row>28</xdr:row>
      <xdr:rowOff>143127</xdr:rowOff>
    </xdr:to>
    <xdr:sp macro="" textlink="$N$16">
      <xdr:nvSpPr>
        <xdr:cNvPr id="23" name="TextBox 22">
          <a:extLst>
            <a:ext uri="{FF2B5EF4-FFF2-40B4-BE49-F238E27FC236}">
              <a16:creationId xmlns:a16="http://schemas.microsoft.com/office/drawing/2014/main" id="{00000000-0008-0000-0300-000017000000}"/>
            </a:ext>
          </a:extLst>
        </xdr:cNvPr>
        <xdr:cNvSpPr txBox="1"/>
      </xdr:nvSpPr>
      <xdr:spPr>
        <a:xfrm>
          <a:off x="790575" y="5068658"/>
          <a:ext cx="2115450" cy="468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37773FB-4A05-4AF7-823D-3608E6B4DCCE}" type="TxLink">
            <a:rPr lang="en-US" sz="1000" b="0" i="0" u="none" strike="noStrike">
              <a:solidFill>
                <a:srgbClr val="000000"/>
              </a:solidFill>
              <a:latin typeface="Arial" panose="020B0604020202020204" pitchFamily="34" charset="0"/>
              <a:cs typeface="Arial" panose="020B0604020202020204" pitchFamily="34" charset="0"/>
            </a:rPr>
            <a:pPr algn="l"/>
            <a:t>Cost-utility analysis</a:t>
          </a:fld>
          <a:endParaRPr lang="en-GB" sz="1000">
            <a:latin typeface="Arial" panose="020B0604020202020204" pitchFamily="34" charset="0"/>
            <a:cs typeface="Arial" panose="020B0604020202020204" pitchFamily="34" charset="0"/>
          </a:endParaRPr>
        </a:p>
      </xdr:txBody>
    </xdr:sp>
    <xdr:clientData/>
  </xdr:twoCellAnchor>
  <xdr:twoCellAnchor>
    <xdr:from>
      <xdr:col>5</xdr:col>
      <xdr:colOff>307975</xdr:colOff>
      <xdr:row>26</xdr:row>
      <xdr:rowOff>56127</xdr:rowOff>
    </xdr:from>
    <xdr:to>
      <xdr:col>6</xdr:col>
      <xdr:colOff>454375</xdr:colOff>
      <xdr:row>28</xdr:row>
      <xdr:rowOff>143127</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3641725" y="5068658"/>
          <a:ext cx="813150" cy="468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Type of evidence:</a:t>
          </a:r>
        </a:p>
      </xdr:txBody>
    </xdr:sp>
    <xdr:clientData/>
  </xdr:twoCellAnchor>
  <xdr:twoCellAnchor>
    <xdr:from>
      <xdr:col>6</xdr:col>
      <xdr:colOff>497215</xdr:colOff>
      <xdr:row>26</xdr:row>
      <xdr:rowOff>56127</xdr:rowOff>
    </xdr:from>
    <xdr:to>
      <xdr:col>10</xdr:col>
      <xdr:colOff>2900</xdr:colOff>
      <xdr:row>28</xdr:row>
      <xdr:rowOff>143127</xdr:rowOff>
    </xdr:to>
    <xdr:sp macro="" textlink="$N$17">
      <xdr:nvSpPr>
        <xdr:cNvPr id="25" name="TextBox 24">
          <a:extLst>
            <a:ext uri="{FF2B5EF4-FFF2-40B4-BE49-F238E27FC236}">
              <a16:creationId xmlns:a16="http://schemas.microsoft.com/office/drawing/2014/main" id="{00000000-0008-0000-0300-000019000000}"/>
            </a:ext>
          </a:extLst>
        </xdr:cNvPr>
        <xdr:cNvSpPr txBox="1"/>
      </xdr:nvSpPr>
      <xdr:spPr>
        <a:xfrm>
          <a:off x="4497715" y="5068658"/>
          <a:ext cx="2172685" cy="468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4203DE9-9142-4E3F-B9D6-C75270DE7B56}" type="TxLink">
            <a:rPr lang="en-US" sz="1000" b="0" i="0" u="none" strike="noStrike">
              <a:solidFill>
                <a:srgbClr val="000000"/>
              </a:solidFill>
              <a:latin typeface="Arial" panose="020B0604020202020204" pitchFamily="34" charset="0"/>
              <a:cs typeface="Arial" panose="020B0604020202020204" pitchFamily="34" charset="0"/>
            </a:rPr>
            <a:pPr algn="l"/>
            <a:t>Published report</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9710</xdr:colOff>
      <xdr:row>29</xdr:row>
      <xdr:rowOff>72673</xdr:rowOff>
    </xdr:from>
    <xdr:to>
      <xdr:col>1</xdr:col>
      <xdr:colOff>554934</xdr:colOff>
      <xdr:row>31</xdr:row>
      <xdr:rowOff>148976</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9710" y="5597173"/>
          <a:ext cx="1211974" cy="45730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Study population:</a:t>
          </a:r>
        </a:p>
      </xdr:txBody>
    </xdr:sp>
    <xdr:clientData/>
  </xdr:twoCellAnchor>
  <xdr:twoCellAnchor>
    <xdr:from>
      <xdr:col>1</xdr:col>
      <xdr:colOff>631720</xdr:colOff>
      <xdr:row>29</xdr:row>
      <xdr:rowOff>72673</xdr:rowOff>
    </xdr:from>
    <xdr:to>
      <xdr:col>10</xdr:col>
      <xdr:colOff>2900</xdr:colOff>
      <xdr:row>31</xdr:row>
      <xdr:rowOff>159673</xdr:rowOff>
    </xdr:to>
    <xdr:sp macro="" textlink="$N$18">
      <xdr:nvSpPr>
        <xdr:cNvPr id="27" name="TextBox 26">
          <a:extLst>
            <a:ext uri="{FF2B5EF4-FFF2-40B4-BE49-F238E27FC236}">
              <a16:creationId xmlns:a16="http://schemas.microsoft.com/office/drawing/2014/main" id="{00000000-0008-0000-0300-00001B000000}"/>
            </a:ext>
          </a:extLst>
        </xdr:cNvPr>
        <xdr:cNvSpPr txBox="1"/>
      </xdr:nvSpPr>
      <xdr:spPr>
        <a:xfrm>
          <a:off x="1298470" y="5597173"/>
          <a:ext cx="5371930" cy="468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C2F0395-A132-4ABB-BA0F-CAA920A19B72}" type="TxLink">
            <a:rPr lang="en-US" sz="1000" b="0" i="0" u="none" strike="noStrike">
              <a:solidFill>
                <a:srgbClr val="000000"/>
              </a:solidFill>
              <a:latin typeface="Arial" panose="020B0604020202020204" pitchFamily="34" charset="0"/>
              <a:cs typeface="Arial" panose="020B0604020202020204" pitchFamily="34" charset="0"/>
            </a:rPr>
            <a:pPr algn="l"/>
            <a:t>Sexually active 11-16 year olds.</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9709</xdr:colOff>
      <xdr:row>9</xdr:row>
      <xdr:rowOff>32914</xdr:rowOff>
    </xdr:from>
    <xdr:to>
      <xdr:col>2</xdr:col>
      <xdr:colOff>44209</xdr:colOff>
      <xdr:row>10</xdr:row>
      <xdr:rowOff>26763</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9709" y="1747414"/>
          <a:ext cx="1368000" cy="18434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Comparator:</a:t>
          </a:r>
        </a:p>
      </xdr:txBody>
    </xdr:sp>
    <xdr:clientData/>
  </xdr:twoCellAnchor>
  <xdr:twoCellAnchor>
    <xdr:from>
      <xdr:col>2</xdr:col>
      <xdr:colOff>116849</xdr:colOff>
      <xdr:row>9</xdr:row>
      <xdr:rowOff>38393</xdr:rowOff>
    </xdr:from>
    <xdr:to>
      <xdr:col>10</xdr:col>
      <xdr:colOff>2849</xdr:colOff>
      <xdr:row>10</xdr:row>
      <xdr:rowOff>26458</xdr:rowOff>
    </xdr:to>
    <xdr:sp macro="" textlink="$N$19">
      <xdr:nvSpPr>
        <xdr:cNvPr id="29" name="TextBox 28">
          <a:extLst>
            <a:ext uri="{FF2B5EF4-FFF2-40B4-BE49-F238E27FC236}">
              <a16:creationId xmlns:a16="http://schemas.microsoft.com/office/drawing/2014/main" id="{00000000-0008-0000-0300-00001D000000}"/>
            </a:ext>
          </a:extLst>
        </xdr:cNvPr>
        <xdr:cNvSpPr txBox="1"/>
      </xdr:nvSpPr>
      <xdr:spPr>
        <a:xfrm>
          <a:off x="1450349" y="1752893"/>
          <a:ext cx="5220000" cy="17856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1AB8C97-C970-4587-A1D2-BE6057E21034}" type="TxLink">
            <a:rPr lang="en-US" sz="1000" b="0" i="0" u="none" strike="noStrike">
              <a:solidFill>
                <a:srgbClr val="000000"/>
              </a:solidFill>
              <a:latin typeface="Arial"/>
              <a:cs typeface="Arial"/>
            </a:rPr>
            <a:pPr algn="l"/>
            <a:t>No intervention</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8955</xdr:colOff>
      <xdr:row>32</xdr:row>
      <xdr:rowOff>18651</xdr:rowOff>
    </xdr:from>
    <xdr:to>
      <xdr:col>2</xdr:col>
      <xdr:colOff>564172</xdr:colOff>
      <xdr:row>32</xdr:row>
      <xdr:rowOff>183173</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8955" y="6114651"/>
          <a:ext cx="1888717" cy="164522"/>
        </a:xfrm>
        <a:prstGeom prst="rect">
          <a:avLst/>
        </a:prstGeom>
        <a:solidFill>
          <a:srgbClr val="8224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1">
              <a:solidFill>
                <a:schemeClr val="bg1"/>
              </a:solidFill>
              <a:latin typeface="Arial" panose="020B0604020202020204" pitchFamily="34" charset="0"/>
              <a:cs typeface="Arial" panose="020B0604020202020204" pitchFamily="34" charset="0"/>
            </a:rPr>
            <a:t>ASSUMPTIONS / CAVEATS:</a:t>
          </a:r>
        </a:p>
      </xdr:txBody>
    </xdr:sp>
    <xdr:clientData/>
  </xdr:twoCellAnchor>
  <xdr:twoCellAnchor>
    <xdr:from>
      <xdr:col>0</xdr:col>
      <xdr:colOff>13138</xdr:colOff>
      <xdr:row>45</xdr:row>
      <xdr:rowOff>82046</xdr:rowOff>
    </xdr:from>
    <xdr:to>
      <xdr:col>1</xdr:col>
      <xdr:colOff>254400</xdr:colOff>
      <xdr:row>46</xdr:row>
      <xdr:rowOff>71546</xdr:rowOff>
    </xdr:to>
    <xdr:sp macro="" textlink="">
      <xdr:nvSpPr>
        <xdr:cNvPr id="87048" name="TextBox 87047">
          <a:extLst>
            <a:ext uri="{FF2B5EF4-FFF2-40B4-BE49-F238E27FC236}">
              <a16:creationId xmlns:a16="http://schemas.microsoft.com/office/drawing/2014/main" id="{00000000-0008-0000-0300-000008540100}"/>
            </a:ext>
          </a:extLst>
        </xdr:cNvPr>
        <xdr:cNvSpPr txBox="1"/>
      </xdr:nvSpPr>
      <xdr:spPr>
        <a:xfrm>
          <a:off x="13138" y="8710575"/>
          <a:ext cx="913615"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Timeframe:</a:t>
          </a:r>
        </a:p>
      </xdr:txBody>
    </xdr:sp>
    <xdr:clientData/>
  </xdr:twoCellAnchor>
  <xdr:twoCellAnchor>
    <xdr:from>
      <xdr:col>1</xdr:col>
      <xdr:colOff>307764</xdr:colOff>
      <xdr:row>45</xdr:row>
      <xdr:rowOff>82046</xdr:rowOff>
    </xdr:from>
    <xdr:to>
      <xdr:col>3</xdr:col>
      <xdr:colOff>594264</xdr:colOff>
      <xdr:row>46</xdr:row>
      <xdr:rowOff>71546</xdr:rowOff>
    </xdr:to>
    <xdr:sp macro="" textlink="$N$21">
      <xdr:nvSpPr>
        <xdr:cNvPr id="87049" name="TextBox 87048">
          <a:extLst>
            <a:ext uri="{FF2B5EF4-FFF2-40B4-BE49-F238E27FC236}">
              <a16:creationId xmlns:a16="http://schemas.microsoft.com/office/drawing/2014/main" id="{00000000-0008-0000-0300-000009540100}"/>
            </a:ext>
          </a:extLst>
        </xdr:cNvPr>
        <xdr:cNvSpPr txBox="1"/>
      </xdr:nvSpPr>
      <xdr:spPr>
        <a:xfrm>
          <a:off x="980117" y="8710575"/>
          <a:ext cx="1631206"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39D4B2-8609-416C-B8C5-EB1F28BC2960}" type="TxLink">
            <a:rPr lang="en-US" sz="1000" b="0" i="0" u="none" strike="noStrike">
              <a:solidFill>
                <a:srgbClr val="000000"/>
              </a:solidFill>
              <a:latin typeface="Arial" panose="020B0604020202020204" pitchFamily="34" charset="0"/>
              <a:cs typeface="Arial" panose="020B0604020202020204" pitchFamily="34" charset="0"/>
            </a:rPr>
            <a:pPr algn="l"/>
            <a:t>7 years</a:t>
          </a:fld>
          <a:endParaRPr lang="en-GB" sz="1000">
            <a:latin typeface="Arial" panose="020B0604020202020204" pitchFamily="34" charset="0"/>
            <a:cs typeface="Arial" panose="020B0604020202020204" pitchFamily="34" charset="0"/>
          </a:endParaRPr>
        </a:p>
      </xdr:txBody>
    </xdr:sp>
    <xdr:clientData/>
  </xdr:twoCellAnchor>
  <xdr:twoCellAnchor>
    <xdr:from>
      <xdr:col>6</xdr:col>
      <xdr:colOff>326246</xdr:colOff>
      <xdr:row>45</xdr:row>
      <xdr:rowOff>82046</xdr:rowOff>
    </xdr:from>
    <xdr:to>
      <xdr:col>7</xdr:col>
      <xdr:colOff>508646</xdr:colOff>
      <xdr:row>46</xdr:row>
      <xdr:rowOff>71546</xdr:rowOff>
    </xdr:to>
    <xdr:sp macro="" textlink="">
      <xdr:nvSpPr>
        <xdr:cNvPr id="87050" name="TextBox 87049">
          <a:extLst>
            <a:ext uri="{FF2B5EF4-FFF2-40B4-BE49-F238E27FC236}">
              <a16:creationId xmlns:a16="http://schemas.microsoft.com/office/drawing/2014/main" id="{00000000-0008-0000-0300-00000A540100}"/>
            </a:ext>
          </a:extLst>
        </xdr:cNvPr>
        <xdr:cNvSpPr txBox="1"/>
      </xdr:nvSpPr>
      <xdr:spPr>
        <a:xfrm>
          <a:off x="4360364" y="8710575"/>
          <a:ext cx="854753"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Who pays:</a:t>
          </a:r>
        </a:p>
      </xdr:txBody>
    </xdr:sp>
    <xdr:clientData/>
  </xdr:twoCellAnchor>
  <xdr:twoCellAnchor>
    <xdr:from>
      <xdr:col>7</xdr:col>
      <xdr:colOff>542963</xdr:colOff>
      <xdr:row>45</xdr:row>
      <xdr:rowOff>82046</xdr:rowOff>
    </xdr:from>
    <xdr:to>
      <xdr:col>9</xdr:col>
      <xdr:colOff>649463</xdr:colOff>
      <xdr:row>46</xdr:row>
      <xdr:rowOff>71546</xdr:rowOff>
    </xdr:to>
    <xdr:sp macro="" textlink="$N$22">
      <xdr:nvSpPr>
        <xdr:cNvPr id="87051" name="TextBox 87050">
          <a:extLst>
            <a:ext uri="{FF2B5EF4-FFF2-40B4-BE49-F238E27FC236}">
              <a16:creationId xmlns:a16="http://schemas.microsoft.com/office/drawing/2014/main" id="{00000000-0008-0000-0300-00000B540100}"/>
            </a:ext>
          </a:extLst>
        </xdr:cNvPr>
        <xdr:cNvSpPr txBox="1"/>
      </xdr:nvSpPr>
      <xdr:spPr>
        <a:xfrm>
          <a:off x="5249434" y="8710575"/>
          <a:ext cx="1451205"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2B28863-A66F-4B0C-AD45-A5D8EF562BA1}" type="TxLink">
            <a:rPr lang="en-US" sz="1000" b="0" i="0" u="none" strike="noStrike">
              <a:solidFill>
                <a:srgbClr val="000000"/>
              </a:solidFill>
              <a:latin typeface="Arial" panose="020B0604020202020204" pitchFamily="34" charset="0"/>
              <a:cs typeface="Arial" panose="020B0604020202020204" pitchFamily="34" charset="0"/>
            </a:rPr>
            <a:pPr algn="l"/>
            <a:t>LA</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19707</xdr:colOff>
      <xdr:row>46</xdr:row>
      <xdr:rowOff>140074</xdr:rowOff>
    </xdr:from>
    <xdr:to>
      <xdr:col>2</xdr:col>
      <xdr:colOff>4800</xdr:colOff>
      <xdr:row>48</xdr:row>
      <xdr:rowOff>149599</xdr:rowOff>
    </xdr:to>
    <xdr:sp macro="" textlink="">
      <xdr:nvSpPr>
        <xdr:cNvPr id="87052" name="TextBox 87051">
          <a:extLst>
            <a:ext uri="{FF2B5EF4-FFF2-40B4-BE49-F238E27FC236}">
              <a16:creationId xmlns:a16="http://schemas.microsoft.com/office/drawing/2014/main" id="{00000000-0008-0000-0300-00000C540100}"/>
            </a:ext>
          </a:extLst>
        </xdr:cNvPr>
        <xdr:cNvSpPr txBox="1"/>
      </xdr:nvSpPr>
      <xdr:spPr>
        <a:xfrm>
          <a:off x="19707" y="8959103"/>
          <a:ext cx="1329799" cy="39052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Measured benefit of evidence:</a:t>
          </a:r>
        </a:p>
      </xdr:txBody>
    </xdr:sp>
    <xdr:clientData/>
  </xdr:twoCellAnchor>
  <xdr:twoCellAnchor>
    <xdr:from>
      <xdr:col>2</xdr:col>
      <xdr:colOff>47625</xdr:colOff>
      <xdr:row>46</xdr:row>
      <xdr:rowOff>140074</xdr:rowOff>
    </xdr:from>
    <xdr:to>
      <xdr:col>9</xdr:col>
      <xdr:colOff>638175</xdr:colOff>
      <xdr:row>48</xdr:row>
      <xdr:rowOff>159123</xdr:rowOff>
    </xdr:to>
    <xdr:sp macro="" textlink="$N$23">
      <xdr:nvSpPr>
        <xdr:cNvPr id="87053" name="TextBox 87052">
          <a:extLst>
            <a:ext uri="{FF2B5EF4-FFF2-40B4-BE49-F238E27FC236}">
              <a16:creationId xmlns:a16="http://schemas.microsoft.com/office/drawing/2014/main" id="{00000000-0008-0000-0300-00000D540100}"/>
            </a:ext>
          </a:extLst>
        </xdr:cNvPr>
        <xdr:cNvSpPr txBox="1"/>
      </xdr:nvSpPr>
      <xdr:spPr>
        <a:xfrm>
          <a:off x="1392331" y="8959103"/>
          <a:ext cx="5297020" cy="40004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91435E3-51F2-4342-90ED-95675685F77E}" type="TxLink">
            <a:rPr lang="en-US" sz="1000" b="0" i="0" u="none" strike="noStrike">
              <a:solidFill>
                <a:srgbClr val="000000"/>
              </a:solidFill>
              <a:latin typeface="Arial" panose="020B0604020202020204" pitchFamily="34" charset="0"/>
              <a:cs typeface="Arial" panose="020B0604020202020204" pitchFamily="34" charset="0"/>
            </a:rPr>
            <a:pPr algn="l"/>
            <a:t>QALY gains for service users, NHS savings</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19707</xdr:colOff>
      <xdr:row>49</xdr:row>
      <xdr:rowOff>40342</xdr:rowOff>
    </xdr:from>
    <xdr:to>
      <xdr:col>1</xdr:col>
      <xdr:colOff>110400</xdr:colOff>
      <xdr:row>50</xdr:row>
      <xdr:rowOff>29842</xdr:rowOff>
    </xdr:to>
    <xdr:sp macro="" textlink="">
      <xdr:nvSpPr>
        <xdr:cNvPr id="87054" name="TextBox 87053">
          <a:extLst>
            <a:ext uri="{FF2B5EF4-FFF2-40B4-BE49-F238E27FC236}">
              <a16:creationId xmlns:a16="http://schemas.microsoft.com/office/drawing/2014/main" id="{00000000-0008-0000-0300-00000E540100}"/>
            </a:ext>
          </a:extLst>
        </xdr:cNvPr>
        <xdr:cNvSpPr txBox="1"/>
      </xdr:nvSpPr>
      <xdr:spPr>
        <a:xfrm>
          <a:off x="19707" y="9430871"/>
          <a:ext cx="763046"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Country:</a:t>
          </a:r>
        </a:p>
        <a:p>
          <a:endParaRPr lang="en-GB" sz="1000" b="1">
            <a:latin typeface="Arial" panose="020B0604020202020204" pitchFamily="34" charset="0"/>
            <a:cs typeface="Arial" panose="020B0604020202020204" pitchFamily="34" charset="0"/>
          </a:endParaRPr>
        </a:p>
      </xdr:txBody>
    </xdr:sp>
    <xdr:clientData/>
  </xdr:twoCellAnchor>
  <xdr:twoCellAnchor>
    <xdr:from>
      <xdr:col>1</xdr:col>
      <xdr:colOff>156894</xdr:colOff>
      <xdr:row>49</xdr:row>
      <xdr:rowOff>40342</xdr:rowOff>
    </xdr:from>
    <xdr:to>
      <xdr:col>3</xdr:col>
      <xdr:colOff>299394</xdr:colOff>
      <xdr:row>50</xdr:row>
      <xdr:rowOff>29842</xdr:rowOff>
    </xdr:to>
    <xdr:sp macro="" textlink="$N$24">
      <xdr:nvSpPr>
        <xdr:cNvPr id="87055" name="TextBox 87054">
          <a:extLst>
            <a:ext uri="{FF2B5EF4-FFF2-40B4-BE49-F238E27FC236}">
              <a16:creationId xmlns:a16="http://schemas.microsoft.com/office/drawing/2014/main" id="{00000000-0008-0000-0300-00000F540100}"/>
            </a:ext>
          </a:extLst>
        </xdr:cNvPr>
        <xdr:cNvSpPr txBox="1"/>
      </xdr:nvSpPr>
      <xdr:spPr>
        <a:xfrm>
          <a:off x="829247" y="9430871"/>
          <a:ext cx="1487206"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9DD27F5-9EBF-4D1E-B652-411EC9867E8D}" type="TxLink">
            <a:rPr lang="en-US" sz="1000" b="0" i="0" u="none" strike="noStrike">
              <a:solidFill>
                <a:srgbClr val="000000"/>
              </a:solidFill>
              <a:latin typeface="Arial" panose="020B0604020202020204" pitchFamily="34" charset="0"/>
              <a:cs typeface="Arial" panose="020B0604020202020204" pitchFamily="34" charset="0"/>
            </a:rPr>
            <a:pPr algn="l"/>
            <a:t>England</a:t>
          </a:fld>
          <a:endParaRPr lang="en-GB" sz="1000">
            <a:latin typeface="Arial" panose="020B0604020202020204" pitchFamily="34" charset="0"/>
            <a:cs typeface="Arial" panose="020B0604020202020204" pitchFamily="34" charset="0"/>
          </a:endParaRPr>
        </a:p>
      </xdr:txBody>
    </xdr:sp>
    <xdr:clientData/>
  </xdr:twoCellAnchor>
  <xdr:twoCellAnchor>
    <xdr:from>
      <xdr:col>3</xdr:col>
      <xdr:colOff>356034</xdr:colOff>
      <xdr:row>49</xdr:row>
      <xdr:rowOff>40342</xdr:rowOff>
    </xdr:from>
    <xdr:to>
      <xdr:col>5</xdr:col>
      <xdr:colOff>67828</xdr:colOff>
      <xdr:row>50</xdr:row>
      <xdr:rowOff>29842</xdr:rowOff>
    </xdr:to>
    <xdr:sp macro="" textlink="">
      <xdr:nvSpPr>
        <xdr:cNvPr id="87056" name="TextBox 87055">
          <a:extLst>
            <a:ext uri="{FF2B5EF4-FFF2-40B4-BE49-F238E27FC236}">
              <a16:creationId xmlns:a16="http://schemas.microsoft.com/office/drawing/2014/main" id="{00000000-0008-0000-0300-000010540100}"/>
            </a:ext>
          </a:extLst>
        </xdr:cNvPr>
        <xdr:cNvSpPr txBox="1"/>
      </xdr:nvSpPr>
      <xdr:spPr>
        <a:xfrm>
          <a:off x="2373093" y="9430871"/>
          <a:ext cx="1056500"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Discount rate:</a:t>
          </a:r>
        </a:p>
      </xdr:txBody>
    </xdr:sp>
    <xdr:clientData/>
  </xdr:twoCellAnchor>
  <xdr:twoCellAnchor>
    <xdr:from>
      <xdr:col>5</xdr:col>
      <xdr:colOff>96573</xdr:colOff>
      <xdr:row>49</xdr:row>
      <xdr:rowOff>40342</xdr:rowOff>
    </xdr:from>
    <xdr:to>
      <xdr:col>7</xdr:col>
      <xdr:colOff>23073</xdr:colOff>
      <xdr:row>50</xdr:row>
      <xdr:rowOff>29842</xdr:rowOff>
    </xdr:to>
    <xdr:sp macro="" textlink="$N$25">
      <xdr:nvSpPr>
        <xdr:cNvPr id="87057" name="TextBox 87056">
          <a:extLst>
            <a:ext uri="{FF2B5EF4-FFF2-40B4-BE49-F238E27FC236}">
              <a16:creationId xmlns:a16="http://schemas.microsoft.com/office/drawing/2014/main" id="{00000000-0008-0000-0300-000011540100}"/>
            </a:ext>
          </a:extLst>
        </xdr:cNvPr>
        <xdr:cNvSpPr txBox="1"/>
      </xdr:nvSpPr>
      <xdr:spPr>
        <a:xfrm>
          <a:off x="3458338" y="9430871"/>
          <a:ext cx="1271206"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E140E0B-DC7C-48AD-AF46-ACCBA12E61B2}" type="TxLink">
            <a:rPr lang="en-US" sz="1000" b="0" i="0" u="none" strike="noStrike">
              <a:solidFill>
                <a:srgbClr val="000000"/>
              </a:solidFill>
              <a:latin typeface="Arial" panose="020B0604020202020204" pitchFamily="34" charset="0"/>
              <a:cs typeface="Arial" panose="020B0604020202020204" pitchFamily="34" charset="0"/>
            </a:rPr>
            <a:pPr algn="l"/>
            <a:t>3.5%</a:t>
          </a:fld>
          <a:endParaRPr lang="en-GB" sz="1000">
            <a:latin typeface="Arial" panose="020B0604020202020204" pitchFamily="34" charset="0"/>
            <a:cs typeface="Arial" panose="020B0604020202020204" pitchFamily="34" charset="0"/>
          </a:endParaRPr>
        </a:p>
      </xdr:txBody>
    </xdr:sp>
    <xdr:clientData/>
  </xdr:twoCellAnchor>
  <xdr:twoCellAnchor>
    <xdr:from>
      <xdr:col>7</xdr:col>
      <xdr:colOff>61467</xdr:colOff>
      <xdr:row>49</xdr:row>
      <xdr:rowOff>40342</xdr:rowOff>
    </xdr:from>
    <xdr:to>
      <xdr:col>8</xdr:col>
      <xdr:colOff>185899</xdr:colOff>
      <xdr:row>50</xdr:row>
      <xdr:rowOff>29842</xdr:rowOff>
    </xdr:to>
    <xdr:sp macro="" textlink="">
      <xdr:nvSpPr>
        <xdr:cNvPr id="87058" name="TextBox 87057">
          <a:extLst>
            <a:ext uri="{FF2B5EF4-FFF2-40B4-BE49-F238E27FC236}">
              <a16:creationId xmlns:a16="http://schemas.microsoft.com/office/drawing/2014/main" id="{00000000-0008-0000-0300-000012540100}"/>
            </a:ext>
          </a:extLst>
        </xdr:cNvPr>
        <xdr:cNvSpPr txBox="1"/>
      </xdr:nvSpPr>
      <xdr:spPr>
        <a:xfrm>
          <a:off x="4767938" y="9430871"/>
          <a:ext cx="796785"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Currency:</a:t>
          </a:r>
        </a:p>
      </xdr:txBody>
    </xdr:sp>
    <xdr:clientData/>
  </xdr:twoCellAnchor>
  <xdr:twoCellAnchor>
    <xdr:from>
      <xdr:col>8</xdr:col>
      <xdr:colOff>247248</xdr:colOff>
      <xdr:row>49</xdr:row>
      <xdr:rowOff>40342</xdr:rowOff>
    </xdr:from>
    <xdr:to>
      <xdr:col>10</xdr:col>
      <xdr:colOff>1</xdr:colOff>
      <xdr:row>50</xdr:row>
      <xdr:rowOff>29842</xdr:rowOff>
    </xdr:to>
    <xdr:sp macro="" textlink="$N$26">
      <xdr:nvSpPr>
        <xdr:cNvPr id="87059" name="TextBox 87058">
          <a:extLst>
            <a:ext uri="{FF2B5EF4-FFF2-40B4-BE49-F238E27FC236}">
              <a16:creationId xmlns:a16="http://schemas.microsoft.com/office/drawing/2014/main" id="{00000000-0008-0000-0300-000013540100}"/>
            </a:ext>
          </a:extLst>
        </xdr:cNvPr>
        <xdr:cNvSpPr txBox="1"/>
      </xdr:nvSpPr>
      <xdr:spPr>
        <a:xfrm>
          <a:off x="5626072" y="9430871"/>
          <a:ext cx="1097458" cy="180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781A027-A7D1-4B86-BDAB-231EDBFF0C4B}" type="TxLink">
            <a:rPr lang="en-US" sz="1000" b="0" i="0" u="none" strike="noStrike">
              <a:solidFill>
                <a:srgbClr val="000000"/>
              </a:solidFill>
              <a:latin typeface="Arial" panose="020B0604020202020204" pitchFamily="34" charset="0"/>
              <a:cs typeface="Arial" panose="020B0604020202020204" pitchFamily="34" charset="0"/>
            </a:rPr>
            <a:pPr algn="l"/>
            <a:t>£ GBP 2007/08</a:t>
          </a:fld>
          <a:endParaRPr lang="en-GB" sz="1000">
            <a:latin typeface="Arial" panose="020B0604020202020204" pitchFamily="34" charset="0"/>
            <a:cs typeface="Arial" panose="020B0604020202020204" pitchFamily="34" charset="0"/>
          </a:endParaRPr>
        </a:p>
      </xdr:txBody>
    </xdr:sp>
    <xdr:clientData/>
  </xdr:twoCellAnchor>
  <xdr:twoCellAnchor>
    <xdr:from>
      <xdr:col>0</xdr:col>
      <xdr:colOff>13138</xdr:colOff>
      <xdr:row>50</xdr:row>
      <xdr:rowOff>102535</xdr:rowOff>
    </xdr:from>
    <xdr:to>
      <xdr:col>1</xdr:col>
      <xdr:colOff>342900</xdr:colOff>
      <xdr:row>53</xdr:row>
      <xdr:rowOff>134472</xdr:rowOff>
    </xdr:to>
    <xdr:sp macro="" textlink="">
      <xdr:nvSpPr>
        <xdr:cNvPr id="87060" name="TextBox 87059">
          <a:hlinkClick xmlns:r="http://schemas.openxmlformats.org/officeDocument/2006/relationships" r:id=""/>
          <a:extLst>
            <a:ext uri="{FF2B5EF4-FFF2-40B4-BE49-F238E27FC236}">
              <a16:creationId xmlns:a16="http://schemas.microsoft.com/office/drawing/2014/main" id="{00000000-0008-0000-0300-000014540100}"/>
            </a:ext>
          </a:extLst>
        </xdr:cNvPr>
        <xdr:cNvSpPr txBox="1"/>
      </xdr:nvSpPr>
      <xdr:spPr>
        <a:xfrm>
          <a:off x="13138" y="9683564"/>
          <a:ext cx="1002115" cy="60343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u="none">
              <a:latin typeface="Arial" panose="020B0604020202020204" pitchFamily="34" charset="0"/>
              <a:cs typeface="Arial" panose="020B0604020202020204" pitchFamily="34" charset="0"/>
            </a:rPr>
            <a:t>Reference to original source:</a:t>
          </a:r>
        </a:p>
      </xdr:txBody>
    </xdr:sp>
    <xdr:clientData/>
  </xdr:twoCellAnchor>
  <xdr:twoCellAnchor>
    <xdr:from>
      <xdr:col>0</xdr:col>
      <xdr:colOff>19708</xdr:colOff>
      <xdr:row>53</xdr:row>
      <xdr:rowOff>180669</xdr:rowOff>
    </xdr:from>
    <xdr:to>
      <xdr:col>1</xdr:col>
      <xdr:colOff>549968</xdr:colOff>
      <xdr:row>54</xdr:row>
      <xdr:rowOff>168682</xdr:rowOff>
    </xdr:to>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19708" y="10333198"/>
          <a:ext cx="1202613" cy="17851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b="1">
              <a:latin typeface="Arial" panose="020B0604020202020204" pitchFamily="34" charset="0"/>
              <a:cs typeface="Arial" panose="020B0604020202020204" pitchFamily="34" charset="0"/>
            </a:rPr>
            <a:t>Publication year:</a:t>
          </a:r>
        </a:p>
        <a:p>
          <a:endParaRPr lang="en-GB" sz="1000" b="1">
            <a:latin typeface="Arial" panose="020B0604020202020204" pitchFamily="34" charset="0"/>
            <a:cs typeface="Arial" panose="020B0604020202020204" pitchFamily="34" charset="0"/>
          </a:endParaRPr>
        </a:p>
      </xdr:txBody>
    </xdr:sp>
    <xdr:clientData/>
  </xdr:twoCellAnchor>
  <xdr:twoCellAnchor>
    <xdr:from>
      <xdr:col>2</xdr:col>
      <xdr:colOff>11458</xdr:colOff>
      <xdr:row>53</xdr:row>
      <xdr:rowOff>180669</xdr:rowOff>
    </xdr:from>
    <xdr:to>
      <xdr:col>2</xdr:col>
      <xdr:colOff>503227</xdr:colOff>
      <xdr:row>54</xdr:row>
      <xdr:rowOff>168682</xdr:rowOff>
    </xdr:to>
    <xdr:sp macro="" textlink="$N$27">
      <xdr:nvSpPr>
        <xdr:cNvPr id="62" name="TextBox 61">
          <a:extLst>
            <a:ext uri="{FF2B5EF4-FFF2-40B4-BE49-F238E27FC236}">
              <a16:creationId xmlns:a16="http://schemas.microsoft.com/office/drawing/2014/main" id="{00000000-0008-0000-0300-00003E000000}"/>
            </a:ext>
          </a:extLst>
        </xdr:cNvPr>
        <xdr:cNvSpPr txBox="1"/>
      </xdr:nvSpPr>
      <xdr:spPr>
        <a:xfrm>
          <a:off x="1356164" y="10333198"/>
          <a:ext cx="491769" cy="17851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6B54C83-B33C-41B6-9B8E-B27F2C81CC42}" type="TxLink">
            <a:rPr lang="en-US" sz="1000" b="0" i="0" u="none" strike="noStrike">
              <a:solidFill>
                <a:srgbClr val="000000"/>
              </a:solidFill>
              <a:latin typeface="Arial" panose="020B0604020202020204" pitchFamily="34" charset="0"/>
              <a:cs typeface="Arial" panose="020B0604020202020204" pitchFamily="34" charset="0"/>
            </a:rPr>
            <a:pPr algn="l"/>
            <a:t>2009</a:t>
          </a:fld>
          <a:endParaRPr lang="en-GB" sz="1000">
            <a:latin typeface="Arial" panose="020B0604020202020204" pitchFamily="34" charset="0"/>
            <a:cs typeface="Arial" panose="020B0604020202020204" pitchFamily="34" charset="0"/>
          </a:endParaRPr>
        </a:p>
      </xdr:txBody>
    </xdr:sp>
    <xdr:clientData/>
  </xdr:twoCellAnchor>
  <xdr:twoCellAnchor>
    <xdr:from>
      <xdr:col>8</xdr:col>
      <xdr:colOff>541501</xdr:colOff>
      <xdr:row>53</xdr:row>
      <xdr:rowOff>180669</xdr:rowOff>
    </xdr:from>
    <xdr:to>
      <xdr:col>10</xdr:col>
      <xdr:colOff>1</xdr:colOff>
      <xdr:row>54</xdr:row>
      <xdr:rowOff>168682</xdr:rowOff>
    </xdr:to>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5920325" y="10333198"/>
          <a:ext cx="803205" cy="178513"/>
        </a:xfrm>
        <a:prstGeom prst="rect">
          <a:avLst/>
        </a:prstGeom>
        <a:noFill/>
        <a:ln w="9525" cmpd="sng">
          <a:solidFill>
            <a:sysClr val="windowText" lastClr="000000"/>
          </a:solid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no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8</xdr:col>
      <xdr:colOff>638175</xdr:colOff>
      <xdr:row>6</xdr:row>
      <xdr:rowOff>19051</xdr:rowOff>
    </xdr:from>
    <xdr:to>
      <xdr:col>9</xdr:col>
      <xdr:colOff>333375</xdr:colOff>
      <xdr:row>6</xdr:row>
      <xdr:rowOff>189525</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5972175" y="1162051"/>
          <a:ext cx="361950" cy="17047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000">
              <a:latin typeface="Arial" panose="020B0604020202020204" pitchFamily="34" charset="0"/>
              <a:cs typeface="Arial" panose="020B0604020202020204" pitchFamily="34" charset="0"/>
            </a:rPr>
            <a:t>ID:</a:t>
          </a:r>
        </a:p>
      </xdr:txBody>
    </xdr:sp>
    <xdr:clientData/>
  </xdr:twoCellAnchor>
  <xdr:twoCellAnchor>
    <xdr:from>
      <xdr:col>0</xdr:col>
      <xdr:colOff>298</xdr:colOff>
      <xdr:row>14</xdr:row>
      <xdr:rowOff>19050</xdr:rowOff>
    </xdr:from>
    <xdr:to>
      <xdr:col>2</xdr:col>
      <xdr:colOff>504825</xdr:colOff>
      <xdr:row>14</xdr:row>
      <xdr:rowOff>179134</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298" y="2555081"/>
          <a:ext cx="1838027" cy="160084"/>
        </a:xfrm>
        <a:prstGeom prst="rect">
          <a:avLst/>
        </a:prstGeom>
        <a:solidFill>
          <a:srgbClr val="8224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1">
              <a:solidFill>
                <a:schemeClr val="bg1"/>
              </a:solidFill>
              <a:latin typeface="Arial" panose="020B0604020202020204" pitchFamily="34" charset="0"/>
              <a:cs typeface="Arial" panose="020B0604020202020204" pitchFamily="34" charset="0"/>
            </a:rPr>
            <a:t>SUMMARY OF EVIDENCE:</a:t>
          </a:r>
        </a:p>
      </xdr:txBody>
    </xdr:sp>
    <xdr:clientData/>
  </xdr:twoCellAnchor>
  <xdr:twoCellAnchor editAs="oneCell">
    <xdr:from>
      <xdr:col>11</xdr:col>
      <xdr:colOff>203200</xdr:colOff>
      <xdr:row>1</xdr:row>
      <xdr:rowOff>12700</xdr:rowOff>
    </xdr:from>
    <xdr:to>
      <xdr:col>14</xdr:col>
      <xdr:colOff>101600</xdr:colOff>
      <xdr:row>4</xdr:row>
      <xdr:rowOff>177800</xdr:rowOff>
    </xdr:to>
    <xdr:pic>
      <xdr:nvPicPr>
        <xdr:cNvPr id="4" name="CommandButton1">
          <a:extLst>
            <a:ext uri="{FF2B5EF4-FFF2-40B4-BE49-F238E27FC236}">
              <a16:creationId xmlns:a16="http://schemas.microsoft.com/office/drawing/2014/main" id="{00000000-0008-0000-0300-00000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96300" y="203200"/>
          <a:ext cx="2844800" cy="736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371476</xdr:colOff>
      <xdr:row>5</xdr:row>
      <xdr:rowOff>0</xdr:rowOff>
    </xdr:from>
    <xdr:to>
      <xdr:col>7</xdr:col>
      <xdr:colOff>323851</xdr:colOff>
      <xdr:row>6</xdr:row>
      <xdr:rowOff>171450</xdr:rowOff>
    </xdr:to>
    <xdr:sp macro="" textlink="">
      <xdr:nvSpPr>
        <xdr:cNvPr id="11" name="Chevron 10">
          <a:hlinkClick xmlns:r="http://schemas.openxmlformats.org/officeDocument/2006/relationships" r:id="rId1"/>
          <a:extLst>
            <a:ext uri="{FF2B5EF4-FFF2-40B4-BE49-F238E27FC236}">
              <a16:creationId xmlns:a16="http://schemas.microsoft.com/office/drawing/2014/main" id="{00000000-0008-0000-0400-00000B000000}"/>
            </a:ext>
          </a:extLst>
        </xdr:cNvPr>
        <xdr:cNvSpPr/>
      </xdr:nvSpPr>
      <xdr:spPr>
        <a:xfrm>
          <a:off x="30003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User Guide</a:t>
          </a:r>
        </a:p>
      </xdr:txBody>
    </xdr:sp>
    <xdr:clientData/>
  </xdr:twoCellAnchor>
  <xdr:twoCellAnchor>
    <xdr:from>
      <xdr:col>4</xdr:col>
      <xdr:colOff>0</xdr:colOff>
      <xdr:row>5</xdr:row>
      <xdr:rowOff>0</xdr:rowOff>
    </xdr:from>
    <xdr:to>
      <xdr:col>5</xdr:col>
      <xdr:colOff>561975</xdr:colOff>
      <xdr:row>6</xdr:row>
      <xdr:rowOff>171450</xdr:rowOff>
    </xdr:to>
    <xdr:sp macro="" textlink="">
      <xdr:nvSpPr>
        <xdr:cNvPr id="12" name="Pentagon 11">
          <a:hlinkClick xmlns:r="http://schemas.openxmlformats.org/officeDocument/2006/relationships" r:id="rId2"/>
          <a:extLst>
            <a:ext uri="{FF2B5EF4-FFF2-40B4-BE49-F238E27FC236}">
              <a16:creationId xmlns:a16="http://schemas.microsoft.com/office/drawing/2014/main" id="{00000000-0008-0000-0400-00000C000000}"/>
            </a:ext>
          </a:extLst>
        </xdr:cNvPr>
        <xdr:cNvSpPr/>
      </xdr:nvSpPr>
      <xdr:spPr>
        <a:xfrm>
          <a:off x="2019300" y="1057275"/>
          <a:ext cx="1171575" cy="361950"/>
        </a:xfrm>
        <a:prstGeom prst="homePlate">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Introduction</a:t>
          </a:r>
        </a:p>
      </xdr:txBody>
    </xdr:sp>
    <xdr:clientData/>
  </xdr:twoCellAnchor>
  <xdr:twoCellAnchor>
    <xdr:from>
      <xdr:col>7</xdr:col>
      <xdr:colOff>144067</xdr:colOff>
      <xdr:row>5</xdr:row>
      <xdr:rowOff>0</xdr:rowOff>
    </xdr:from>
    <xdr:to>
      <xdr:col>9</xdr:col>
      <xdr:colOff>96442</xdr:colOff>
      <xdr:row>6</xdr:row>
      <xdr:rowOff>171450</xdr:rowOff>
    </xdr:to>
    <xdr:sp macro="" textlink="">
      <xdr:nvSpPr>
        <xdr:cNvPr id="13" name="Chevron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3992167"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Evidence</a:t>
          </a:r>
        </a:p>
      </xdr:txBody>
    </xdr:sp>
    <xdr:clientData/>
  </xdr:twoCellAnchor>
  <xdr:twoCellAnchor>
    <xdr:from>
      <xdr:col>8</xdr:col>
      <xdr:colOff>523875</xdr:colOff>
      <xdr:row>5</xdr:row>
      <xdr:rowOff>0</xdr:rowOff>
    </xdr:from>
    <xdr:to>
      <xdr:col>10</xdr:col>
      <xdr:colOff>561974</xdr:colOff>
      <xdr:row>6</xdr:row>
      <xdr:rowOff>171450</xdr:rowOff>
    </xdr:to>
    <xdr:sp macro="" textlink="">
      <xdr:nvSpPr>
        <xdr:cNvPr id="14" name="Chevron 13">
          <a:hlinkClick xmlns:r="http://schemas.openxmlformats.org/officeDocument/2006/relationships" r:id="rId4"/>
          <a:extLst>
            <a:ext uri="{FF2B5EF4-FFF2-40B4-BE49-F238E27FC236}">
              <a16:creationId xmlns:a16="http://schemas.microsoft.com/office/drawing/2014/main" id="{00000000-0008-0000-0400-00000E000000}"/>
            </a:ext>
          </a:extLst>
        </xdr:cNvPr>
        <xdr:cNvSpPr/>
      </xdr:nvSpPr>
      <xdr:spPr>
        <a:xfrm>
          <a:off x="4848225" y="1047750"/>
          <a:ext cx="1219199" cy="361950"/>
        </a:xfrm>
        <a:prstGeom prst="chevron">
          <a:avLst/>
        </a:prstGeom>
        <a:solidFill>
          <a:srgbClr val="A4AEB5"/>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chemeClr val="bg1"/>
              </a:solidFill>
              <a:latin typeface="Arial" panose="020B0604020202020204" pitchFamily="34" charset="0"/>
              <a:cs typeface="Arial" panose="020B0604020202020204" pitchFamily="34" charset="0"/>
            </a:rPr>
            <a:t>Further Information</a:t>
          </a:r>
        </a:p>
      </xdr:txBody>
    </xdr:sp>
    <xdr:clientData/>
  </xdr:twoCellAnchor>
  <xdr:twoCellAnchor>
    <xdr:from>
      <xdr:col>14</xdr:col>
      <xdr:colOff>209551</xdr:colOff>
      <xdr:row>5</xdr:row>
      <xdr:rowOff>9525</xdr:rowOff>
    </xdr:from>
    <xdr:to>
      <xdr:col>16</xdr:col>
      <xdr:colOff>257176</xdr:colOff>
      <xdr:row>6</xdr:row>
      <xdr:rowOff>161925</xdr:rowOff>
    </xdr:to>
    <xdr:sp macro="" textlink="">
      <xdr:nvSpPr>
        <xdr:cNvPr id="15" name="TextBox 14">
          <a:hlinkClick xmlns:r="http://schemas.openxmlformats.org/officeDocument/2006/relationships" r:id="rId5"/>
          <a:extLst>
            <a:ext uri="{FF2B5EF4-FFF2-40B4-BE49-F238E27FC236}">
              <a16:creationId xmlns:a16="http://schemas.microsoft.com/office/drawing/2014/main" id="{00000000-0008-0000-0400-00000F000000}"/>
            </a:ext>
          </a:extLst>
        </xdr:cNvPr>
        <xdr:cNvSpPr txBox="1"/>
      </xdr:nvSpPr>
      <xdr:spPr>
        <a:xfrm>
          <a:off x="8324851"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Email us</a:t>
          </a:r>
        </a:p>
      </xdr:txBody>
    </xdr:sp>
    <xdr:clientData/>
  </xdr:twoCellAnchor>
  <xdr:twoCellAnchor>
    <xdr:from>
      <xdr:col>10</xdr:col>
      <xdr:colOff>295276</xdr:colOff>
      <xdr:row>5</xdr:row>
      <xdr:rowOff>0</xdr:rowOff>
    </xdr:from>
    <xdr:to>
      <xdr:col>12</xdr:col>
      <xdr:colOff>247651</xdr:colOff>
      <xdr:row>6</xdr:row>
      <xdr:rowOff>171450</xdr:rowOff>
    </xdr:to>
    <xdr:sp macro="" textlink="">
      <xdr:nvSpPr>
        <xdr:cNvPr id="16" name="Chevron 15">
          <a:hlinkClick xmlns:r="http://schemas.openxmlformats.org/officeDocument/2006/relationships" r:id="rId6"/>
          <a:extLst>
            <a:ext uri="{FF2B5EF4-FFF2-40B4-BE49-F238E27FC236}">
              <a16:creationId xmlns:a16="http://schemas.microsoft.com/office/drawing/2014/main" id="{00000000-0008-0000-0400-000010000000}"/>
            </a:ext>
          </a:extLst>
        </xdr:cNvPr>
        <xdr:cNvSpPr/>
      </xdr:nvSpPr>
      <xdr:spPr>
        <a:xfrm>
          <a:off x="59721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Glossary</a:t>
          </a:r>
        </a:p>
      </xdr:txBody>
    </xdr:sp>
    <xdr:clientData/>
  </xdr:twoCellAnchor>
  <xdr:twoCellAnchor>
    <xdr:from>
      <xdr:col>12</xdr:col>
      <xdr:colOff>66676</xdr:colOff>
      <xdr:row>5</xdr:row>
      <xdr:rowOff>0</xdr:rowOff>
    </xdr:from>
    <xdr:to>
      <xdr:col>14</xdr:col>
      <xdr:colOff>19051</xdr:colOff>
      <xdr:row>6</xdr:row>
      <xdr:rowOff>171450</xdr:rowOff>
    </xdr:to>
    <xdr:sp macro="" textlink="">
      <xdr:nvSpPr>
        <xdr:cNvPr id="17" name="Chevron 16">
          <a:hlinkClick xmlns:r="http://schemas.openxmlformats.org/officeDocument/2006/relationships" r:id="rId7"/>
          <a:extLst>
            <a:ext uri="{FF2B5EF4-FFF2-40B4-BE49-F238E27FC236}">
              <a16:creationId xmlns:a16="http://schemas.microsoft.com/office/drawing/2014/main" id="{00000000-0008-0000-0400-000011000000}"/>
            </a:ext>
          </a:extLst>
        </xdr:cNvPr>
        <xdr:cNvSpPr/>
      </xdr:nvSpPr>
      <xdr:spPr>
        <a:xfrm>
          <a:off x="69627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Sources</a:t>
          </a:r>
        </a:p>
      </xdr:txBody>
    </xdr:sp>
    <xdr:clientData/>
  </xdr:twoCellAnchor>
  <xdr:twoCellAnchor>
    <xdr:from>
      <xdr:col>16</xdr:col>
      <xdr:colOff>504825</xdr:colOff>
      <xdr:row>5</xdr:row>
      <xdr:rowOff>9525</xdr:rowOff>
    </xdr:from>
    <xdr:to>
      <xdr:col>18</xdr:col>
      <xdr:colOff>552450</xdr:colOff>
      <xdr:row>6</xdr:row>
      <xdr:rowOff>161925</xdr:rowOff>
    </xdr:to>
    <xdr:sp macro="" textlink="">
      <xdr:nvSpPr>
        <xdr:cNvPr id="19" name="TextBox 18">
          <a:hlinkClick xmlns:r="http://schemas.openxmlformats.org/officeDocument/2006/relationships" r:id="rId8"/>
          <a:extLst>
            <a:ext uri="{FF2B5EF4-FFF2-40B4-BE49-F238E27FC236}">
              <a16:creationId xmlns:a16="http://schemas.microsoft.com/office/drawing/2014/main" id="{00000000-0008-0000-0400-000013000000}"/>
            </a:ext>
          </a:extLst>
        </xdr:cNvPr>
        <xdr:cNvSpPr txBox="1"/>
      </xdr:nvSpPr>
      <xdr:spPr>
        <a:xfrm>
          <a:off x="9839325"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Feedback </a:t>
          </a:r>
          <a:r>
            <a:rPr lang="en-GB" sz="1100" b="1" baseline="0">
              <a:solidFill>
                <a:schemeClr val="bg1"/>
              </a:solidFill>
            </a:rPr>
            <a:t>Survey</a:t>
          </a:r>
          <a:endParaRPr lang="en-GB" sz="1100" b="1">
            <a:solidFill>
              <a:schemeClr val="bg1"/>
            </a:solidFill>
          </a:endParaRPr>
        </a:p>
      </xdr:txBody>
    </xdr:sp>
    <xdr:clientData/>
  </xdr:twoCellAnchor>
  <xdr:twoCellAnchor editAs="oneCell">
    <xdr:from>
      <xdr:col>0</xdr:col>
      <xdr:colOff>266700</xdr:colOff>
      <xdr:row>0</xdr:row>
      <xdr:rowOff>160020</xdr:rowOff>
    </xdr:from>
    <xdr:to>
      <xdr:col>1</xdr:col>
      <xdr:colOff>546203</xdr:colOff>
      <xdr:row>3</xdr:row>
      <xdr:rowOff>0</xdr:rowOff>
    </xdr:to>
    <xdr:pic>
      <xdr:nvPicPr>
        <xdr:cNvPr id="18" name="Picture 17" descr="Image result for phe logo">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66700" y="160020"/>
          <a:ext cx="889103" cy="520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371476</xdr:colOff>
      <xdr:row>5</xdr:row>
      <xdr:rowOff>0</xdr:rowOff>
    </xdr:from>
    <xdr:to>
      <xdr:col>7</xdr:col>
      <xdr:colOff>323851</xdr:colOff>
      <xdr:row>6</xdr:row>
      <xdr:rowOff>171450</xdr:rowOff>
    </xdr:to>
    <xdr:sp macro="" textlink="">
      <xdr:nvSpPr>
        <xdr:cNvPr id="9" name="Chevron 8">
          <a:hlinkClick xmlns:r="http://schemas.openxmlformats.org/officeDocument/2006/relationships" r:id="rId1"/>
          <a:extLst>
            <a:ext uri="{FF2B5EF4-FFF2-40B4-BE49-F238E27FC236}">
              <a16:creationId xmlns:a16="http://schemas.microsoft.com/office/drawing/2014/main" id="{00000000-0008-0000-0500-000009000000}"/>
            </a:ext>
          </a:extLst>
        </xdr:cNvPr>
        <xdr:cNvSpPr/>
      </xdr:nvSpPr>
      <xdr:spPr>
        <a:xfrm>
          <a:off x="30003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User Guide</a:t>
          </a:r>
        </a:p>
      </xdr:txBody>
    </xdr:sp>
    <xdr:clientData/>
  </xdr:twoCellAnchor>
  <xdr:twoCellAnchor>
    <xdr:from>
      <xdr:col>4</xdr:col>
      <xdr:colOff>0</xdr:colOff>
      <xdr:row>5</xdr:row>
      <xdr:rowOff>0</xdr:rowOff>
    </xdr:from>
    <xdr:to>
      <xdr:col>5</xdr:col>
      <xdr:colOff>561975</xdr:colOff>
      <xdr:row>6</xdr:row>
      <xdr:rowOff>171450</xdr:rowOff>
    </xdr:to>
    <xdr:sp macro="" textlink="">
      <xdr:nvSpPr>
        <xdr:cNvPr id="10" name="Pentagon 9">
          <a:hlinkClick xmlns:r="http://schemas.openxmlformats.org/officeDocument/2006/relationships" r:id="rId2"/>
          <a:extLst>
            <a:ext uri="{FF2B5EF4-FFF2-40B4-BE49-F238E27FC236}">
              <a16:creationId xmlns:a16="http://schemas.microsoft.com/office/drawing/2014/main" id="{00000000-0008-0000-0500-00000A000000}"/>
            </a:ext>
          </a:extLst>
        </xdr:cNvPr>
        <xdr:cNvSpPr/>
      </xdr:nvSpPr>
      <xdr:spPr>
        <a:xfrm>
          <a:off x="2019300" y="1057275"/>
          <a:ext cx="1171575" cy="361950"/>
        </a:xfrm>
        <a:prstGeom prst="homePlate">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Introduction</a:t>
          </a:r>
        </a:p>
      </xdr:txBody>
    </xdr:sp>
    <xdr:clientData/>
  </xdr:twoCellAnchor>
  <xdr:twoCellAnchor>
    <xdr:from>
      <xdr:col>7</xdr:col>
      <xdr:colOff>144067</xdr:colOff>
      <xdr:row>5</xdr:row>
      <xdr:rowOff>0</xdr:rowOff>
    </xdr:from>
    <xdr:to>
      <xdr:col>9</xdr:col>
      <xdr:colOff>96442</xdr:colOff>
      <xdr:row>6</xdr:row>
      <xdr:rowOff>171450</xdr:rowOff>
    </xdr:to>
    <xdr:sp macro="" textlink="">
      <xdr:nvSpPr>
        <xdr:cNvPr id="11" name="Chevron 10">
          <a:hlinkClick xmlns:r="http://schemas.openxmlformats.org/officeDocument/2006/relationships" r:id="rId3"/>
          <a:extLst>
            <a:ext uri="{FF2B5EF4-FFF2-40B4-BE49-F238E27FC236}">
              <a16:creationId xmlns:a16="http://schemas.microsoft.com/office/drawing/2014/main" id="{00000000-0008-0000-0500-00000B000000}"/>
            </a:ext>
          </a:extLst>
        </xdr:cNvPr>
        <xdr:cNvSpPr/>
      </xdr:nvSpPr>
      <xdr:spPr>
        <a:xfrm>
          <a:off x="3992167"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Evidence</a:t>
          </a:r>
        </a:p>
      </xdr:txBody>
    </xdr:sp>
    <xdr:clientData/>
  </xdr:twoCellAnchor>
  <xdr:twoCellAnchor>
    <xdr:from>
      <xdr:col>8</xdr:col>
      <xdr:colOff>523876</xdr:colOff>
      <xdr:row>5</xdr:row>
      <xdr:rowOff>0</xdr:rowOff>
    </xdr:from>
    <xdr:to>
      <xdr:col>10</xdr:col>
      <xdr:colOff>542925</xdr:colOff>
      <xdr:row>6</xdr:row>
      <xdr:rowOff>171450</xdr:rowOff>
    </xdr:to>
    <xdr:sp macro="" textlink="">
      <xdr:nvSpPr>
        <xdr:cNvPr id="12" name="Chevron 11">
          <a:hlinkClick xmlns:r="http://schemas.openxmlformats.org/officeDocument/2006/relationships" r:id="rId4"/>
          <a:extLst>
            <a:ext uri="{FF2B5EF4-FFF2-40B4-BE49-F238E27FC236}">
              <a16:creationId xmlns:a16="http://schemas.microsoft.com/office/drawing/2014/main" id="{00000000-0008-0000-0500-00000C000000}"/>
            </a:ext>
          </a:extLst>
        </xdr:cNvPr>
        <xdr:cNvSpPr/>
      </xdr:nvSpPr>
      <xdr:spPr>
        <a:xfrm>
          <a:off x="4867276" y="1047750"/>
          <a:ext cx="1200149"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Further Information</a:t>
          </a:r>
        </a:p>
      </xdr:txBody>
    </xdr:sp>
    <xdr:clientData/>
  </xdr:twoCellAnchor>
  <xdr:twoCellAnchor>
    <xdr:from>
      <xdr:col>14</xdr:col>
      <xdr:colOff>209551</xdr:colOff>
      <xdr:row>5</xdr:row>
      <xdr:rowOff>9525</xdr:rowOff>
    </xdr:from>
    <xdr:to>
      <xdr:col>16</xdr:col>
      <xdr:colOff>257176</xdr:colOff>
      <xdr:row>6</xdr:row>
      <xdr:rowOff>161925</xdr:rowOff>
    </xdr:to>
    <xdr:sp macro="" textlink="">
      <xdr:nvSpPr>
        <xdr:cNvPr id="13" name="TextBox 12">
          <a:hlinkClick xmlns:r="http://schemas.openxmlformats.org/officeDocument/2006/relationships" r:id="rId5"/>
          <a:extLst>
            <a:ext uri="{FF2B5EF4-FFF2-40B4-BE49-F238E27FC236}">
              <a16:creationId xmlns:a16="http://schemas.microsoft.com/office/drawing/2014/main" id="{00000000-0008-0000-0500-00000D000000}"/>
            </a:ext>
          </a:extLst>
        </xdr:cNvPr>
        <xdr:cNvSpPr txBox="1"/>
      </xdr:nvSpPr>
      <xdr:spPr>
        <a:xfrm>
          <a:off x="8324851"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Email us</a:t>
          </a:r>
        </a:p>
      </xdr:txBody>
    </xdr:sp>
    <xdr:clientData/>
  </xdr:twoCellAnchor>
  <xdr:twoCellAnchor>
    <xdr:from>
      <xdr:col>10</xdr:col>
      <xdr:colOff>295276</xdr:colOff>
      <xdr:row>5</xdr:row>
      <xdr:rowOff>0</xdr:rowOff>
    </xdr:from>
    <xdr:to>
      <xdr:col>12</xdr:col>
      <xdr:colOff>247651</xdr:colOff>
      <xdr:row>6</xdr:row>
      <xdr:rowOff>171450</xdr:rowOff>
    </xdr:to>
    <xdr:sp macro="" textlink="">
      <xdr:nvSpPr>
        <xdr:cNvPr id="14" name="Chevron 13">
          <a:hlinkClick xmlns:r="http://schemas.openxmlformats.org/officeDocument/2006/relationships" r:id="rId6"/>
          <a:extLst>
            <a:ext uri="{FF2B5EF4-FFF2-40B4-BE49-F238E27FC236}">
              <a16:creationId xmlns:a16="http://schemas.microsoft.com/office/drawing/2014/main" id="{00000000-0008-0000-0500-00000E000000}"/>
            </a:ext>
          </a:extLst>
        </xdr:cNvPr>
        <xdr:cNvSpPr/>
      </xdr:nvSpPr>
      <xdr:spPr>
        <a:xfrm>
          <a:off x="5972176" y="1057275"/>
          <a:ext cx="1171575" cy="361950"/>
        </a:xfrm>
        <a:prstGeom prst="chevron">
          <a:avLst/>
        </a:prstGeom>
        <a:solidFill>
          <a:srgbClr val="A4AEB5"/>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chemeClr val="bg1"/>
              </a:solidFill>
              <a:latin typeface="Arial" panose="020B0604020202020204" pitchFamily="34" charset="0"/>
              <a:cs typeface="Arial" panose="020B0604020202020204" pitchFamily="34" charset="0"/>
            </a:rPr>
            <a:t>Glossary</a:t>
          </a:r>
        </a:p>
      </xdr:txBody>
    </xdr:sp>
    <xdr:clientData/>
  </xdr:twoCellAnchor>
  <xdr:twoCellAnchor>
    <xdr:from>
      <xdr:col>12</xdr:col>
      <xdr:colOff>66676</xdr:colOff>
      <xdr:row>5</xdr:row>
      <xdr:rowOff>0</xdr:rowOff>
    </xdr:from>
    <xdr:to>
      <xdr:col>14</xdr:col>
      <xdr:colOff>19051</xdr:colOff>
      <xdr:row>6</xdr:row>
      <xdr:rowOff>171450</xdr:rowOff>
    </xdr:to>
    <xdr:sp macro="" textlink="">
      <xdr:nvSpPr>
        <xdr:cNvPr id="15" name="Chevron 14">
          <a:hlinkClick xmlns:r="http://schemas.openxmlformats.org/officeDocument/2006/relationships" r:id="rId7"/>
          <a:extLst>
            <a:ext uri="{FF2B5EF4-FFF2-40B4-BE49-F238E27FC236}">
              <a16:creationId xmlns:a16="http://schemas.microsoft.com/office/drawing/2014/main" id="{00000000-0008-0000-0500-00000F000000}"/>
            </a:ext>
          </a:extLst>
        </xdr:cNvPr>
        <xdr:cNvSpPr/>
      </xdr:nvSpPr>
      <xdr:spPr>
        <a:xfrm>
          <a:off x="69627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Sources</a:t>
          </a:r>
        </a:p>
      </xdr:txBody>
    </xdr:sp>
    <xdr:clientData/>
  </xdr:twoCellAnchor>
  <xdr:twoCellAnchor>
    <xdr:from>
      <xdr:col>16</xdr:col>
      <xdr:colOff>504825</xdr:colOff>
      <xdr:row>5</xdr:row>
      <xdr:rowOff>9525</xdr:rowOff>
    </xdr:from>
    <xdr:to>
      <xdr:col>18</xdr:col>
      <xdr:colOff>552450</xdr:colOff>
      <xdr:row>6</xdr:row>
      <xdr:rowOff>161925</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500-000011000000}"/>
            </a:ext>
          </a:extLst>
        </xdr:cNvPr>
        <xdr:cNvSpPr txBox="1"/>
      </xdr:nvSpPr>
      <xdr:spPr>
        <a:xfrm>
          <a:off x="9839325"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Feedback </a:t>
          </a:r>
          <a:r>
            <a:rPr lang="en-GB" sz="1100" b="1" baseline="0">
              <a:solidFill>
                <a:schemeClr val="bg1"/>
              </a:solidFill>
            </a:rPr>
            <a:t>Survey</a:t>
          </a:r>
          <a:endParaRPr lang="en-GB" sz="1100" b="1">
            <a:solidFill>
              <a:schemeClr val="bg1"/>
            </a:solidFill>
          </a:endParaRPr>
        </a:p>
      </xdr:txBody>
    </xdr:sp>
    <xdr:clientData/>
  </xdr:twoCellAnchor>
  <xdr:twoCellAnchor editAs="oneCell">
    <xdr:from>
      <xdr:col>0</xdr:col>
      <xdr:colOff>262890</xdr:colOff>
      <xdr:row>0</xdr:row>
      <xdr:rowOff>158115</xdr:rowOff>
    </xdr:from>
    <xdr:to>
      <xdr:col>1</xdr:col>
      <xdr:colOff>542393</xdr:colOff>
      <xdr:row>3</xdr:row>
      <xdr:rowOff>7620</xdr:rowOff>
    </xdr:to>
    <xdr:pic>
      <xdr:nvPicPr>
        <xdr:cNvPr id="16" name="Picture 15" descr="Image result for phe logo">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62890" y="158115"/>
          <a:ext cx="889103" cy="520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371476</xdr:colOff>
      <xdr:row>5</xdr:row>
      <xdr:rowOff>0</xdr:rowOff>
    </xdr:from>
    <xdr:to>
      <xdr:col>7</xdr:col>
      <xdr:colOff>323851</xdr:colOff>
      <xdr:row>6</xdr:row>
      <xdr:rowOff>171450</xdr:rowOff>
    </xdr:to>
    <xdr:sp macro="" textlink="">
      <xdr:nvSpPr>
        <xdr:cNvPr id="9" name="Chevron 8">
          <a:hlinkClick xmlns:r="http://schemas.openxmlformats.org/officeDocument/2006/relationships" r:id="rId1"/>
          <a:extLst>
            <a:ext uri="{FF2B5EF4-FFF2-40B4-BE49-F238E27FC236}">
              <a16:creationId xmlns:a16="http://schemas.microsoft.com/office/drawing/2014/main" id="{00000000-0008-0000-0600-000009000000}"/>
            </a:ext>
          </a:extLst>
        </xdr:cNvPr>
        <xdr:cNvSpPr/>
      </xdr:nvSpPr>
      <xdr:spPr>
        <a:xfrm>
          <a:off x="30003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User Guide</a:t>
          </a:r>
        </a:p>
      </xdr:txBody>
    </xdr:sp>
    <xdr:clientData/>
  </xdr:twoCellAnchor>
  <xdr:twoCellAnchor>
    <xdr:from>
      <xdr:col>4</xdr:col>
      <xdr:colOff>0</xdr:colOff>
      <xdr:row>5</xdr:row>
      <xdr:rowOff>0</xdr:rowOff>
    </xdr:from>
    <xdr:to>
      <xdr:col>5</xdr:col>
      <xdr:colOff>561975</xdr:colOff>
      <xdr:row>6</xdr:row>
      <xdr:rowOff>171450</xdr:rowOff>
    </xdr:to>
    <xdr:sp macro="" textlink="">
      <xdr:nvSpPr>
        <xdr:cNvPr id="10" name="Pentagon 9">
          <a:hlinkClick xmlns:r="http://schemas.openxmlformats.org/officeDocument/2006/relationships" r:id="rId2"/>
          <a:extLst>
            <a:ext uri="{FF2B5EF4-FFF2-40B4-BE49-F238E27FC236}">
              <a16:creationId xmlns:a16="http://schemas.microsoft.com/office/drawing/2014/main" id="{00000000-0008-0000-0600-00000A000000}"/>
            </a:ext>
          </a:extLst>
        </xdr:cNvPr>
        <xdr:cNvSpPr/>
      </xdr:nvSpPr>
      <xdr:spPr>
        <a:xfrm>
          <a:off x="2019300" y="1057275"/>
          <a:ext cx="1171575" cy="361950"/>
        </a:xfrm>
        <a:prstGeom prst="homePlate">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Introduction</a:t>
          </a:r>
        </a:p>
      </xdr:txBody>
    </xdr:sp>
    <xdr:clientData/>
  </xdr:twoCellAnchor>
  <xdr:twoCellAnchor>
    <xdr:from>
      <xdr:col>7</xdr:col>
      <xdr:colOff>144067</xdr:colOff>
      <xdr:row>5</xdr:row>
      <xdr:rowOff>0</xdr:rowOff>
    </xdr:from>
    <xdr:to>
      <xdr:col>9</xdr:col>
      <xdr:colOff>96442</xdr:colOff>
      <xdr:row>6</xdr:row>
      <xdr:rowOff>171450</xdr:rowOff>
    </xdr:to>
    <xdr:sp macro="" textlink="">
      <xdr:nvSpPr>
        <xdr:cNvPr id="11" name="Chevron 10">
          <a:hlinkClick xmlns:r="http://schemas.openxmlformats.org/officeDocument/2006/relationships" r:id="rId3"/>
          <a:extLst>
            <a:ext uri="{FF2B5EF4-FFF2-40B4-BE49-F238E27FC236}">
              <a16:creationId xmlns:a16="http://schemas.microsoft.com/office/drawing/2014/main" id="{00000000-0008-0000-0600-00000B000000}"/>
            </a:ext>
          </a:extLst>
        </xdr:cNvPr>
        <xdr:cNvSpPr/>
      </xdr:nvSpPr>
      <xdr:spPr>
        <a:xfrm>
          <a:off x="3992167"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Evidence</a:t>
          </a:r>
        </a:p>
      </xdr:txBody>
    </xdr:sp>
    <xdr:clientData/>
  </xdr:twoCellAnchor>
  <xdr:twoCellAnchor>
    <xdr:from>
      <xdr:col>8</xdr:col>
      <xdr:colOff>523876</xdr:colOff>
      <xdr:row>5</xdr:row>
      <xdr:rowOff>0</xdr:rowOff>
    </xdr:from>
    <xdr:to>
      <xdr:col>10</xdr:col>
      <xdr:colOff>523875</xdr:colOff>
      <xdr:row>6</xdr:row>
      <xdr:rowOff>171450</xdr:rowOff>
    </xdr:to>
    <xdr:sp macro="" textlink="">
      <xdr:nvSpPr>
        <xdr:cNvPr id="12" name="Chevron 11">
          <a:hlinkClick xmlns:r="http://schemas.openxmlformats.org/officeDocument/2006/relationships" r:id="rId4"/>
          <a:extLst>
            <a:ext uri="{FF2B5EF4-FFF2-40B4-BE49-F238E27FC236}">
              <a16:creationId xmlns:a16="http://schemas.microsoft.com/office/drawing/2014/main" id="{00000000-0008-0000-0600-00000C000000}"/>
            </a:ext>
          </a:extLst>
        </xdr:cNvPr>
        <xdr:cNvSpPr/>
      </xdr:nvSpPr>
      <xdr:spPr>
        <a:xfrm>
          <a:off x="4867276" y="1047750"/>
          <a:ext cx="1181099"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Further Information</a:t>
          </a:r>
        </a:p>
      </xdr:txBody>
    </xdr:sp>
    <xdr:clientData/>
  </xdr:twoCellAnchor>
  <xdr:twoCellAnchor>
    <xdr:from>
      <xdr:col>14</xdr:col>
      <xdr:colOff>209551</xdr:colOff>
      <xdr:row>5</xdr:row>
      <xdr:rowOff>9525</xdr:rowOff>
    </xdr:from>
    <xdr:to>
      <xdr:col>16</xdr:col>
      <xdr:colOff>257176</xdr:colOff>
      <xdr:row>6</xdr:row>
      <xdr:rowOff>161925</xdr:rowOff>
    </xdr:to>
    <xdr:sp macro="" textlink="">
      <xdr:nvSpPr>
        <xdr:cNvPr id="13" name="TextBox 12">
          <a:hlinkClick xmlns:r="http://schemas.openxmlformats.org/officeDocument/2006/relationships" r:id="rId5"/>
          <a:extLst>
            <a:ext uri="{FF2B5EF4-FFF2-40B4-BE49-F238E27FC236}">
              <a16:creationId xmlns:a16="http://schemas.microsoft.com/office/drawing/2014/main" id="{00000000-0008-0000-0600-00000D000000}"/>
            </a:ext>
          </a:extLst>
        </xdr:cNvPr>
        <xdr:cNvSpPr txBox="1"/>
      </xdr:nvSpPr>
      <xdr:spPr>
        <a:xfrm>
          <a:off x="8324851"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Email us</a:t>
          </a:r>
        </a:p>
      </xdr:txBody>
    </xdr:sp>
    <xdr:clientData/>
  </xdr:twoCellAnchor>
  <xdr:twoCellAnchor>
    <xdr:from>
      <xdr:col>10</xdr:col>
      <xdr:colOff>295276</xdr:colOff>
      <xdr:row>5</xdr:row>
      <xdr:rowOff>0</xdr:rowOff>
    </xdr:from>
    <xdr:to>
      <xdr:col>12</xdr:col>
      <xdr:colOff>247651</xdr:colOff>
      <xdr:row>6</xdr:row>
      <xdr:rowOff>171450</xdr:rowOff>
    </xdr:to>
    <xdr:sp macro="" textlink="">
      <xdr:nvSpPr>
        <xdr:cNvPr id="14" name="Chevron 13">
          <a:hlinkClick xmlns:r="http://schemas.openxmlformats.org/officeDocument/2006/relationships" r:id="rId6"/>
          <a:extLst>
            <a:ext uri="{FF2B5EF4-FFF2-40B4-BE49-F238E27FC236}">
              <a16:creationId xmlns:a16="http://schemas.microsoft.com/office/drawing/2014/main" id="{00000000-0008-0000-0600-00000E000000}"/>
            </a:ext>
          </a:extLst>
        </xdr:cNvPr>
        <xdr:cNvSpPr/>
      </xdr:nvSpPr>
      <xdr:spPr>
        <a:xfrm>
          <a:off x="5972176" y="1057275"/>
          <a:ext cx="1171575" cy="361950"/>
        </a:xfrm>
        <a:prstGeom prst="chevron">
          <a:avLst/>
        </a:prstGeom>
        <a:solidFill>
          <a:srgbClr val="DAD7CB"/>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ysClr val="windowText" lastClr="000000"/>
              </a:solidFill>
              <a:latin typeface="Arial" panose="020B0604020202020204" pitchFamily="34" charset="0"/>
              <a:cs typeface="Arial" panose="020B0604020202020204" pitchFamily="34" charset="0"/>
            </a:rPr>
            <a:t>Glossary</a:t>
          </a:r>
        </a:p>
      </xdr:txBody>
    </xdr:sp>
    <xdr:clientData/>
  </xdr:twoCellAnchor>
  <xdr:twoCellAnchor>
    <xdr:from>
      <xdr:col>12</xdr:col>
      <xdr:colOff>66676</xdr:colOff>
      <xdr:row>5</xdr:row>
      <xdr:rowOff>0</xdr:rowOff>
    </xdr:from>
    <xdr:to>
      <xdr:col>14</xdr:col>
      <xdr:colOff>19051</xdr:colOff>
      <xdr:row>6</xdr:row>
      <xdr:rowOff>171450</xdr:rowOff>
    </xdr:to>
    <xdr:sp macro="" textlink="">
      <xdr:nvSpPr>
        <xdr:cNvPr id="15" name="Chevron 14">
          <a:hlinkClick xmlns:r="http://schemas.openxmlformats.org/officeDocument/2006/relationships" r:id="rId7"/>
          <a:extLst>
            <a:ext uri="{FF2B5EF4-FFF2-40B4-BE49-F238E27FC236}">
              <a16:creationId xmlns:a16="http://schemas.microsoft.com/office/drawing/2014/main" id="{00000000-0008-0000-0600-00000F000000}"/>
            </a:ext>
          </a:extLst>
        </xdr:cNvPr>
        <xdr:cNvSpPr/>
      </xdr:nvSpPr>
      <xdr:spPr>
        <a:xfrm>
          <a:off x="6962776" y="1057275"/>
          <a:ext cx="1171575" cy="361950"/>
        </a:xfrm>
        <a:prstGeom prst="chevron">
          <a:avLst/>
        </a:prstGeom>
        <a:solidFill>
          <a:srgbClr val="A4AEB5"/>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solidFill>
                <a:schemeClr val="bg1"/>
              </a:solidFill>
              <a:latin typeface="Arial" panose="020B0604020202020204" pitchFamily="34" charset="0"/>
              <a:cs typeface="Arial" panose="020B0604020202020204" pitchFamily="34" charset="0"/>
            </a:rPr>
            <a:t>Sources</a:t>
          </a:r>
        </a:p>
      </xdr:txBody>
    </xdr:sp>
    <xdr:clientData/>
  </xdr:twoCellAnchor>
  <xdr:twoCellAnchor>
    <xdr:from>
      <xdr:col>16</xdr:col>
      <xdr:colOff>504825</xdr:colOff>
      <xdr:row>5</xdr:row>
      <xdr:rowOff>9525</xdr:rowOff>
    </xdr:from>
    <xdr:to>
      <xdr:col>18</xdr:col>
      <xdr:colOff>552450</xdr:colOff>
      <xdr:row>6</xdr:row>
      <xdr:rowOff>161925</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600-000011000000}"/>
            </a:ext>
          </a:extLst>
        </xdr:cNvPr>
        <xdr:cNvSpPr txBox="1"/>
      </xdr:nvSpPr>
      <xdr:spPr>
        <a:xfrm>
          <a:off x="9839325" y="1066800"/>
          <a:ext cx="1266825" cy="342900"/>
        </a:xfrm>
        <a:prstGeom prst="flowChartAlternateProcess">
          <a:avLst/>
        </a:prstGeom>
        <a:solidFill>
          <a:srgbClr val="00B092"/>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Feedback </a:t>
          </a:r>
          <a:r>
            <a:rPr lang="en-GB" sz="1100" b="1" baseline="0">
              <a:solidFill>
                <a:schemeClr val="bg1"/>
              </a:solidFill>
            </a:rPr>
            <a:t>Survey</a:t>
          </a:r>
          <a:endParaRPr lang="en-GB" sz="1100" b="1">
            <a:solidFill>
              <a:schemeClr val="bg1"/>
            </a:solidFill>
          </a:endParaRPr>
        </a:p>
      </xdr:txBody>
    </xdr:sp>
    <xdr:clientData/>
  </xdr:twoCellAnchor>
  <xdr:twoCellAnchor editAs="oneCell">
    <xdr:from>
      <xdr:col>0</xdr:col>
      <xdr:colOff>251460</xdr:colOff>
      <xdr:row>0</xdr:row>
      <xdr:rowOff>160020</xdr:rowOff>
    </xdr:from>
    <xdr:to>
      <xdr:col>1</xdr:col>
      <xdr:colOff>530963</xdr:colOff>
      <xdr:row>3</xdr:row>
      <xdr:rowOff>9525</xdr:rowOff>
    </xdr:to>
    <xdr:pic>
      <xdr:nvPicPr>
        <xdr:cNvPr id="16" name="Picture 15" descr="Image result for phe logo">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51460" y="160020"/>
          <a:ext cx="889103" cy="520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190500</xdr:colOff>
      <xdr:row>47</xdr:row>
      <xdr:rowOff>182880</xdr:rowOff>
    </xdr:from>
    <xdr:to>
      <xdr:col>5</xdr:col>
      <xdr:colOff>266700</xdr:colOff>
      <xdr:row>51</xdr:row>
      <xdr:rowOff>175260</xdr:rowOff>
    </xdr:to>
    <xdr:pic>
      <xdr:nvPicPr>
        <xdr:cNvPr id="18" name="Picture 2" descr="Corporate_member_logo_339">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019300" y="10530840"/>
          <a:ext cx="899160" cy="731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47</xdr:row>
      <xdr:rowOff>53340</xdr:rowOff>
    </xdr:from>
    <xdr:to>
      <xdr:col>13</xdr:col>
      <xdr:colOff>518160</xdr:colOff>
      <xdr:row>50</xdr:row>
      <xdr:rowOff>45720</xdr:rowOff>
    </xdr:to>
    <xdr:pic>
      <xdr:nvPicPr>
        <xdr:cNvPr id="19" name="Picture 18" descr="E__Logo_No UN Emblem-01">
          <a:hlinkClick xmlns:r="http://schemas.openxmlformats.org/officeDocument/2006/relationships" r:id="rId11"/>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5166360" y="10401300"/>
          <a:ext cx="2880360" cy="548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520700</xdr:colOff>
      <xdr:row>2</xdr:row>
      <xdr:rowOff>165100</xdr:rowOff>
    </xdr:from>
    <xdr:to>
      <xdr:col>6</xdr:col>
      <xdr:colOff>25400</xdr:colOff>
      <xdr:row>5</xdr:row>
      <xdr:rowOff>50800</xdr:rowOff>
    </xdr:to>
    <xdr:sp macro="" textlink="">
      <xdr:nvSpPr>
        <xdr:cNvPr id="107521" name="CommandButton1" hidden="1">
          <a:extLst>
            <a:ext uri="{63B3BB69-23CF-44E3-9099-C40C66FF867C}">
              <a14:compatExt xmlns:a14="http://schemas.microsoft.com/office/drawing/2010/main" spid="_x0000_s107521"/>
            </a:ext>
            <a:ext uri="{FF2B5EF4-FFF2-40B4-BE49-F238E27FC236}">
              <a16:creationId xmlns:a16="http://schemas.microsoft.com/office/drawing/2014/main" id="{00000000-0008-0000-0800-000001A40100}"/>
            </a:ext>
          </a:extLst>
        </xdr:cNvPr>
        <xdr:cNvSpPr/>
      </xdr:nvSpPr>
      <xdr:spPr bwMode="auto">
        <a:xfrm>
          <a:off x="0" y="0"/>
          <a:ext cx="0" cy="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noFill/>
              <a:miter lim="800000"/>
              <a:headEnd/>
              <a:tailEnd/>
            </a14:hiddenLine>
          </a:ext>
        </a:extLst>
      </xdr:spPr>
    </xdr:sp>
    <xdr:clientData/>
  </xdr:twoCellAnchor>
  <xdr:twoCellAnchor editAs="oneCell">
    <xdr:from>
      <xdr:col>1</xdr:col>
      <xdr:colOff>508000</xdr:colOff>
      <xdr:row>6</xdr:row>
      <xdr:rowOff>139700</xdr:rowOff>
    </xdr:from>
    <xdr:to>
      <xdr:col>6</xdr:col>
      <xdr:colOff>38100</xdr:colOff>
      <xdr:row>9</xdr:row>
      <xdr:rowOff>25400</xdr:rowOff>
    </xdr:to>
    <xdr:sp macro="" textlink="">
      <xdr:nvSpPr>
        <xdr:cNvPr id="107522" name="CommandButton2" hidden="1">
          <a:extLst>
            <a:ext uri="{63B3BB69-23CF-44E3-9099-C40C66FF867C}">
              <a14:compatExt xmlns:a14="http://schemas.microsoft.com/office/drawing/2010/main" spid="_x0000_s107522"/>
            </a:ext>
            <a:ext uri="{FF2B5EF4-FFF2-40B4-BE49-F238E27FC236}">
              <a16:creationId xmlns:a16="http://schemas.microsoft.com/office/drawing/2014/main" id="{00000000-0008-0000-0800-000002A40100}"/>
            </a:ext>
          </a:extLst>
        </xdr:cNvPr>
        <xdr:cNvSpPr/>
      </xdr:nvSpPr>
      <xdr:spPr bwMode="auto">
        <a:xfrm>
          <a:off x="0" y="0"/>
          <a:ext cx="0" cy="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noFill/>
              <a:miter lim="800000"/>
              <a:headEnd/>
              <a:tailEnd/>
            </a14:hiddenLine>
          </a:ext>
        </a:extLst>
      </xdr:spPr>
    </xdr:sp>
    <xdr:clientData/>
  </xdr:twoCellAnchor>
  <xdr:twoCellAnchor editAs="oneCell">
    <xdr:from>
      <xdr:col>1</xdr:col>
      <xdr:colOff>520700</xdr:colOff>
      <xdr:row>2</xdr:row>
      <xdr:rowOff>165100</xdr:rowOff>
    </xdr:from>
    <xdr:to>
      <xdr:col>6</xdr:col>
      <xdr:colOff>25400</xdr:colOff>
      <xdr:row>5</xdr:row>
      <xdr:rowOff>50800</xdr:rowOff>
    </xdr:to>
    <xdr:pic>
      <xdr:nvPicPr>
        <xdr:cNvPr id="2" name="CommandButton1">
          <a:extLst>
            <a:ext uri="{FF2B5EF4-FFF2-40B4-BE49-F238E27FC236}">
              <a16:creationId xmlns:a16="http://schemas.microsoft.com/office/drawing/2014/main" id="{00000000-0008-0000-08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3800" y="546100"/>
          <a:ext cx="2870200" cy="4572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noFill/>
              <a:miter lim="800000"/>
              <a:headEnd/>
              <a:tailEnd/>
            </a14:hiddenLine>
          </a:ext>
        </a:extLst>
      </xdr:spPr>
    </xdr:pic>
    <xdr:clientData/>
  </xdr:twoCellAnchor>
  <xdr:twoCellAnchor editAs="oneCell">
    <xdr:from>
      <xdr:col>1</xdr:col>
      <xdr:colOff>508000</xdr:colOff>
      <xdr:row>6</xdr:row>
      <xdr:rowOff>139700</xdr:rowOff>
    </xdr:from>
    <xdr:to>
      <xdr:col>6</xdr:col>
      <xdr:colOff>38100</xdr:colOff>
      <xdr:row>9</xdr:row>
      <xdr:rowOff>25400</xdr:rowOff>
    </xdr:to>
    <xdr:pic>
      <xdr:nvPicPr>
        <xdr:cNvPr id="3" name="CommandButton2">
          <a:extLst>
            <a:ext uri="{FF2B5EF4-FFF2-40B4-BE49-F238E27FC236}">
              <a16:creationId xmlns:a16="http://schemas.microsoft.com/office/drawing/2014/main" id="{00000000-0008-0000-08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1282700"/>
          <a:ext cx="2895600" cy="4572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nice.org.uk/process/pmg4/chapter/incorporating-health-economics" TargetMode="External"/><Relationship Id="rId1" Type="http://schemas.openxmlformats.org/officeDocument/2006/relationships/hyperlink" Target="https://www.gov.uk/government/publications/local-health-and-care-planning-menu-of-preventative-intervention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hyperlink" Target="https://www.nice.org.uk/guidance/ph17/evidence/cost-effectiveness-analysis-pdf-371241757" TargetMode="External"/><Relationship Id="rId299" Type="http://schemas.openxmlformats.org/officeDocument/2006/relationships/hyperlink" Target="https://www.tandfonline.com/doi/full/10.4161/hv.23827" TargetMode="External"/><Relationship Id="rId303" Type="http://schemas.openxmlformats.org/officeDocument/2006/relationships/hyperlink" Target="https://www.sciencedirect.com/science/article/pii/S0749379715001543" TargetMode="External"/><Relationship Id="rId21" Type="http://schemas.openxmlformats.org/officeDocument/2006/relationships/hyperlink" Target="http://www.healthcheck.nhs.uk/document.php?o=91" TargetMode="External"/><Relationship Id="rId42" Type="http://schemas.openxmlformats.org/officeDocument/2006/relationships/hyperlink" Target="https://www.gov.uk/government/uploads/system/uploads/attachment_data/file/565944/Local_health_and_care_planning_menu_of_preventative_interventions.pdf" TargetMode="External"/><Relationship Id="rId63" Type="http://schemas.openxmlformats.org/officeDocument/2006/relationships/hyperlink" Target="https://www.gov.uk/government/uploads/system/uploads/attachment_data/file/565944/Local_health_and_care_planning_menu_of_preventative_interventions.pdf" TargetMode="External"/><Relationship Id="rId84" Type="http://schemas.openxmlformats.org/officeDocument/2006/relationships/hyperlink" Target="http://www.annualreviews.org/doi/full/10.1146/annurev-clinpsy-032210-104601?url_ver=Z39.88-2003&amp;rfr_id=ori%3Arid%3Acrossref.org&amp;rfr_dat=cr_pub%3Dpubmed&amp;" TargetMode="External"/><Relationship Id="rId138" Type="http://schemas.openxmlformats.org/officeDocument/2006/relationships/hyperlink" Target="http://www.tandfonline.com/doi/abs/10.1080/13607861003713232?journalCode=camh20" TargetMode="External"/><Relationship Id="rId159" Type="http://schemas.openxmlformats.org/officeDocument/2006/relationships/hyperlink" Target="https://www.nice.org.uk/guidance/ng64/evidence/evidence-statements-from-all-evidence-reviews-pdf-4368821149" TargetMode="External"/><Relationship Id="rId324" Type="http://schemas.openxmlformats.org/officeDocument/2006/relationships/comments" Target="../comments1.xml"/><Relationship Id="rId170" Type="http://schemas.openxmlformats.org/officeDocument/2006/relationships/hyperlink" Target="https://www.nice.org.uk/guidance/ph15/evidence/supplementary-economic-analysis-pdf-371205469" TargetMode="External"/><Relationship Id="rId191" Type="http://schemas.openxmlformats.org/officeDocument/2006/relationships/hyperlink" Target="https://www.nice.org.uk/guidance/cg115/evidence/full-guideline-136423405" TargetMode="External"/><Relationship Id="rId205" Type="http://schemas.openxmlformats.org/officeDocument/2006/relationships/hyperlink" Target="https://www.nice.org.uk/guidance/ph48/evidence/economic-analysis-of-smoking-cessation-in-secondary-care-pdf-430362685" TargetMode="External"/><Relationship Id="rId226" Type="http://schemas.openxmlformats.org/officeDocument/2006/relationships/hyperlink" Target="https://www.nice.org.uk/guidance/ph3" TargetMode="External"/><Relationship Id="rId247" Type="http://schemas.openxmlformats.org/officeDocument/2006/relationships/hyperlink" Target="https://www.gov.uk/government/publications/cardiovascular-disease-prevention-cost-effective-commissioning" TargetMode="External"/><Relationship Id="rId107" Type="http://schemas.openxmlformats.org/officeDocument/2006/relationships/hyperlink" Target="https://www.nice.org.uk/guidance/ph54/evidence/evidence-review-1-a-systematic-review-and-economic-evaluation-a-short-report-pdf-4417445773" TargetMode="External"/><Relationship Id="rId268" Type="http://schemas.openxmlformats.org/officeDocument/2006/relationships/hyperlink" Target="https://www.sciencedirect.com/science/article/pii/S0033350606001053?via%3Dihub" TargetMode="External"/><Relationship Id="rId289" Type="http://schemas.openxmlformats.org/officeDocument/2006/relationships/hyperlink" Target="https://www.gov.uk/government/publications/falls-prevention-cost-effective-commissioning" TargetMode="External"/><Relationship Id="rId11" Type="http://schemas.openxmlformats.org/officeDocument/2006/relationships/hyperlink" Target="https://www.google.co.uk/url?sa=t&amp;rct=j&amp;q=&amp;esrc=s&amp;source=web&amp;cd=1&amp;cad=rja&amp;uact=8&amp;ved=0ahUKEwijsoe018bSAhUnDcAKHc1aDRoQFggkMAA&amp;url=http%3A%2F%2Fhelp.matrixknowledge.com%2Ffile.axd%3Ffile%3DHE_final_report.pdf&amp;usg=AFQjCNEhdugeQz9ULFmKI6ST2BQaCnOlaQ" TargetMode="External"/><Relationship Id="rId32" Type="http://schemas.openxmlformats.org/officeDocument/2006/relationships/hyperlink" Target="https://www.journalslibrary.nihr.ac.uk/hta/hta19330" TargetMode="External"/><Relationship Id="rId53" Type="http://schemas.openxmlformats.org/officeDocument/2006/relationships/hyperlink" Target="http://ac.els-cdn.com/S0749379704000467/1-s2.0-S0749379704000467-main.pdf?_tid=0e138930-fea2-11e6-8db9-00000aab0f6c&amp;acdnat=1488388445_18fb9f7b37258a1d3989fd2b7afbdd3f" TargetMode="External"/><Relationship Id="rId74" Type="http://schemas.openxmlformats.org/officeDocument/2006/relationships/hyperlink" Target="https://www.nice.org.uk/guidance/ph14/evidence/economic-modelling-report-369943165" TargetMode="External"/><Relationship Id="rId128" Type="http://schemas.openxmlformats.org/officeDocument/2006/relationships/hyperlink" Target="https://www.nice.org.uk/guidance/ph47/evidence/economic-modelling-report-430357501" TargetMode="External"/><Relationship Id="rId149" Type="http://schemas.openxmlformats.org/officeDocument/2006/relationships/hyperlink" Target="https://www.google.co.uk/url?sa=t&amp;rct=j&amp;q=&amp;esrc=s&amp;source=web&amp;cd=1&amp;cad=rja&amp;uact=8&amp;ved=0ahUKEwijsoe018bSAhUnDcAKHc1aDRoQFggkMAA&amp;url=http%3A%2F%2Fhelp.matrixknowledge.com%2Ffile.axd%3Ffile%3DHE_final_report.pdf&amp;usg=AFQjCNEhdugeQz9ULFmKI6ST2BQaCnOlaQ" TargetMode="External"/><Relationship Id="rId314" Type="http://schemas.openxmlformats.org/officeDocument/2006/relationships/hyperlink" Target="https://deepblue.lib.umich.edu/handle/2027.42/140181" TargetMode="External"/><Relationship Id="rId5" Type="http://schemas.openxmlformats.org/officeDocument/2006/relationships/hyperlink" Target="http://journals.plos.org/plosone/article?id=10.1371/journal.pone.0095735" TargetMode="External"/><Relationship Id="rId95" Type="http://schemas.openxmlformats.org/officeDocument/2006/relationships/hyperlink" Target="http://www.lse.ac.uk/businessAndConsultancy/LSEEnterprise/pdf/PSSRUfeb2011.pdf" TargetMode="External"/><Relationship Id="rId160" Type="http://schemas.openxmlformats.org/officeDocument/2006/relationships/hyperlink" Target="https://www.nice.org.uk/guidance/ng64/evidence/evidence-statements-from-all-evidence-reviews-pdf-4368821149" TargetMode="External"/><Relationship Id="rId181" Type="http://schemas.openxmlformats.org/officeDocument/2006/relationships/hyperlink" Target="http://www.bmj.com/content/343/bmj.d5376" TargetMode="External"/><Relationship Id="rId216" Type="http://schemas.openxmlformats.org/officeDocument/2006/relationships/hyperlink" Target="https://www.nice.org.uk/guidance/ph48/evidence/economic-analysis-of-smoking-cessation-in-secondary-care-pdf-430362685" TargetMode="External"/><Relationship Id="rId237" Type="http://schemas.openxmlformats.org/officeDocument/2006/relationships/hyperlink" Target="https://www.nice.org.uk/guidance/cg30/evidence/full-guideline-pdf-194840605" TargetMode="External"/><Relationship Id="rId258" Type="http://schemas.openxmlformats.org/officeDocument/2006/relationships/hyperlink" Target="https://www.pssru.ac.uk/pub/Knapp_et_al_2011_MHPMHP-Economic-Case.pdf" TargetMode="External"/><Relationship Id="rId279" Type="http://schemas.openxmlformats.org/officeDocument/2006/relationships/hyperlink" Target="https://deepblue.lib.umich.edu/handle/2027.42/63402" TargetMode="External"/><Relationship Id="rId22" Type="http://schemas.openxmlformats.org/officeDocument/2006/relationships/hyperlink" Target="https://www.google.co.uk/url?sa=t&amp;rct=j&amp;q=&amp;esrc=s&amp;source=web&amp;cd=1&amp;cad=rja&amp;uact=8&amp;ved=0ahUKEwijsoe018bSAhUnDcAKHc1aDRoQFggkMAA&amp;url=http%3A%2F%2Fhelp.matrixknowledge.com%2Ffile.axd%3Ffile%3DHE_final_report.pdf&amp;usg=AFQjCNEhdugeQz9ULFmKI6ST2BQaCnOlaQ" TargetMode="External"/><Relationship Id="rId43" Type="http://schemas.openxmlformats.org/officeDocument/2006/relationships/hyperlink" Target="http://www.sciencedirect.com/science/article/pii/S0196655304004742" TargetMode="External"/><Relationship Id="rId64" Type="http://schemas.openxmlformats.org/officeDocument/2006/relationships/hyperlink" Target="https://www.nice.org.uk/guidance/ph1/evidence/economic-modelling-report-120990637" TargetMode="External"/><Relationship Id="rId118" Type="http://schemas.openxmlformats.org/officeDocument/2006/relationships/hyperlink" Target="https://www.nice.org.uk/guidance/ph17/evidence/cost-effectiveness-analysis-pdf-371241757" TargetMode="External"/><Relationship Id="rId139" Type="http://schemas.openxmlformats.org/officeDocument/2006/relationships/hyperlink" Target="https://www.gov.uk/government/publications/local-health-and-care-planning-menu-of-preventative-interventions" TargetMode="External"/><Relationship Id="rId290" Type="http://schemas.openxmlformats.org/officeDocument/2006/relationships/hyperlink" Target="https://www.gov.uk/government/publications/musculoskeletal-conditions-return-on-investment-tool" TargetMode="External"/><Relationship Id="rId304" Type="http://schemas.openxmlformats.org/officeDocument/2006/relationships/hyperlink" Target="https://www.sciencedirect.com/science/article/pii/S0749379715001300" TargetMode="External"/><Relationship Id="rId85" Type="http://schemas.openxmlformats.org/officeDocument/2006/relationships/hyperlink" Target="http://www.wsipp.wa.gov/ReportFile/979/Wsipp_Benefits-and-Costs-of-K-12-Educational-Policies-Evidence-Based-Effects-of-Class-Size-Reductions-and-Full-Day-Kindergarten_Initial-Report.pdf" TargetMode="External"/><Relationship Id="rId150" Type="http://schemas.openxmlformats.org/officeDocument/2006/relationships/hyperlink" Target="https://www.google.co.uk/url?sa=t&amp;rct=j&amp;q=&amp;esrc=s&amp;source=web&amp;cd=1&amp;cad=rja&amp;uact=8&amp;ved=0ahUKEwijsoe018bSAhUnDcAKHc1aDRoQFggkMAA&amp;url=http%3A%2F%2Fhelp.matrixknowledge.com%2Ffile.axd%3Ffile%3DHE_final_report.pdf&amp;usg=AFQjCNEhdugeQz9ULFmKI6ST2BQaCnOlaQ" TargetMode="External"/><Relationship Id="rId171" Type="http://schemas.openxmlformats.org/officeDocument/2006/relationships/hyperlink" Target="https://www.nice.org.uk/guidance/ph15/evidence/supplementary-economic-analysis-pdf-371205469" TargetMode="External"/><Relationship Id="rId192" Type="http://schemas.openxmlformats.org/officeDocument/2006/relationships/hyperlink" Target="https://academic.oup.com/eurpub/article-lookup/doi/10.1093/eurpub/ckm017" TargetMode="External"/><Relationship Id="rId206" Type="http://schemas.openxmlformats.org/officeDocument/2006/relationships/hyperlink" Target="https://www.nice.org.uk/guidance/ph48/evidence/economic-analysis-of-smoking-cessation-in-secondary-care-pdf-430362685" TargetMode="External"/><Relationship Id="rId227" Type="http://schemas.openxmlformats.org/officeDocument/2006/relationships/hyperlink" Target="https://www.nice.org.uk/guidance/ph3/evidence/economic-modelling-report-124482061" TargetMode="External"/><Relationship Id="rId248" Type="http://schemas.openxmlformats.org/officeDocument/2006/relationships/hyperlink" Target="https://cvd-prevention.shef.ac.uk/" TargetMode="External"/><Relationship Id="rId269" Type="http://schemas.openxmlformats.org/officeDocument/2006/relationships/hyperlink" Target="https://www.wirralintelligenceservice.org/media/1642/cost-effectiveness-of-stop-smoking-services-in-wirral-2015-v12.pdf" TargetMode="External"/><Relationship Id="rId12" Type="http://schemas.openxmlformats.org/officeDocument/2006/relationships/hyperlink" Target="https://web.archive.org/web/20141126232320/http:/teenagepregnancyassociates.co.uk/tpa-evidence.pdf" TargetMode="External"/><Relationship Id="rId33" Type="http://schemas.openxmlformats.org/officeDocument/2006/relationships/hyperlink" Target="https://www.journalslibrary.nihr.ac.uk/hta/hta19330" TargetMode="External"/><Relationship Id="rId108" Type="http://schemas.openxmlformats.org/officeDocument/2006/relationships/hyperlink" Target="https://www.nice.org.uk/guidance/cg115/evidence/full-guideline-136423405" TargetMode="External"/><Relationship Id="rId129" Type="http://schemas.openxmlformats.org/officeDocument/2006/relationships/hyperlink" Target="https://www.nice.org.uk/guidance/ph47/evidence/economic-modelling-report-430357501" TargetMode="External"/><Relationship Id="rId280" Type="http://schemas.openxmlformats.org/officeDocument/2006/relationships/hyperlink" Target="https://journals.sagepub.com/doi/abs/10.1177/1524839903260687" TargetMode="External"/><Relationship Id="rId315" Type="http://schemas.openxmlformats.org/officeDocument/2006/relationships/hyperlink" Target="https://www.gov.uk/government/publications/mental-health-services-cost-effective-commissioning" TargetMode="External"/><Relationship Id="rId54" Type="http://schemas.openxmlformats.org/officeDocument/2006/relationships/hyperlink" Target="https://www.gov.uk/government/uploads/system/uploads/attachment_data/file/182312/DFE-RR087.pdf" TargetMode="External"/><Relationship Id="rId75" Type="http://schemas.openxmlformats.org/officeDocument/2006/relationships/hyperlink" Target="https://www.nice.org.uk/guidance/ph15" TargetMode="External"/><Relationship Id="rId96" Type="http://schemas.openxmlformats.org/officeDocument/2006/relationships/hyperlink" Target="http://www.wsipp.wa.gov/ReportFile/881/Wsipp_Benefits-and-Costs-of-Prevention-and-Early-Intervention-Programs-for-Youth_Summary-Report.pd" TargetMode="External"/><Relationship Id="rId140" Type="http://schemas.openxmlformats.org/officeDocument/2006/relationships/hyperlink" Target="https://www.gov.uk/government/publications/local-health-and-care-planning-menu-of-preventative-interventions" TargetMode="External"/><Relationship Id="rId161" Type="http://schemas.openxmlformats.org/officeDocument/2006/relationships/hyperlink" Target="https://www.nice.org.uk/guidance/ng64/evidence/evidence-statements-from-all-evidence-reviews-pdf-4368821149" TargetMode="External"/><Relationship Id="rId182" Type="http://schemas.openxmlformats.org/officeDocument/2006/relationships/hyperlink" Target="http://www.bmj.com/content/343/bmj.d5694" TargetMode="External"/><Relationship Id="rId217" Type="http://schemas.openxmlformats.org/officeDocument/2006/relationships/hyperlink" Target="https://www.nice.org.uk/guidance/ph48/evidence/economic-analysis-of-smoking-cessation-in-secondary-care-pdf-430362685" TargetMode="External"/><Relationship Id="rId6" Type="http://schemas.openxmlformats.org/officeDocument/2006/relationships/hyperlink" Target="http://journals.plos.org/plosone/article?id=10.1371/journal.pone.0095735" TargetMode="External"/><Relationship Id="rId238" Type="http://schemas.openxmlformats.org/officeDocument/2006/relationships/hyperlink" Target="https://www.nice.org.uk/guidance/ph45/evidence/economic-analyses-pdf-430317325" TargetMode="External"/><Relationship Id="rId259" Type="http://schemas.openxmlformats.org/officeDocument/2006/relationships/hyperlink" Target="https://www.pssru.ac.uk/pub/Knapp_et_al_2011_MHPMHP-Economic-Case.pdf" TargetMode="External"/><Relationship Id="rId23" Type="http://schemas.openxmlformats.org/officeDocument/2006/relationships/hyperlink" Target="https://www.nice.org.uk/guidance/ph35/documents/type-2-diabetes-preventing-prediabetes-in-adults-report-on-costeffectiveness-evidence-and-methods-for-economic-modelling2" TargetMode="External"/><Relationship Id="rId119" Type="http://schemas.openxmlformats.org/officeDocument/2006/relationships/hyperlink" Target="https://www.nice.org.uk/guidance/ph8/evidence/economics-modelling-pdf-369708589" TargetMode="External"/><Relationship Id="rId270" Type="http://schemas.openxmlformats.org/officeDocument/2006/relationships/hyperlink" Target="https://psycnet.apa.org/record/2014-11068-001" TargetMode="External"/><Relationship Id="rId291" Type="http://schemas.openxmlformats.org/officeDocument/2006/relationships/hyperlink" Target="https://www.gov.uk/government/publications/musculoskeletal-conditions-return-on-investment-tool" TargetMode="External"/><Relationship Id="rId305" Type="http://schemas.openxmlformats.org/officeDocument/2006/relationships/hyperlink" Target="https://ehp.niehs.nih.gov/doi/10.1289/ehp.0800408" TargetMode="External"/><Relationship Id="rId44" Type="http://schemas.openxmlformats.org/officeDocument/2006/relationships/hyperlink" Target="https://www.gov.uk/government/uploads/system/uploads/attachment_data/file/565944/Local_health_and_care_planning_menu_of_preventative_interventions.pdf" TargetMode="External"/><Relationship Id="rId65" Type="http://schemas.openxmlformats.org/officeDocument/2006/relationships/hyperlink" Target="https://www.nice.org.uk/guidance/ph14/evidence/economic-modelling-report-369943165" TargetMode="External"/><Relationship Id="rId86" Type="http://schemas.openxmlformats.org/officeDocument/2006/relationships/hyperlink" Target="https://www.ncbi.nlm.nih.gov/pmc/articles/PMC3145373/" TargetMode="External"/><Relationship Id="rId130" Type="http://schemas.openxmlformats.org/officeDocument/2006/relationships/hyperlink" Target="https://www.nice.org.uk/guidance/ph53/evidence/economic-modelling-report-pdf-431715709" TargetMode="External"/><Relationship Id="rId151" Type="http://schemas.openxmlformats.org/officeDocument/2006/relationships/hyperlink" Target="https://www.nice.org.uk/guidance/ph12/evidence/economic-modelling-combined-report-369900397" TargetMode="External"/><Relationship Id="rId172" Type="http://schemas.openxmlformats.org/officeDocument/2006/relationships/hyperlink" Target="https://www.nice.org.uk/guidance/ph15/evidence/supplementary-economic-analysis-pdf-371205469" TargetMode="External"/><Relationship Id="rId193" Type="http://schemas.openxmlformats.org/officeDocument/2006/relationships/hyperlink" Target="http://help.matrixknowledge.com/interventions/" TargetMode="External"/><Relationship Id="rId207" Type="http://schemas.openxmlformats.org/officeDocument/2006/relationships/hyperlink" Target="https://www.nice.org.uk/guidance/ph48/evidence/economic-analysis-of-smoking-cessation-in-secondary-care-pdf-430362685" TargetMode="External"/><Relationship Id="rId228" Type="http://schemas.openxmlformats.org/officeDocument/2006/relationships/hyperlink" Target="https://www.nice.org.uk/guidance/ph3/evidence/economic-modelling-report-124482061" TargetMode="External"/><Relationship Id="rId249" Type="http://schemas.openxmlformats.org/officeDocument/2006/relationships/hyperlink" Target="https://www.gov.uk/government/publications/cardiovascular-disease-prevention-cost-effective-commissioning" TargetMode="External"/><Relationship Id="rId13" Type="http://schemas.openxmlformats.org/officeDocument/2006/relationships/hyperlink" Target="https://www.gov.uk/government/uploads/system/uploads/attachment_data/file/565944/Local_health_and_care_planning_menu_of_preventative_interventions.pdf" TargetMode="External"/><Relationship Id="rId109" Type="http://schemas.openxmlformats.org/officeDocument/2006/relationships/hyperlink" Target="https://www.ncbi.nlm.nih.gov/pubmed/24813652" TargetMode="External"/><Relationship Id="rId260" Type="http://schemas.openxmlformats.org/officeDocument/2006/relationships/hyperlink" Target="https://www.pssru.ac.uk/pub/Knapp_et_al_2011_MHPMHP-Economic-Case.pdf" TargetMode="External"/><Relationship Id="rId281" Type="http://schemas.openxmlformats.org/officeDocument/2006/relationships/hyperlink" Target="https://www.ncbi.nlm.nih.gov/pmc/articles/PMC5752026/pdf/pone.0190093.pdf" TargetMode="External"/><Relationship Id="rId316" Type="http://schemas.openxmlformats.org/officeDocument/2006/relationships/hyperlink" Target="https://www.gov.uk/government/publications/mental-health-services-cost-effective-commissioning" TargetMode="External"/><Relationship Id="rId34" Type="http://schemas.openxmlformats.org/officeDocument/2006/relationships/hyperlink" Target="https://www.gov.uk/government/uploads/system/uploads/attachment_data/file/456147/PHE_Evidence_Review_of_diabetes_prevention_programmes-_FINAL.pdf" TargetMode="External"/><Relationship Id="rId55" Type="http://schemas.openxmlformats.org/officeDocument/2006/relationships/hyperlink" Target="https://www.nice.org.uk/guidance/ng64/evidence/evidence-statements-from-all-evidence-reviews-pdf-4368821149" TargetMode="External"/><Relationship Id="rId76" Type="http://schemas.openxmlformats.org/officeDocument/2006/relationships/hyperlink" Target="https://www.nice.org.uk/guidance/ph15" TargetMode="External"/><Relationship Id="rId97" Type="http://schemas.openxmlformats.org/officeDocument/2006/relationships/hyperlink" Target="http://www.annualreviews.org/doi/full/10.1146/annurev.clinpsy.3.022806.091411?url_ver=Z39.88-2003&amp;rfr_id=ori%3Arid%3Acrossref.org&amp;rfr_dat=cr_pub%3Dpubmed" TargetMode="External"/><Relationship Id="rId120" Type="http://schemas.openxmlformats.org/officeDocument/2006/relationships/hyperlink" Target="https://www.nice.org.uk/guidance/ph41/evidence/economic-modelling-report-430262893" TargetMode="External"/><Relationship Id="rId141" Type="http://schemas.openxmlformats.org/officeDocument/2006/relationships/hyperlink" Target="https://www.gov.uk/government/uploads/system/uploads/attachment_data/file/255237/2901304_CMO_complete_low_res_accessible.pdf" TargetMode="External"/><Relationship Id="rId7" Type="http://schemas.openxmlformats.org/officeDocument/2006/relationships/hyperlink" Target="https://www.ncbi.nlm.nih.gov/pubmed/22067662" TargetMode="External"/><Relationship Id="rId162" Type="http://schemas.openxmlformats.org/officeDocument/2006/relationships/hyperlink" Target="https://www.nice.org.uk/guidance/ng64/evidence/evidence-statements-from-all-evidence-reviews-pdf-4368821149" TargetMode="External"/><Relationship Id="rId183" Type="http://schemas.openxmlformats.org/officeDocument/2006/relationships/hyperlink" Target="http://www.bmj.com/content/343/bmj.d5775" TargetMode="External"/><Relationship Id="rId218" Type="http://schemas.openxmlformats.org/officeDocument/2006/relationships/hyperlink" Target="https://www.nice.org.uk/guidance/ph3" TargetMode="External"/><Relationship Id="rId239" Type="http://schemas.openxmlformats.org/officeDocument/2006/relationships/hyperlink" Target="https://www.nice.org.uk/guidance/ph45/evidence/economic-analyses-pdf-430317325" TargetMode="External"/><Relationship Id="rId250" Type="http://schemas.openxmlformats.org/officeDocument/2006/relationships/hyperlink" Target="https://cvd-prevention.shef.ac.uk/" TargetMode="External"/><Relationship Id="rId271" Type="http://schemas.openxmlformats.org/officeDocument/2006/relationships/hyperlink" Target="https://www.sciencedirect.com/science/article/pii/S0091743509004769?via%3Dihub" TargetMode="External"/><Relationship Id="rId292" Type="http://schemas.openxmlformats.org/officeDocument/2006/relationships/hyperlink" Target="https://www.gov.uk/government/publications/musculoskeletal-conditions-return-on-investment-tool" TargetMode="External"/><Relationship Id="rId306" Type="http://schemas.openxmlformats.org/officeDocument/2006/relationships/hyperlink" Target="https://journals.lww.com/jaids/Fulltext/2012/03010/Return_on_Public_Health_Investment__CDC_s_Expanded.9.aspx" TargetMode="External"/><Relationship Id="rId24" Type="http://schemas.openxmlformats.org/officeDocument/2006/relationships/hyperlink" Target="http://bjgp.org/content/67/654/e67.long" TargetMode="External"/><Relationship Id="rId45" Type="http://schemas.openxmlformats.org/officeDocument/2006/relationships/hyperlink" Target="http://www.ajhp.org/content/71/3/227?sso-checked=true" TargetMode="External"/><Relationship Id="rId66" Type="http://schemas.openxmlformats.org/officeDocument/2006/relationships/hyperlink" Target="https://www.nice.org.uk/guidance/ph23/evidence/economic-modelling-371528173" TargetMode="External"/><Relationship Id="rId87" Type="http://schemas.openxmlformats.org/officeDocument/2006/relationships/hyperlink" Target="https://www.gov.uk/government/publications/improving-the-oral-health-of-children-cost-effective-commissioning" TargetMode="External"/><Relationship Id="rId110" Type="http://schemas.openxmlformats.org/officeDocument/2006/relationships/hyperlink" Target="https://www.nice.org.uk/guidance/ph47/chapter/3-considerations" TargetMode="External"/><Relationship Id="rId131" Type="http://schemas.openxmlformats.org/officeDocument/2006/relationships/hyperlink" Target="https://www.nice.org.uk/guidance/ph53/evidence/economic-modelling-report-pdf-431715709" TargetMode="External"/><Relationship Id="rId152" Type="http://schemas.openxmlformats.org/officeDocument/2006/relationships/hyperlink" Target="https://www.nice.org.uk/guidance/ph12/evidence/economic-modelling-combined-report-369900397" TargetMode="External"/><Relationship Id="rId173" Type="http://schemas.openxmlformats.org/officeDocument/2006/relationships/hyperlink" Target="https://www.nice.org.uk/guidance/ph15/evidence/supplementary-economic-analysis-pdf-371205469" TargetMode="External"/><Relationship Id="rId194" Type="http://schemas.openxmlformats.org/officeDocument/2006/relationships/hyperlink" Target="http://help.matrixknowledge.com/interventions/" TargetMode="External"/><Relationship Id="rId208" Type="http://schemas.openxmlformats.org/officeDocument/2006/relationships/hyperlink" Target="https://www.nice.org.uk/guidance/ph48/evidence/economic-analysis-of-smoking-cessation-in-secondary-care-pdf-430362685" TargetMode="External"/><Relationship Id="rId229" Type="http://schemas.openxmlformats.org/officeDocument/2006/relationships/hyperlink" Target="https://www.nice.org.uk/guidance/ph3/evidence/economic-modelling-report-124482061" TargetMode="External"/><Relationship Id="rId19" Type="http://schemas.openxmlformats.org/officeDocument/2006/relationships/hyperlink" Target="https://www.gov.uk/government/uploads/system/uploads/attachment_data/file/565944/Local_health_and_care_planning_menu_of_preventative_interventions.pdf" TargetMode="External"/><Relationship Id="rId224" Type="http://schemas.openxmlformats.org/officeDocument/2006/relationships/hyperlink" Target="https://www.nice.org.uk/guidance/ph3" TargetMode="External"/><Relationship Id="rId240" Type="http://schemas.openxmlformats.org/officeDocument/2006/relationships/hyperlink" Target="https://www.nice.org.uk/guidance/ph45/evidence/economic-analyses-pdf-430317325" TargetMode="External"/><Relationship Id="rId245" Type="http://schemas.openxmlformats.org/officeDocument/2006/relationships/hyperlink" Target="https://www.ncbi.nlm.nih.gov/pmc/articles/PMC5973555/" TargetMode="External"/><Relationship Id="rId261" Type="http://schemas.openxmlformats.org/officeDocument/2006/relationships/hyperlink" Target="https://www.nature.com/articles/s41366-018-0295-7" TargetMode="External"/><Relationship Id="rId266" Type="http://schemas.openxmlformats.org/officeDocument/2006/relationships/hyperlink" Target="https://www.sciencedirect.com/science/article/pii/S0955395909000607?via%3Dihub" TargetMode="External"/><Relationship Id="rId287" Type="http://schemas.openxmlformats.org/officeDocument/2006/relationships/hyperlink" Target="https://www.gov.uk/government/publications/falls-prevention-cost-effective-commissioning" TargetMode="External"/><Relationship Id="rId14" Type="http://schemas.openxmlformats.org/officeDocument/2006/relationships/hyperlink" Target="http://journals.plos.org/plosone/article?id=10.1371/journal.pone.0095735" TargetMode="External"/><Relationship Id="rId30" Type="http://schemas.openxmlformats.org/officeDocument/2006/relationships/hyperlink" Target="http://www.sciencedirect.com/science/article/pii/S016752731530735X" TargetMode="External"/><Relationship Id="rId35" Type="http://schemas.openxmlformats.org/officeDocument/2006/relationships/hyperlink" Target="https://academic.oup.com/jac/article-lookup/doi/10.1093/jac/dkp004" TargetMode="External"/><Relationship Id="rId56" Type="http://schemas.openxmlformats.org/officeDocument/2006/relationships/hyperlink" Target="https://www.gov.uk/government/uploads/system/uploads/attachment_data/file/565944/Local_health_and_care_planning_menu_of_preventative_interventions.pdf" TargetMode="External"/><Relationship Id="rId77" Type="http://schemas.openxmlformats.org/officeDocument/2006/relationships/hyperlink" Target="https://www.nice.org.uk/guidance/ph15" TargetMode="External"/><Relationship Id="rId100" Type="http://schemas.openxmlformats.org/officeDocument/2006/relationships/hyperlink" Target="https://www.ncbi.nlm.nih.gov/pmc/articles/PMC5010502/" TargetMode="External"/><Relationship Id="rId105" Type="http://schemas.openxmlformats.org/officeDocument/2006/relationships/hyperlink" Target="https://www.gov.uk/government/publications/local-health-and-care-planning-menu-of-preventative-interventions" TargetMode="External"/><Relationship Id="rId126" Type="http://schemas.openxmlformats.org/officeDocument/2006/relationships/hyperlink" Target="https://www.nice.org.uk/guidance/ph47/evidence/economic-modelling-report-430357501" TargetMode="External"/><Relationship Id="rId147" Type="http://schemas.openxmlformats.org/officeDocument/2006/relationships/hyperlink" Target="https://www.nice.org.uk/guidance/ph41/evidence/economic-modelling-report-430262893" TargetMode="External"/><Relationship Id="rId168" Type="http://schemas.openxmlformats.org/officeDocument/2006/relationships/hyperlink" Target="http://www.rcpch.ac.uk/sites/default/files/asset_library/Research/Clinical%20Effectiveness/Endorsed%20guidelines/Drug%20Misuse-%20Opioid%20Detox%20%28NICE%29/Full%20version.pdf" TargetMode="External"/><Relationship Id="rId282" Type="http://schemas.openxmlformats.org/officeDocument/2006/relationships/hyperlink" Target="https://www.ncbi.nlm.nih.gov/pmc/articles/PMC5752026/pdf/pone.0190093.pdf" TargetMode="External"/><Relationship Id="rId312" Type="http://schemas.openxmlformats.org/officeDocument/2006/relationships/hyperlink" Target="https://jamanetwork.com/journals/jamapediatrics/fullarticle/1872779" TargetMode="External"/><Relationship Id="rId317" Type="http://schemas.openxmlformats.org/officeDocument/2006/relationships/hyperlink" Target="https://www.ncbi.nlm.nih.gov/pmc/articles/PMC4096928/" TargetMode="External"/><Relationship Id="rId8" Type="http://schemas.openxmlformats.org/officeDocument/2006/relationships/hyperlink" Target="https://www.ncbi.nlm.nih.gov/pmc/articles/PMC4770372/" TargetMode="External"/><Relationship Id="rId51" Type="http://schemas.openxmlformats.org/officeDocument/2006/relationships/hyperlink" Target="http://www.bmj.com/content/331/7516/544" TargetMode="External"/><Relationship Id="rId72" Type="http://schemas.openxmlformats.org/officeDocument/2006/relationships/hyperlink" Target="https://www.nice.org.uk/guidance/ph1/evidence/economic-modelling-report-120990637" TargetMode="External"/><Relationship Id="rId93" Type="http://schemas.openxmlformats.org/officeDocument/2006/relationships/hyperlink" Target="https://eric.ed.gov/?id=EJ808225" TargetMode="External"/><Relationship Id="rId98" Type="http://schemas.openxmlformats.org/officeDocument/2006/relationships/hyperlink" Target="http://nieer.org/wp-content/uploads/2016/08/BenefitCostAbecedarian.pdf" TargetMode="External"/><Relationship Id="rId121" Type="http://schemas.openxmlformats.org/officeDocument/2006/relationships/hyperlink" Target="https://www.nice.org.uk/guidance/cg43/evidence/full-guideline-section-6-health-economics-evidence-statements-and-reviews-pdf-195027235" TargetMode="External"/><Relationship Id="rId142" Type="http://schemas.openxmlformats.org/officeDocument/2006/relationships/hyperlink" Target="https://www.nice.org.uk/guidance/ph41/evidence/economic-modelling-report-430262893" TargetMode="External"/><Relationship Id="rId163" Type="http://schemas.openxmlformats.org/officeDocument/2006/relationships/hyperlink" Target="https://www.nice.org.uk/guidance/ng64/evidence/evidence-statements-from-all-evidence-reviews-pdf-4368821149" TargetMode="External"/><Relationship Id="rId184" Type="http://schemas.openxmlformats.org/officeDocument/2006/relationships/hyperlink" Target="https://bmcmedicine.biomedcentral.com/track/pdf/10.1186/1741-7015-9-84?site=bmcmedicine.biomedcentral.com" TargetMode="External"/><Relationship Id="rId189" Type="http://schemas.openxmlformats.org/officeDocument/2006/relationships/hyperlink" Target="https://www.gov.uk/government/uploads/system/uploads/attachment_data/file/565944/Local_health_and_care_planning_menu_of_preventative_interventions.pdf" TargetMode="External"/><Relationship Id="rId219" Type="http://schemas.openxmlformats.org/officeDocument/2006/relationships/hyperlink" Target="https://www.nice.org.uk/guidance/ph3" TargetMode="External"/><Relationship Id="rId3" Type="http://schemas.openxmlformats.org/officeDocument/2006/relationships/hyperlink" Target="https://www.gov.uk/government/uploads/system/uploads/attachment_data/file/565944/Local_health_and_care_planning_menu_of_preventative_interventions.pdf" TargetMode="External"/><Relationship Id="rId214" Type="http://schemas.openxmlformats.org/officeDocument/2006/relationships/hyperlink" Target="https://www.nice.org.uk/guidance/ph48/evidence/economic-analysis-of-smoking-cessation-in-secondary-care-pdf-430362685" TargetMode="External"/><Relationship Id="rId230" Type="http://schemas.openxmlformats.org/officeDocument/2006/relationships/hyperlink" Target="https://www.nice.org.uk/guidance/ph3/evidence/economic-modelling-report-124482061" TargetMode="External"/><Relationship Id="rId235" Type="http://schemas.openxmlformats.org/officeDocument/2006/relationships/hyperlink" Target="https://www.ncbi.nlm.nih.gov/pubmed/11691562" TargetMode="External"/><Relationship Id="rId251" Type="http://schemas.openxmlformats.org/officeDocument/2006/relationships/hyperlink" Target="https://cvd-prevention.shef.ac.uk/" TargetMode="External"/><Relationship Id="rId256" Type="http://schemas.openxmlformats.org/officeDocument/2006/relationships/hyperlink" Target="https://www.journalslibrary.nihr.ac.uk/hta/hta22680/" TargetMode="External"/><Relationship Id="rId277" Type="http://schemas.openxmlformats.org/officeDocument/2006/relationships/hyperlink" Target="https://journals.plos.org/plosone/article?id=10.1371/journal.pone.0029665" TargetMode="External"/><Relationship Id="rId298" Type="http://schemas.openxmlformats.org/officeDocument/2006/relationships/hyperlink" Target="https://trove.nla.gov.au/work/23702261?q" TargetMode="External"/><Relationship Id="rId25" Type="http://schemas.openxmlformats.org/officeDocument/2006/relationships/hyperlink" Target="http://www.sciencedirect.com/science/article/pii/S0091743516300172" TargetMode="External"/><Relationship Id="rId46" Type="http://schemas.openxmlformats.org/officeDocument/2006/relationships/hyperlink" Target="https://www.gov.uk/government/uploads/system/uploads/attachment_data/file/565944/Local_health_and_care_planning_menu_of_preventative_interventions.pdf" TargetMode="External"/><Relationship Id="rId67" Type="http://schemas.openxmlformats.org/officeDocument/2006/relationships/hyperlink" Target="https://www.nice.org.uk/about/what-we-do/into-practice/return-on-investment-tools/tobacco-return-on-investment-tool" TargetMode="External"/><Relationship Id="rId116" Type="http://schemas.openxmlformats.org/officeDocument/2006/relationships/hyperlink" Target="https://www.ncbi.nlm.nih.gov/pubmed/22340890" TargetMode="External"/><Relationship Id="rId137" Type="http://schemas.openxmlformats.org/officeDocument/2006/relationships/hyperlink" Target="http://www.tandfonline.com/doi/abs/10.1080/13607861003713232?journalCode=camh20" TargetMode="External"/><Relationship Id="rId158" Type="http://schemas.openxmlformats.org/officeDocument/2006/relationships/hyperlink" Target="https://www.nice.org.uk/guidance/ng64/evidence/evidence-statements-from-all-evidence-reviews-pdf-4368821149" TargetMode="External"/><Relationship Id="rId272" Type="http://schemas.openxmlformats.org/officeDocument/2006/relationships/hyperlink" Target="https://psycnet.apa.org/record/2010-21484-016" TargetMode="External"/><Relationship Id="rId293" Type="http://schemas.openxmlformats.org/officeDocument/2006/relationships/hyperlink" Target="https://www.gov.uk/government/publications/musculoskeletal-conditions-return-on-investment-tool" TargetMode="External"/><Relationship Id="rId302" Type="http://schemas.openxmlformats.org/officeDocument/2006/relationships/hyperlink" Target="https://www.sciencedirect.com/science/article/pii/S0749379715000963" TargetMode="External"/><Relationship Id="rId307" Type="http://schemas.openxmlformats.org/officeDocument/2006/relationships/hyperlink" Target="https://jamanetwork.com/journals/jamainternalmedicine/fullarticle/647568" TargetMode="External"/><Relationship Id="rId323" Type="http://schemas.openxmlformats.org/officeDocument/2006/relationships/vmlDrawing" Target="../drawings/vmlDrawing1.vml"/><Relationship Id="rId20" Type="http://schemas.openxmlformats.org/officeDocument/2006/relationships/hyperlink" Target="https://www.gov.uk/government/uploads/system/uploads/attachment_data/file/565944/Local_health_and_care_planning_menu_of_preventative_interventions.pdf" TargetMode="External"/><Relationship Id="rId41" Type="http://schemas.openxmlformats.org/officeDocument/2006/relationships/hyperlink" Target="http://www.jstor.org/stable/pdf/10.1086/664909.pdf" TargetMode="External"/><Relationship Id="rId62" Type="http://schemas.openxmlformats.org/officeDocument/2006/relationships/hyperlink" Target="http://www.nice.org.uk/guidance/ph52/resources/ph52-needle-and-syringe-programmes-costing-statement2" TargetMode="External"/><Relationship Id="rId83" Type="http://schemas.openxmlformats.org/officeDocument/2006/relationships/hyperlink" Target="https://www.place2be.org.uk/media/1845/Cost%20Effective%20Positive%20Outcomes%20for%20Children%20and%20Families.pdf" TargetMode="External"/><Relationship Id="rId88" Type="http://schemas.openxmlformats.org/officeDocument/2006/relationships/hyperlink" Target="https://www.gov.uk/government/publications/improving-the-oral-health-of-children-cost-effective-commissioning" TargetMode="External"/><Relationship Id="rId111" Type="http://schemas.openxmlformats.org/officeDocument/2006/relationships/hyperlink" Target="https://www.nice.org.uk/guidance/ph35/evidence/report-on-costeffectiveness-evidence-and-methods-for-economic-modelling-pdf-68912173" TargetMode="External"/><Relationship Id="rId132" Type="http://schemas.openxmlformats.org/officeDocument/2006/relationships/hyperlink" Target="https://www.nice.org.uk/guidance/ph53/evidence/economic-modelling-report-pdf-431715709" TargetMode="External"/><Relationship Id="rId153" Type="http://schemas.openxmlformats.org/officeDocument/2006/relationships/hyperlink" Target="https://www.nice.org.uk/guidance/ph26/evidence/economic-analysis-review-376281901" TargetMode="External"/><Relationship Id="rId174" Type="http://schemas.openxmlformats.org/officeDocument/2006/relationships/hyperlink" Target="https://www.nice.org.uk/guidance/ph15/evidence/supplementary-economic-analysis-pdf-371205469" TargetMode="External"/><Relationship Id="rId179" Type="http://schemas.openxmlformats.org/officeDocument/2006/relationships/hyperlink" Target="http://www.thelancet.com/journals/lancet/article/PIIS0140-6736(17)30647-5/fulltext?elsca1=tlpr" TargetMode="External"/><Relationship Id="rId195" Type="http://schemas.openxmlformats.org/officeDocument/2006/relationships/hyperlink" Target="http://help.matrixknowledge.com/interventions/" TargetMode="External"/><Relationship Id="rId209" Type="http://schemas.openxmlformats.org/officeDocument/2006/relationships/hyperlink" Target="https://www.nice.org.uk/guidance/ph48/evidence/economic-analysis-of-smoking-cessation-in-secondary-care-pdf-430362685" TargetMode="External"/><Relationship Id="rId190" Type="http://schemas.openxmlformats.org/officeDocument/2006/relationships/hyperlink" Target="https://www.nice.org.uk/guidance/cg115/evidence/full-guideline-136423405" TargetMode="External"/><Relationship Id="rId204" Type="http://schemas.openxmlformats.org/officeDocument/2006/relationships/hyperlink" Target="https://www.nice.org.uk/guidance/ph48/evidence/economic-analysis-of-smoking-cessation-in-secondary-care-pdf-430362685" TargetMode="External"/><Relationship Id="rId220" Type="http://schemas.openxmlformats.org/officeDocument/2006/relationships/hyperlink" Target="https://www.nice.org.uk/guidance/ph3" TargetMode="External"/><Relationship Id="rId225" Type="http://schemas.openxmlformats.org/officeDocument/2006/relationships/hyperlink" Target="https://www.nice.org.uk/guidance/ph3" TargetMode="External"/><Relationship Id="rId241" Type="http://schemas.openxmlformats.org/officeDocument/2006/relationships/hyperlink" Target="https://www.nice.org.uk/guidance/ph45/evidence/economic-analyses-pdf-430317325" TargetMode="External"/><Relationship Id="rId246" Type="http://schemas.openxmlformats.org/officeDocument/2006/relationships/hyperlink" Target="https://journals.plos.org/plosmedicine/article?id=10.1371/journal.pmed.1002573" TargetMode="External"/><Relationship Id="rId267" Type="http://schemas.openxmlformats.org/officeDocument/2006/relationships/hyperlink" Target="https://www.ahajournals.org/doi/10.1161/HYPERTENSIONAHA.114.03780" TargetMode="External"/><Relationship Id="rId288" Type="http://schemas.openxmlformats.org/officeDocument/2006/relationships/hyperlink" Target="https://www.gov.uk/government/publications/falls-prevention-cost-effective-commissioning" TargetMode="External"/><Relationship Id="rId15" Type="http://schemas.openxmlformats.org/officeDocument/2006/relationships/hyperlink" Target="https://www.nice.org.uk/guidance/ph3/evidence/economic-modelling-report-124482061" TargetMode="External"/><Relationship Id="rId36" Type="http://schemas.openxmlformats.org/officeDocument/2006/relationships/hyperlink" Target="http://jamanetwork.com/journals/jama/fullarticle/389823" TargetMode="External"/><Relationship Id="rId57" Type="http://schemas.openxmlformats.org/officeDocument/2006/relationships/hyperlink" Target="https://www.nice.org.uk/guidance/ta325/chapter/4-consideration-of-the-evidence" TargetMode="External"/><Relationship Id="rId106" Type="http://schemas.openxmlformats.org/officeDocument/2006/relationships/hyperlink" Target="https://www.nice.org.uk/guidance/ph44/evidence/economic-modelling-of-brief-advice-on-physical-activity-for-adults-in-primary-care-pdf-430312141" TargetMode="External"/><Relationship Id="rId127" Type="http://schemas.openxmlformats.org/officeDocument/2006/relationships/hyperlink" Target="https://www.nice.org.uk/guidance/ph47/evidence/economic-modelling-report-430357501" TargetMode="External"/><Relationship Id="rId262" Type="http://schemas.openxmlformats.org/officeDocument/2006/relationships/hyperlink" Target="https://www.ncbi.nlm.nih.gov/books/NBK273998/" TargetMode="External"/><Relationship Id="rId283" Type="http://schemas.openxmlformats.org/officeDocument/2006/relationships/hyperlink" Target="https://www.ncbi.nlm.nih.gov/pmc/articles/PMC5752026/pdf/pone.0190093.pdf" TargetMode="External"/><Relationship Id="rId313" Type="http://schemas.openxmlformats.org/officeDocument/2006/relationships/hyperlink" Target="http://pediatrics.aappublications.org/content/110/4/653.long" TargetMode="External"/><Relationship Id="rId318" Type="http://schemas.openxmlformats.org/officeDocument/2006/relationships/hyperlink" Target="https://www.gov.uk/government/publications/local-health-and-care-planning-menu-of-preventative-interventions" TargetMode="External"/><Relationship Id="rId10" Type="http://schemas.openxmlformats.org/officeDocument/2006/relationships/hyperlink" Target="http://ecdc.europa.eu/en/publications/Publications/chlamydia-control-europe.pdf" TargetMode="External"/><Relationship Id="rId31" Type="http://schemas.openxmlformats.org/officeDocument/2006/relationships/hyperlink" Target="http://onlinelibrary.wiley.com/doi/10.1111/dme.12711/full" TargetMode="External"/><Relationship Id="rId52" Type="http://schemas.openxmlformats.org/officeDocument/2006/relationships/hyperlink" Target="http://www.bmj.com/content/331/7516/544" TargetMode="External"/><Relationship Id="rId73" Type="http://schemas.openxmlformats.org/officeDocument/2006/relationships/hyperlink" Target="https://www.nice.org.uk/guidance/ph10/evidence/smoking-cessation-services-economics-modelling-report-369845965" TargetMode="External"/><Relationship Id="rId78" Type="http://schemas.openxmlformats.org/officeDocument/2006/relationships/hyperlink" Target="https://www.gov.uk/government/publications/improving-the-oral-health-of-children-cost-effective-commissioning" TargetMode="External"/><Relationship Id="rId94" Type="http://schemas.openxmlformats.org/officeDocument/2006/relationships/hyperlink" Target="http://www.readingrecovery.ac.nz/research/download/ECRcosts2006.pdf" TargetMode="External"/><Relationship Id="rId99" Type="http://schemas.openxmlformats.org/officeDocument/2006/relationships/hyperlink" Target="http://journals.plos.org/plosone/article?id=10.1371/journal.pone.0136211" TargetMode="External"/><Relationship Id="rId101" Type="http://schemas.openxmlformats.org/officeDocument/2006/relationships/hyperlink" Target="http://ac.els-cdn.com/S0002817715002214/1-s2.0-S0002817715002214-main.pdf?_tid=e35dce40-19e4-11e7-8900-00000aacb35e&amp;acdnat=1491385831_0ed4d06dc7b128c75118019e0632ad39" TargetMode="External"/><Relationship Id="rId122" Type="http://schemas.openxmlformats.org/officeDocument/2006/relationships/hyperlink" Target="https://www.nice.org.uk/guidance/cg43/evidence/full-guideline-section-6-health-economics-evidence-statements-and-reviews-pdf-195027235" TargetMode="External"/><Relationship Id="rId143" Type="http://schemas.openxmlformats.org/officeDocument/2006/relationships/hyperlink" Target="https://www.nice.org.uk/guidance/ph41/evidence/economic-modelling-report-430262893" TargetMode="External"/><Relationship Id="rId148" Type="http://schemas.openxmlformats.org/officeDocument/2006/relationships/hyperlink" Target="http://help.matrixknowledge.com/interventions/" TargetMode="External"/><Relationship Id="rId164" Type="http://schemas.openxmlformats.org/officeDocument/2006/relationships/hyperlink" Target="https://www.nice.org.uk/guidance/ng64/evidence/evidence-statements-from-all-evidence-reviews-pdf-4368821149" TargetMode="External"/><Relationship Id="rId169" Type="http://schemas.openxmlformats.org/officeDocument/2006/relationships/hyperlink" Target="http://journal.frontiersin.org/article/10.3389/fpsyt.2014.00114/full" TargetMode="External"/><Relationship Id="rId185" Type="http://schemas.openxmlformats.org/officeDocument/2006/relationships/hyperlink" Target="http://www.sciencedirect.com/science/article/pii/S0264410X1001217X?via%3Dihub" TargetMode="External"/><Relationship Id="rId4" Type="http://schemas.openxmlformats.org/officeDocument/2006/relationships/hyperlink" Target="http://journals.plos.org/plosone/article?id=10.1371/journal.pone.0027830" TargetMode="External"/><Relationship Id="rId9" Type="http://schemas.openxmlformats.org/officeDocument/2006/relationships/hyperlink" Target="https://academic.oup.com/humrep/article-lookup/doi/10.1093/humrep/den091" TargetMode="External"/><Relationship Id="rId180" Type="http://schemas.openxmlformats.org/officeDocument/2006/relationships/hyperlink" Target="http://www.wavetrust.org/sites/default/files/reports/conception-to-age-2-full-report_0.pdf" TargetMode="External"/><Relationship Id="rId210" Type="http://schemas.openxmlformats.org/officeDocument/2006/relationships/hyperlink" Target="https://www.nice.org.uk/guidance/ph48/evidence/economic-analysis-of-smoking-cessation-in-secondary-care-pdf-430362685" TargetMode="External"/><Relationship Id="rId215" Type="http://schemas.openxmlformats.org/officeDocument/2006/relationships/hyperlink" Target="https://www.nice.org.uk/guidance/ph48/evidence/economic-analysis-of-smoking-cessation-in-secondary-care-pdf-430362685" TargetMode="External"/><Relationship Id="rId236" Type="http://schemas.openxmlformats.org/officeDocument/2006/relationships/hyperlink" Target="https://www.nice.org.uk/guidance/ph26/evidence/economic-analysis-review-376281901" TargetMode="External"/><Relationship Id="rId257" Type="http://schemas.openxmlformats.org/officeDocument/2006/relationships/hyperlink" Target="https://www.journalslibrary.nihr.ac.uk/hta/hta22680/" TargetMode="External"/><Relationship Id="rId278" Type="http://schemas.openxmlformats.org/officeDocument/2006/relationships/hyperlink" Target="https://www.jmcp.org/doi/10.18553/jmcp.2014.20.10.1036" TargetMode="External"/><Relationship Id="rId26" Type="http://schemas.openxmlformats.org/officeDocument/2006/relationships/hyperlink" Target="http://www.sciencedirect.com/science/article/pii/S0167527315308470" TargetMode="External"/><Relationship Id="rId231" Type="http://schemas.openxmlformats.org/officeDocument/2006/relationships/hyperlink" Target="https://www.nice.org.uk/guidance/ph3/evidence/economic-modelling-report-124482061" TargetMode="External"/><Relationship Id="rId252" Type="http://schemas.openxmlformats.org/officeDocument/2006/relationships/hyperlink" Target="https://onlinelibrary.wiley.com/doi/pdf/10.1111/add.14476" TargetMode="External"/><Relationship Id="rId273" Type="http://schemas.openxmlformats.org/officeDocument/2006/relationships/hyperlink" Target="https://www.jmcp.org/doi/10.18553/jmcp.2013.19.3.228" TargetMode="External"/><Relationship Id="rId294" Type="http://schemas.openxmlformats.org/officeDocument/2006/relationships/hyperlink" Target="https://www.gov.uk/government/publications/musculoskeletal-conditions-return-on-investment-tool" TargetMode="External"/><Relationship Id="rId308" Type="http://schemas.openxmlformats.org/officeDocument/2006/relationships/hyperlink" Target="https://journals.lww.com/aidsonline/fulltext/2012/11130/Estimating_the_cost_effectiveness_of.9.aspx" TargetMode="External"/><Relationship Id="rId47" Type="http://schemas.openxmlformats.org/officeDocument/2006/relationships/hyperlink" Target="http://ac.els-cdn.com/S0264410X05012946/1-s2.0-S0264410X05012946-main.pdf?_tid=9d39feca-1ab6-11e7-8ab9-00000aab0f26&amp;acdnat=1491475908_25c2c8b97b7568649cbc2094c3f5d3ab" TargetMode="External"/><Relationship Id="rId68" Type="http://schemas.openxmlformats.org/officeDocument/2006/relationships/hyperlink" Target="https://www.gov.uk/government/uploads/system/uploads/attachment_data/file/565944/Local_health_and_care_planning_menu_of_preventative_interventions.pdf" TargetMode="External"/><Relationship Id="rId89" Type="http://schemas.openxmlformats.org/officeDocument/2006/relationships/hyperlink" Target="https://www.gov.uk/government/publications/improving-the-oral-health-of-children-cost-effective-commissioning" TargetMode="External"/><Relationship Id="rId112" Type="http://schemas.openxmlformats.org/officeDocument/2006/relationships/hyperlink" Target="https://www.nice.org.uk/guidance/ph35/evidence/report-on-costeffectiveness-evidence-and-methods-for-economic-modelling-pdf-68912173" TargetMode="External"/><Relationship Id="rId133" Type="http://schemas.openxmlformats.org/officeDocument/2006/relationships/hyperlink" Target="https://www.nice.org.uk/guidance/ph13/evidence/economic-modelling-report-pdf-369939277" TargetMode="External"/><Relationship Id="rId154" Type="http://schemas.openxmlformats.org/officeDocument/2006/relationships/hyperlink" Target="https://www.nice.org.uk/guidance/ph26/evidence/economic-analysis-review-376281901" TargetMode="External"/><Relationship Id="rId175" Type="http://schemas.openxmlformats.org/officeDocument/2006/relationships/hyperlink" Target="https://www.nice.org.uk/guidance/ph15/evidence/supplementary-economic-analysis-pdf-371205469" TargetMode="External"/><Relationship Id="rId196" Type="http://schemas.openxmlformats.org/officeDocument/2006/relationships/hyperlink" Target="http://help.matrixknowledge.com/interventions/" TargetMode="External"/><Relationship Id="rId200" Type="http://schemas.openxmlformats.org/officeDocument/2006/relationships/hyperlink" Target="https://www.nice.org.uk/guidance/ph48/evidence/economic-analysis-of-smoking-cessation-in-secondary-care-pdf-430362685" TargetMode="External"/><Relationship Id="rId16" Type="http://schemas.openxmlformats.org/officeDocument/2006/relationships/hyperlink" Target="http://www.healthcheck.nhs.uk/document.php?o=225" TargetMode="External"/><Relationship Id="rId221" Type="http://schemas.openxmlformats.org/officeDocument/2006/relationships/hyperlink" Target="https://www.nice.org.uk/guidance/ph3" TargetMode="External"/><Relationship Id="rId242" Type="http://schemas.openxmlformats.org/officeDocument/2006/relationships/hyperlink" Target="http://www.wsipp.wa.gov/ReportFile/979/Wsipp_Benefits-and-Costs-of-K-12-Educational-Policies-Evidence-Based-Effects-of-Class-Size-Reductions-and-Full-Day-Kindergarten_Initial-Report.pdf" TargetMode="External"/><Relationship Id="rId263" Type="http://schemas.openxmlformats.org/officeDocument/2006/relationships/hyperlink" Target="https://www.gov.uk/government/publications/best-start-in-life-cost-effective-commissioning" TargetMode="External"/><Relationship Id="rId284" Type="http://schemas.openxmlformats.org/officeDocument/2006/relationships/hyperlink" Target="https://ac.els-cdn.com/S147330991500417X/1-s2.0-S147330991500417X-main.pdf?_tid=bc2974c2-b8ed-4dcf-a513-dac6cac03b2f&amp;acdnat=1551879376_62371a92e3bb0f89f6380a907c7b78dd" TargetMode="External"/><Relationship Id="rId319" Type="http://schemas.openxmlformats.org/officeDocument/2006/relationships/hyperlink" Target="https://www.gov.uk/government/publications/local-health-and-care-planning-menu-of-preventative-interventions" TargetMode="External"/><Relationship Id="rId37" Type="http://schemas.openxmlformats.org/officeDocument/2006/relationships/hyperlink" Target="http://ac.els-cdn.com/S1098301510605633/1-s2.0-S1098301510605633-main.pdf?_tid=cd43a4e6-1ddf-11e7-a07a-00000aab0f6c&amp;acdnat=1491823451_efb611d1212c13d82e7e12651a182d6c" TargetMode="External"/><Relationship Id="rId58" Type="http://schemas.openxmlformats.org/officeDocument/2006/relationships/hyperlink" Target="https://www.nice.org.uk/guidance/ta114/resources/methadone-and-buprenorphine-for-the-management-of-opioid-dependence-pdf-82598072878789" TargetMode="External"/><Relationship Id="rId79" Type="http://schemas.openxmlformats.org/officeDocument/2006/relationships/hyperlink" Target="http://www.nber.org/papers/w12352.pdf" TargetMode="External"/><Relationship Id="rId102" Type="http://schemas.openxmlformats.org/officeDocument/2006/relationships/hyperlink" Target="http://onlinelibrary.wiley.com/doi/10.1111/cdoe.12181/full" TargetMode="External"/><Relationship Id="rId123" Type="http://schemas.openxmlformats.org/officeDocument/2006/relationships/hyperlink" Target="https://www.nice.org.uk/guidance/PH27/documents/weight-management-following-childbirth-economic-modelling-report2" TargetMode="External"/><Relationship Id="rId144" Type="http://schemas.openxmlformats.org/officeDocument/2006/relationships/hyperlink" Target="https://www.nice.org.uk/guidance/ph41/evidence/economic-modelling-report-430262893" TargetMode="External"/><Relationship Id="rId90" Type="http://schemas.openxmlformats.org/officeDocument/2006/relationships/hyperlink" Target="https://www.gov.uk/government/publications/improving-the-oral-health-of-children-cost-effective-commissioning" TargetMode="External"/><Relationship Id="rId165" Type="http://schemas.openxmlformats.org/officeDocument/2006/relationships/hyperlink" Target="https://www.nice.org.uk/guidance/ph10/evidence/smoking-cessation-services-economics-modelling-report-369845965" TargetMode="External"/><Relationship Id="rId186" Type="http://schemas.openxmlformats.org/officeDocument/2006/relationships/hyperlink" Target="https://www.nice.org.uk/guidance/cg115/evidence/full-guideline-136423405" TargetMode="External"/><Relationship Id="rId211" Type="http://schemas.openxmlformats.org/officeDocument/2006/relationships/hyperlink" Target="https://www.nice.org.uk/guidance/ph48/evidence/economic-analysis-of-smoking-cessation-in-secondary-care-pdf-430362685" TargetMode="External"/><Relationship Id="rId232" Type="http://schemas.openxmlformats.org/officeDocument/2006/relationships/hyperlink" Target="https://www.nice.org.uk/guidance/ph3/evidence/economic-modelling-report-124482061" TargetMode="External"/><Relationship Id="rId253" Type="http://schemas.openxmlformats.org/officeDocument/2006/relationships/hyperlink" Target="https://www.gov.uk/government/publications/fiscal-and-pricing-policies-evidence-report-and-framework" TargetMode="External"/><Relationship Id="rId274" Type="http://schemas.openxmlformats.org/officeDocument/2006/relationships/hyperlink" Target="https://academic.oup.com/jpubhealth/article/35/1/40/1592845" TargetMode="External"/><Relationship Id="rId295" Type="http://schemas.openxmlformats.org/officeDocument/2006/relationships/hyperlink" Target="https://www.gov.uk/government/publications/musculoskeletal-conditions-return-on-investment-tool" TargetMode="External"/><Relationship Id="rId309" Type="http://schemas.openxmlformats.org/officeDocument/2006/relationships/hyperlink" Target="https://link.springer.com/article/10.1007%2Fs10461-014-0789-9" TargetMode="External"/><Relationship Id="rId27" Type="http://schemas.openxmlformats.org/officeDocument/2006/relationships/hyperlink" Target="http://www.sciencedirect.com/science/article/pii/S1098301516007786" TargetMode="External"/><Relationship Id="rId48" Type="http://schemas.openxmlformats.org/officeDocument/2006/relationships/hyperlink" Target="http://citeseerx.ist.psu.edu/viewdoc/download?doi=10.1.1.484.859&amp;rep=rep1&amp;type=pdf" TargetMode="External"/><Relationship Id="rId69" Type="http://schemas.openxmlformats.org/officeDocument/2006/relationships/hyperlink" Target="http://www.euro.who.int/__data/assets/pdf_file/0006/283695/Promoting-Health-Preventing-Disease-Economic-Case.pdf?ua=1" TargetMode="External"/><Relationship Id="rId113" Type="http://schemas.openxmlformats.org/officeDocument/2006/relationships/hyperlink" Target="https://www.nice.org.uk/guidance/ph35/evidence/report-on-costeffectiveness-evidence-and-methods-for-economic-modelling-pdf-68912173" TargetMode="External"/><Relationship Id="rId134" Type="http://schemas.openxmlformats.org/officeDocument/2006/relationships/hyperlink" Target="https://www.nice.org.uk/guidance/ph13/evidence/economic-modelling-report-pdf-369939277" TargetMode="External"/><Relationship Id="rId320" Type="http://schemas.openxmlformats.org/officeDocument/2006/relationships/hyperlink" Target="https://webarchive.nationalarchives.gov.uk/20130124050747/http:/www.dh.gov.uk/prod_consum_dh/groups/dh_digitalassets/documents/digitalasset/dh_110099.pdf" TargetMode="External"/><Relationship Id="rId80" Type="http://schemas.openxmlformats.org/officeDocument/2006/relationships/hyperlink" Target="http://www.publicmentalhealth.org/Documents/749/Promoting%20Mental%20Health%20Report%20(English).pdf" TargetMode="External"/><Relationship Id="rId155" Type="http://schemas.openxmlformats.org/officeDocument/2006/relationships/hyperlink" Target="http://www.tandfonline.com/doi/abs/10.1080/13607861003713232?journalCode=camh20" TargetMode="External"/><Relationship Id="rId176" Type="http://schemas.openxmlformats.org/officeDocument/2006/relationships/hyperlink" Target="https://www.nice.org.uk/guidance/ph3/evidence/economic-modelling-report-124482061" TargetMode="External"/><Relationship Id="rId197" Type="http://schemas.openxmlformats.org/officeDocument/2006/relationships/hyperlink" Target="http://www.gacetasanitaria.org/es/analisis-coste-efectividad-vacunacion-antineumococica-espana/articulo/S0213911111000963/" TargetMode="External"/><Relationship Id="rId201" Type="http://schemas.openxmlformats.org/officeDocument/2006/relationships/hyperlink" Target="https://www.nice.org.uk/guidance/ph48/evidence/economic-analysis-of-smoking-cessation-in-secondary-care-pdf-430362685" TargetMode="External"/><Relationship Id="rId222" Type="http://schemas.openxmlformats.org/officeDocument/2006/relationships/hyperlink" Target="https://www.nice.org.uk/guidance/ph3" TargetMode="External"/><Relationship Id="rId243" Type="http://schemas.openxmlformats.org/officeDocument/2006/relationships/hyperlink" Target="http://www.wsipp.wa.gov/ReportFile/979/Wsipp_Benefits-and-Costs-of-K-12-Educational-Policies-Evidence-Based-Effects-of-Class-Size-Reductions-and-Full-Day-Kindergarten_Initial-Report.pdf" TargetMode="External"/><Relationship Id="rId264" Type="http://schemas.openxmlformats.org/officeDocument/2006/relationships/hyperlink" Target="https://www.gov.uk/government/publications/best-start-in-life-cost-effective-commissioning" TargetMode="External"/><Relationship Id="rId285" Type="http://schemas.openxmlformats.org/officeDocument/2006/relationships/hyperlink" Target="https://www.gov.uk/government/publications/contraceptive-services-estimating-the-return-on-investment" TargetMode="External"/><Relationship Id="rId17" Type="http://schemas.openxmlformats.org/officeDocument/2006/relationships/hyperlink" Target="http://journals.plos.org/plosone/article?id=10.1371/journal.pone.0066454" TargetMode="External"/><Relationship Id="rId38" Type="http://schemas.openxmlformats.org/officeDocument/2006/relationships/hyperlink" Target="http://www.atsjournals.org/doi/pdf/10.1164/ajrccm.162.6.2001111" TargetMode="External"/><Relationship Id="rId59" Type="http://schemas.openxmlformats.org/officeDocument/2006/relationships/hyperlink" Target="http://bjp.rcpsych.org/content/203/5/341" TargetMode="External"/><Relationship Id="rId103" Type="http://schemas.openxmlformats.org/officeDocument/2006/relationships/hyperlink" Target="https://www.ncbi.nlm.nih.gov/books/NBK98326/pdf/Bookshelf_NBK98326.pdf" TargetMode="External"/><Relationship Id="rId124" Type="http://schemas.openxmlformats.org/officeDocument/2006/relationships/hyperlink" Target="https://www.nice.org.uk/guidance/ph17/evidence/cost-effectiveness-analysis-pdf-371241757" TargetMode="External"/><Relationship Id="rId310" Type="http://schemas.openxmlformats.org/officeDocument/2006/relationships/hyperlink" Target="https://jamanetwork.com/journals/jamainternalmedicine/fullarticle/647568" TargetMode="External"/><Relationship Id="rId70" Type="http://schemas.openxmlformats.org/officeDocument/2006/relationships/hyperlink" Target="https://www.nice.org.uk/guidance/ph10/evidence/smoking-cessation-services-economics-modelling-report-369845965" TargetMode="External"/><Relationship Id="rId91" Type="http://schemas.openxmlformats.org/officeDocument/2006/relationships/hyperlink" Target="https://www.gov.uk/government/publications/improving-the-oral-health-of-children-cost-effective-commissioning" TargetMode="External"/><Relationship Id="rId145" Type="http://schemas.openxmlformats.org/officeDocument/2006/relationships/hyperlink" Target="https://www.nice.org.uk/guidance/ph41/evidence/economic-modelling-report-430262893" TargetMode="External"/><Relationship Id="rId166" Type="http://schemas.openxmlformats.org/officeDocument/2006/relationships/hyperlink" Target="https://www.nice.org.uk/guidance/ph18/documents/needle-and-syringe-programmes-economic-modelling-revised-full-report-september-082" TargetMode="External"/><Relationship Id="rId187" Type="http://schemas.openxmlformats.org/officeDocument/2006/relationships/hyperlink" Target="https://www.nice.org.uk/guidance/cg115/evidence/full-guideline-136423405" TargetMode="External"/><Relationship Id="rId1" Type="http://schemas.openxmlformats.org/officeDocument/2006/relationships/hyperlink" Target="http://theagc.org.uk/wp-content/uploads/2013/08/Contraception-Atlas-2013-FINAL.pdf" TargetMode="External"/><Relationship Id="rId212" Type="http://schemas.openxmlformats.org/officeDocument/2006/relationships/hyperlink" Target="https://www.nice.org.uk/guidance/ph48/evidence/economic-analysis-of-smoking-cessation-in-secondary-care-pdf-430362685" TargetMode="External"/><Relationship Id="rId233" Type="http://schemas.openxmlformats.org/officeDocument/2006/relationships/hyperlink" Target="https://www.nice.org.uk/guidance/ph3/evidence/economic-modelling-report-124482061" TargetMode="External"/><Relationship Id="rId254" Type="http://schemas.openxmlformats.org/officeDocument/2006/relationships/hyperlink" Target="https://dpp-roi-tool.shef.ac.uk/" TargetMode="External"/><Relationship Id="rId28" Type="http://schemas.openxmlformats.org/officeDocument/2006/relationships/hyperlink" Target="http://onlinelibrary.wiley.com/doi/10.1002/14651858.CD010411.pub2/pdf" TargetMode="External"/><Relationship Id="rId49" Type="http://schemas.openxmlformats.org/officeDocument/2006/relationships/hyperlink" Target="http://www.nejm.org/doi/pdf/10.1056/NEJMoa1000446" TargetMode="External"/><Relationship Id="rId114" Type="http://schemas.openxmlformats.org/officeDocument/2006/relationships/hyperlink" Target="https://www.nice.org.uk/guidance/ph35/evidence/report-on-costeffectiveness-evidence-and-methods-for-economic-modelling-pdf-68912173" TargetMode="External"/><Relationship Id="rId275" Type="http://schemas.openxmlformats.org/officeDocument/2006/relationships/hyperlink" Target="https://onlinelibrary.wiley.com/doi/full/10.1111/j.1467-8624.2010.01563.x" TargetMode="External"/><Relationship Id="rId296" Type="http://schemas.openxmlformats.org/officeDocument/2006/relationships/hyperlink" Target="https://www.gov.uk/government/publications/musculoskeletal-conditions-return-on-investment-tool" TargetMode="External"/><Relationship Id="rId300" Type="http://schemas.openxmlformats.org/officeDocument/2006/relationships/hyperlink" Target="https://doi.org/10.1192/bjp.bp.112.113746" TargetMode="External"/><Relationship Id="rId60" Type="http://schemas.openxmlformats.org/officeDocument/2006/relationships/hyperlink" Target="https://www.ncbi.nlm.nih.gov/pubmedhealth/PMH0082066/pdf/PubMedHealth_PMH0082066.pdf" TargetMode="External"/><Relationship Id="rId81" Type="http://schemas.openxmlformats.org/officeDocument/2006/relationships/hyperlink" Target="http://download.springer.com/static/pdf/509/art%253A10.1007%252Fs10198-011-0342-y.pdf?originUrl=http%3A%2F%2Flink.springer.com%2Farticle%2F10.1007%2Fs10198-011-0342-y&amp;token2=exp=1436543675~acl=%2Fstatic%2Fpdf%2F509%2Fart%25253A10.1007%25252Fs10198-011-034" TargetMode="External"/><Relationship Id="rId135" Type="http://schemas.openxmlformats.org/officeDocument/2006/relationships/hyperlink" Target="http://www.socialfinance.org.uk/wp-content/uploads/2014/11/matrix_be_active_final_report_0.pdf" TargetMode="External"/><Relationship Id="rId156" Type="http://schemas.openxmlformats.org/officeDocument/2006/relationships/hyperlink" Target="https://www.nice.org.uk/guidance/ng64/evidence/evidence-statements-from-all-evidence-reviews-pdf-4368821149" TargetMode="External"/><Relationship Id="rId177" Type="http://schemas.openxmlformats.org/officeDocument/2006/relationships/hyperlink" Target="https://www.nice.org.uk/guidance/ph15/evidence/supplementary-economic-analysis-pdf-371205469" TargetMode="External"/><Relationship Id="rId198" Type="http://schemas.openxmlformats.org/officeDocument/2006/relationships/hyperlink" Target="https://www.ncbi.nlm.nih.gov/pubmed/21640443" TargetMode="External"/><Relationship Id="rId321" Type="http://schemas.openxmlformats.org/officeDocument/2006/relationships/printerSettings" Target="../printerSettings/printerSettings3.bin"/><Relationship Id="rId202" Type="http://schemas.openxmlformats.org/officeDocument/2006/relationships/hyperlink" Target="https://www.nice.org.uk/guidance/ph48/evidence/economic-analysis-of-smoking-cessation-in-secondary-care-pdf-430362685" TargetMode="External"/><Relationship Id="rId223" Type="http://schemas.openxmlformats.org/officeDocument/2006/relationships/hyperlink" Target="https://www.nice.org.uk/guidance/ph3" TargetMode="External"/><Relationship Id="rId244" Type="http://schemas.openxmlformats.org/officeDocument/2006/relationships/hyperlink" Target="http://www.wsipp.wa.gov/ReportFile/979/Wsipp_Benefits-and-Costs-of-K-12-Educational-Policies-Evidence-Based-Effects-of-Class-Size-Reductions-and-Full-Day-Kindergarten_Initial-Report.pdf" TargetMode="External"/><Relationship Id="rId18" Type="http://schemas.openxmlformats.org/officeDocument/2006/relationships/hyperlink" Target="http://www.bmj.com/content/336/7654/1180.long" TargetMode="External"/><Relationship Id="rId39" Type="http://schemas.openxmlformats.org/officeDocument/2006/relationships/hyperlink" Target="https://www.ncbi.nlm.nih.gov/pmc/articles/PMC3108102/" TargetMode="External"/><Relationship Id="rId265" Type="http://schemas.openxmlformats.org/officeDocument/2006/relationships/hyperlink" Target="https://www.gov.uk/government/publications/best-start-in-life-cost-effective-commissioning" TargetMode="External"/><Relationship Id="rId286" Type="http://schemas.openxmlformats.org/officeDocument/2006/relationships/hyperlink" Target="https://www.gov.uk/government/publications/falls-prevention-cost-effective-commissioning" TargetMode="External"/><Relationship Id="rId50" Type="http://schemas.openxmlformats.org/officeDocument/2006/relationships/hyperlink" Target="https://www.ncbi.nlm.nih.gov/pmc/articles/PMC5330216/" TargetMode="External"/><Relationship Id="rId104" Type="http://schemas.openxmlformats.org/officeDocument/2006/relationships/hyperlink" Target="https://www.nice.org.uk/guidance/ph13/evidence/economic-modelling-report-pdf-369939277" TargetMode="External"/><Relationship Id="rId125" Type="http://schemas.openxmlformats.org/officeDocument/2006/relationships/hyperlink" Target="https://www.nice.org.uk/guidance/ph47/evidence/economic-modelling-report-430357501" TargetMode="External"/><Relationship Id="rId146" Type="http://schemas.openxmlformats.org/officeDocument/2006/relationships/hyperlink" Target="https://www.nice.org.uk/guidance/ph41/evidence/economic-modelling-report-430262893" TargetMode="External"/><Relationship Id="rId167" Type="http://schemas.openxmlformats.org/officeDocument/2006/relationships/hyperlink" Target="http://www.rcpch.ac.uk/sites/default/files/asset_library/Research/Clinical%20Effectiveness/Endorsed%20guidelines/Drug%20Misuse-%20Opioid%20Detox%20%28NICE%29/Full%20version.pdf" TargetMode="External"/><Relationship Id="rId188" Type="http://schemas.openxmlformats.org/officeDocument/2006/relationships/hyperlink" Target="https://arms.evidence.nhs.uk/resources/qipp/29420/attachment" TargetMode="External"/><Relationship Id="rId311" Type="http://schemas.openxmlformats.org/officeDocument/2006/relationships/hyperlink" Target="https://www.ncbi.nlm.nih.gov/pmc/articles/PMC1615431/" TargetMode="External"/><Relationship Id="rId71" Type="http://schemas.openxmlformats.org/officeDocument/2006/relationships/hyperlink" Target="https://www.nice.org.uk/guidance/ph1/evidence/economic-modelling-report-120990637" TargetMode="External"/><Relationship Id="rId92" Type="http://schemas.openxmlformats.org/officeDocument/2006/relationships/hyperlink" Target="http://www.lse.ac.uk/businessAndConsultancy/LSEEnterprise/pdf/PSSRUfeb2011.pdf" TargetMode="External"/><Relationship Id="rId213" Type="http://schemas.openxmlformats.org/officeDocument/2006/relationships/hyperlink" Target="https://www.nice.org.uk/guidance/ph48/evidence/economic-analysis-of-smoking-cessation-in-secondary-care-pdf-430362685" TargetMode="External"/><Relationship Id="rId234" Type="http://schemas.openxmlformats.org/officeDocument/2006/relationships/hyperlink" Target="https://www.nice.org.uk/guidance/ph35" TargetMode="External"/><Relationship Id="rId2" Type="http://schemas.openxmlformats.org/officeDocument/2006/relationships/hyperlink" Target="http://theagc.org.uk/wp-content/uploads/2013/08/Contraception-Atlas-2013-FINAL.pdf" TargetMode="External"/><Relationship Id="rId29" Type="http://schemas.openxmlformats.org/officeDocument/2006/relationships/hyperlink" Target="https://www.journalslibrary.nihr.ac.uk/hta/hta191000" TargetMode="External"/><Relationship Id="rId255" Type="http://schemas.openxmlformats.org/officeDocument/2006/relationships/hyperlink" Target="https://www.journalslibrary.nihr.ac.uk/hta/hta22680/" TargetMode="External"/><Relationship Id="rId276" Type="http://schemas.openxmlformats.org/officeDocument/2006/relationships/hyperlink" Target="https://onlinelibrary.wiley.com/doi/full/10.1111/j.1467-8624.2010.01563.x" TargetMode="External"/><Relationship Id="rId297" Type="http://schemas.openxmlformats.org/officeDocument/2006/relationships/hyperlink" Target="https://trove.nla.gov.au/work/23702261?q" TargetMode="External"/><Relationship Id="rId40" Type="http://schemas.openxmlformats.org/officeDocument/2006/relationships/hyperlink" Target="http://www.tandfonline.com/doi/full/10.1517/14656566.2015.973854" TargetMode="External"/><Relationship Id="rId115" Type="http://schemas.openxmlformats.org/officeDocument/2006/relationships/hyperlink" Target="https://www.nice.org.uk/guidance/ph35/evidence/report-on-costeffectiveness-evidence-and-methods-for-economic-modelling-pdf-68912173" TargetMode="External"/><Relationship Id="rId136" Type="http://schemas.openxmlformats.org/officeDocument/2006/relationships/hyperlink" Target="https://trl.co.uk/sites/default/files/TRL512.pdf" TargetMode="External"/><Relationship Id="rId157" Type="http://schemas.openxmlformats.org/officeDocument/2006/relationships/hyperlink" Target="https://www.nice.org.uk/guidance/ng64/evidence/evidence-statements-from-all-evidence-reviews-pdf-4368821149" TargetMode="External"/><Relationship Id="rId178" Type="http://schemas.openxmlformats.org/officeDocument/2006/relationships/hyperlink" Target="https://www.nice.org.uk/guidance/ph18/documents/needle-and-syringe-programmes-economic-modelling-revised-full-report-september-082" TargetMode="External"/><Relationship Id="rId301" Type="http://schemas.openxmlformats.org/officeDocument/2006/relationships/hyperlink" Target="https://www.sciencedirect.com/science/article/pii/S0749379715001543" TargetMode="External"/><Relationship Id="rId322" Type="http://schemas.openxmlformats.org/officeDocument/2006/relationships/drawing" Target="../drawings/drawing3.xml"/><Relationship Id="rId61" Type="http://schemas.openxmlformats.org/officeDocument/2006/relationships/hyperlink" Target="http://tna.europarchive.org/20100413151426/rds.homeoffice.gov.uk/rds/pdfs09/horr25c.pdf" TargetMode="External"/><Relationship Id="rId82" Type="http://schemas.openxmlformats.org/officeDocument/2006/relationships/hyperlink" Target="https://www.sheffield.ac.uk/polopoly_fs/1.43296!/file/Schools-1_2.pdf" TargetMode="External"/><Relationship Id="rId199" Type="http://schemas.openxmlformats.org/officeDocument/2006/relationships/hyperlink" Target="https://www.nice.org.uk/guidance/ph48/evidence/economic-analysis-of-smoking-cessation-in-secondary-care-pdf-430362685" TargetMode="External"/><Relationship Id="rId203" Type="http://schemas.openxmlformats.org/officeDocument/2006/relationships/hyperlink" Target="https://www.nice.org.uk/guidance/ph48/evidence/economic-analysis-of-smoking-cessation-in-secondary-care-pdf-430362685"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nice.org.uk/guidance/ph10/evidence/smoking-cessation-services-economics-modelling-report-369845965"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ov.uk/government/publications/the-magenta-book" TargetMode="External"/><Relationship Id="rId1" Type="http://schemas.openxmlformats.org/officeDocument/2006/relationships/hyperlink" Target="https://www.nice.org.uk/process/pmg4/chapter/introduction"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google.co.uk/url?sa=t&amp;rct=j&amp;q=&amp;esrc=s&amp;source=web&amp;cd=1&amp;cad=rja&amp;uact=8&amp;ved=0ahUKEwijsoe018bSAhUnDcAKHc1aDRoQFggkMAA&amp;url=http%3A%2F%2Fhelp.matrixknowledge.com%2Ffile.axd%3Ffile%3DHE_final_report.pdf&amp;usg=AFQjCNEhdugeQz9ULFmKI6ST2BQaCnOlaQ" TargetMode="External"/><Relationship Id="rId13" Type="http://schemas.openxmlformats.org/officeDocument/2006/relationships/hyperlink" Target="http://www.nwph.net/Publications/HEALTH%20CHOICES%20.pdf" TargetMode="External"/><Relationship Id="rId18" Type="http://schemas.openxmlformats.org/officeDocument/2006/relationships/hyperlink" Target="http://www.facebook.com/PublicHealthEngland" TargetMode="External"/><Relationship Id="rId3" Type="http://schemas.openxmlformats.org/officeDocument/2006/relationships/hyperlink" Target="https://www.gov.uk/government/uploads/system/uploads/attachment_data/file/565944/Local_health_and_care_planning_menu_of_preventative_interventions.pdf" TargetMode="External"/><Relationship Id="rId7" Type="http://schemas.openxmlformats.org/officeDocument/2006/relationships/hyperlink" Target="https://www.gov.uk/government/uploads/system/uploads/attachment_data/file/456147/PHE_Evidence_Review_of_diabetes_prevention_programmes-_FINAL.pdf" TargetMode="External"/><Relationship Id="rId12" Type="http://schemas.openxmlformats.org/officeDocument/2006/relationships/hyperlink" Target="https://www.google.co.uk/url?sa=t&amp;rct=j&amp;q=&amp;esrc=s&amp;source=web&amp;cd=1&amp;cad=rja&amp;uact=8&amp;ved=0ahUKEwijsoe018bSAhUnDcAKHc1aDRoQFggkMAA&amp;url=http%3A%2F%2Fhelp.matrixknowledge.com%2Ffile.axd%3Ffile%3DHE_final_report.pdf&amp;usg=AFQjCNEhdugeQz9ULFmKI6ST2BQaCnOlaQ" TargetMode="External"/><Relationship Id="rId17" Type="http://schemas.openxmlformats.org/officeDocument/2006/relationships/hyperlink" Target="https://twitter.com/PHE_uk" TargetMode="External"/><Relationship Id="rId2" Type="http://schemas.openxmlformats.org/officeDocument/2006/relationships/hyperlink" Target="https://www.gov.uk/government/uploads/system/uploads/attachment_data/file/456147/PHE_Evidence_Review_of_diabetes_prevention_programmes-_FINAL.pdf" TargetMode="External"/><Relationship Id="rId16" Type="http://schemas.openxmlformats.org/officeDocument/2006/relationships/hyperlink" Target="http://www.gov.uk/phe" TargetMode="External"/><Relationship Id="rId20" Type="http://schemas.openxmlformats.org/officeDocument/2006/relationships/drawing" Target="../drawings/drawing7.xml"/><Relationship Id="rId1" Type="http://schemas.openxmlformats.org/officeDocument/2006/relationships/hyperlink" Target="https://www.gov.uk/government/uploads/system/uploads/attachment_data/file/565944/Local_health_and_care_planning_menu_of_preventative_interventions.pdf" TargetMode="External"/><Relationship Id="rId6" Type="http://schemas.openxmlformats.org/officeDocument/2006/relationships/hyperlink" Target="https://www.gov.uk/government/uploads/system/uploads/attachment_data/file/583047/alcohol_public_health_burden_evidence_review.pdf" TargetMode="External"/><Relationship Id="rId11" Type="http://schemas.openxmlformats.org/officeDocument/2006/relationships/hyperlink" Target="https://www.gov.uk/government/uploads/system/uploads/attachment_data/file/560972/Rapid_review_ROI_oral_health_5_year_old.pdf" TargetMode="External"/><Relationship Id="rId5" Type="http://schemas.openxmlformats.org/officeDocument/2006/relationships/hyperlink" Target="http://www.euro.who.int/__data/assets/pdf_file/0009/278073/Case-Investing-Public-Health.pdf" TargetMode="External"/><Relationship Id="rId15" Type="http://schemas.openxmlformats.org/officeDocument/2006/relationships/hyperlink" Target="http://www.wales.nhs.uk/sitesplus/documents/888/Making%20A%20Difference_Evidence%28E_web%29.pdf" TargetMode="External"/><Relationship Id="rId10" Type="http://schemas.openxmlformats.org/officeDocument/2006/relationships/hyperlink" Target="https://academic.oup.com/jpubhealth/article/34/1/37/1554654/The-cost-effectiveness-of-public-health" TargetMode="External"/><Relationship Id="rId19" Type="http://schemas.openxmlformats.org/officeDocument/2006/relationships/printerSettings" Target="../printerSettings/printerSettings7.bin"/><Relationship Id="rId4" Type="http://schemas.openxmlformats.org/officeDocument/2006/relationships/hyperlink" Target="https://www.kingsfund.org.uk/sites/files/kf/media/making-case-public-health-interventions-sep-2014.pdf" TargetMode="External"/><Relationship Id="rId9" Type="http://schemas.openxmlformats.org/officeDocument/2006/relationships/hyperlink" Target="http://www.euro.who.int/__data/assets/pdf_file/0006/283695/Promoting-Health-Preventing-Disease-Economic-Case.pdf?ua=1" TargetMode="External"/><Relationship Id="rId14" Type="http://schemas.openxmlformats.org/officeDocument/2006/relationships/hyperlink" Target="http://www.nwph.net/Publications/HEALTH%20CHOICES%20.pdf"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7"/>
    <pageSetUpPr fitToPage="1"/>
  </sheetPr>
  <dimension ref="A1:AD1048573"/>
  <sheetViews>
    <sheetView showGridLines="0" showRowColHeaders="0" topLeftCell="A13" zoomScaleNormal="100" workbookViewId="0">
      <selection activeCell="T5" sqref="T5"/>
    </sheetView>
  </sheetViews>
  <sheetFormatPr defaultColWidth="8.88671875" defaultRowHeight="14.4" x14ac:dyDescent="0.3"/>
  <cols>
    <col min="4" max="4" width="2.88671875" customWidth="1"/>
    <col min="20" max="20" width="14.44140625" customWidth="1"/>
  </cols>
  <sheetData>
    <row r="1" spans="1:30" x14ac:dyDescent="0.3">
      <c r="A1" s="7"/>
      <c r="B1" s="7"/>
      <c r="C1" s="7"/>
      <c r="D1" s="8"/>
      <c r="E1" s="9"/>
      <c r="F1" s="9"/>
      <c r="G1" s="9"/>
      <c r="H1" s="9"/>
      <c r="I1" s="9"/>
      <c r="J1" s="9"/>
      <c r="K1" s="9"/>
      <c r="L1" s="9"/>
      <c r="M1" s="9"/>
      <c r="N1" s="9"/>
      <c r="O1" s="9"/>
      <c r="P1" s="9"/>
      <c r="Q1" s="9"/>
      <c r="R1" s="9"/>
      <c r="S1" s="9"/>
      <c r="T1" s="10"/>
      <c r="U1" s="7"/>
      <c r="V1" s="7"/>
      <c r="W1" s="7"/>
      <c r="X1" s="7"/>
      <c r="Y1" s="7"/>
      <c r="Z1" s="7"/>
      <c r="AA1" s="7"/>
      <c r="AB1" s="7"/>
      <c r="AC1" s="7"/>
      <c r="AD1" s="7"/>
    </row>
    <row r="2" spans="1:30" x14ac:dyDescent="0.3">
      <c r="A2" s="7"/>
      <c r="B2" s="7"/>
      <c r="C2" s="7"/>
      <c r="D2" s="11"/>
      <c r="E2" s="12"/>
      <c r="F2" s="12"/>
      <c r="G2" s="12"/>
      <c r="H2" s="12"/>
      <c r="I2" s="12"/>
      <c r="J2" s="12"/>
      <c r="K2" s="12"/>
      <c r="L2" s="12"/>
      <c r="M2" s="12"/>
      <c r="N2" s="12"/>
      <c r="O2" s="12"/>
      <c r="P2" s="12"/>
      <c r="Q2" s="12"/>
      <c r="R2" s="12"/>
      <c r="S2" s="12"/>
      <c r="T2" s="13"/>
      <c r="U2" s="7"/>
      <c r="V2" s="7"/>
      <c r="W2" s="7"/>
      <c r="X2" s="7"/>
      <c r="Y2" s="7"/>
      <c r="Z2" s="7"/>
      <c r="AA2" s="7"/>
      <c r="AB2" s="7"/>
      <c r="AC2" s="7"/>
      <c r="AD2" s="7"/>
    </row>
    <row r="3" spans="1:30" ht="22.8" x14ac:dyDescent="0.4">
      <c r="A3" s="7"/>
      <c r="B3" s="7"/>
      <c r="C3" s="7"/>
      <c r="D3" s="11"/>
      <c r="E3" s="14" t="s">
        <v>1688</v>
      </c>
      <c r="F3" s="12"/>
      <c r="G3" s="12"/>
      <c r="H3" s="12"/>
      <c r="I3" s="12"/>
      <c r="J3" s="12"/>
      <c r="K3" s="12"/>
      <c r="L3" s="12"/>
      <c r="M3" s="12"/>
      <c r="N3" s="12"/>
      <c r="O3" s="12"/>
      <c r="P3" s="12"/>
      <c r="Q3" s="12"/>
      <c r="R3" s="12"/>
      <c r="S3" s="12"/>
      <c r="T3" s="13"/>
      <c r="U3" s="7"/>
      <c r="V3" s="7"/>
      <c r="W3" s="7"/>
      <c r="X3" s="7"/>
      <c r="Y3" s="7"/>
      <c r="Z3" s="7"/>
      <c r="AA3" s="7"/>
      <c r="AB3" s="7"/>
      <c r="AC3" s="7"/>
      <c r="AD3" s="7"/>
    </row>
    <row r="4" spans="1:30" x14ac:dyDescent="0.3">
      <c r="A4" s="7"/>
      <c r="B4" s="7"/>
      <c r="C4" s="7"/>
      <c r="D4" s="15"/>
      <c r="E4" s="16"/>
      <c r="F4" s="16"/>
      <c r="G4" s="16"/>
      <c r="H4" s="16"/>
      <c r="I4" s="16"/>
      <c r="J4" s="16"/>
      <c r="K4" s="16"/>
      <c r="L4" s="16"/>
      <c r="M4" s="16"/>
      <c r="N4" s="16"/>
      <c r="O4" s="16"/>
      <c r="P4" s="16"/>
      <c r="Q4" s="16"/>
      <c r="R4" s="16"/>
      <c r="S4" s="16"/>
      <c r="T4" s="183" t="s">
        <v>2783</v>
      </c>
      <c r="U4" s="7"/>
      <c r="V4" s="7"/>
      <c r="W4" s="7"/>
      <c r="X4" s="7"/>
      <c r="Y4" s="7"/>
      <c r="Z4" s="7"/>
      <c r="AA4" s="7"/>
      <c r="AB4" s="7"/>
      <c r="AC4" s="7"/>
      <c r="AD4" s="7"/>
    </row>
    <row r="5" spans="1:30" x14ac:dyDescent="0.3">
      <c r="A5" s="8"/>
      <c r="B5" s="9"/>
      <c r="C5" s="10"/>
      <c r="D5" s="7"/>
      <c r="E5" s="7"/>
      <c r="F5" s="7"/>
      <c r="G5" s="7"/>
      <c r="H5" s="7"/>
      <c r="I5" s="7"/>
      <c r="J5" s="7"/>
      <c r="K5" s="7"/>
      <c r="L5" s="7"/>
      <c r="M5" s="7"/>
      <c r="N5" s="7"/>
      <c r="O5" s="7"/>
      <c r="P5" s="7"/>
      <c r="Q5" s="7"/>
      <c r="R5" s="25"/>
      <c r="S5" s="25"/>
      <c r="T5" s="7"/>
      <c r="U5" s="7"/>
      <c r="V5" s="7"/>
      <c r="W5" s="7"/>
      <c r="X5" s="7"/>
      <c r="Y5" s="7"/>
      <c r="Z5" s="7"/>
      <c r="AA5" s="7"/>
      <c r="AB5" s="7"/>
      <c r="AC5" s="7"/>
      <c r="AD5" s="7"/>
    </row>
    <row r="6" spans="1:30" x14ac:dyDescent="0.3">
      <c r="A6" s="11"/>
      <c r="B6" s="12"/>
      <c r="C6" s="13"/>
      <c r="D6" s="7"/>
      <c r="E6" s="18"/>
      <c r="F6" s="7"/>
      <c r="G6" s="18"/>
      <c r="H6" s="7"/>
      <c r="I6" s="18"/>
      <c r="J6" s="7"/>
      <c r="K6" s="7"/>
      <c r="L6" s="7"/>
      <c r="M6" s="7"/>
      <c r="N6" s="7"/>
      <c r="O6" s="127"/>
      <c r="P6" s="7"/>
      <c r="Q6" s="7"/>
      <c r="R6" s="25"/>
      <c r="S6" s="25"/>
      <c r="T6" s="7"/>
      <c r="U6" s="7"/>
      <c r="V6" s="7"/>
      <c r="W6" s="7"/>
      <c r="X6" s="7"/>
      <c r="Y6" s="7"/>
      <c r="Z6" s="7"/>
      <c r="AA6" s="7"/>
      <c r="AB6" s="7"/>
      <c r="AC6" s="7"/>
      <c r="AD6" s="7"/>
    </row>
    <row r="7" spans="1:30" x14ac:dyDescent="0.3">
      <c r="A7" s="11"/>
      <c r="B7" s="12"/>
      <c r="C7" s="13"/>
      <c r="D7" s="7"/>
      <c r="E7" s="7"/>
      <c r="F7" s="7"/>
      <c r="G7" s="7"/>
      <c r="H7" s="7"/>
      <c r="I7" s="7"/>
      <c r="J7" s="7"/>
      <c r="K7" s="7"/>
      <c r="L7" s="7"/>
      <c r="M7" s="7"/>
      <c r="N7" s="7"/>
      <c r="O7" s="7"/>
      <c r="P7" s="7"/>
      <c r="Q7" s="7"/>
      <c r="R7" s="25"/>
      <c r="S7" s="25"/>
      <c r="T7" s="7"/>
      <c r="U7" s="7"/>
      <c r="V7" s="7"/>
      <c r="W7" s="7"/>
      <c r="X7" s="7"/>
      <c r="Y7" s="7"/>
      <c r="Z7" s="7"/>
      <c r="AA7" s="7"/>
      <c r="AB7" s="7"/>
      <c r="AC7" s="7"/>
      <c r="AD7" s="7"/>
    </row>
    <row r="8" spans="1:30" x14ac:dyDescent="0.3">
      <c r="A8" s="11"/>
      <c r="B8" s="12"/>
      <c r="C8" s="13"/>
      <c r="D8" s="7"/>
      <c r="E8" s="35"/>
      <c r="F8" s="35"/>
      <c r="G8" s="35"/>
      <c r="H8" s="35"/>
      <c r="I8" s="35"/>
      <c r="J8" s="35"/>
      <c r="K8" s="35"/>
      <c r="L8" s="35"/>
      <c r="M8" s="35"/>
      <c r="N8" s="35"/>
      <c r="O8" s="35"/>
      <c r="P8" s="35"/>
      <c r="Q8" s="35"/>
      <c r="R8" s="25"/>
      <c r="S8" s="25"/>
      <c r="T8" s="35"/>
      <c r="U8" s="7"/>
      <c r="V8" s="7"/>
      <c r="W8" s="35"/>
      <c r="X8" s="35"/>
      <c r="Y8" s="35"/>
      <c r="Z8" s="35"/>
      <c r="AA8" s="35"/>
      <c r="AB8" s="35"/>
      <c r="AC8" s="35"/>
      <c r="AD8" s="7"/>
    </row>
    <row r="9" spans="1:30" x14ac:dyDescent="0.3">
      <c r="A9" s="11"/>
      <c r="B9" s="12"/>
      <c r="C9" s="13"/>
      <c r="D9" s="7"/>
      <c r="E9" s="124" t="s">
        <v>1661</v>
      </c>
      <c r="F9" s="32"/>
      <c r="G9" s="32"/>
      <c r="H9" s="32"/>
      <c r="I9" s="32"/>
      <c r="J9" s="32"/>
      <c r="K9" s="32"/>
      <c r="L9" s="32"/>
      <c r="M9" s="32"/>
      <c r="N9" s="32"/>
      <c r="O9" s="32"/>
      <c r="P9" s="32"/>
      <c r="Q9" s="32"/>
      <c r="R9" s="32"/>
      <c r="S9" s="32"/>
      <c r="T9" s="33"/>
      <c r="U9" s="7"/>
      <c r="V9" s="7"/>
      <c r="W9" s="35"/>
      <c r="X9" s="35"/>
      <c r="Y9" s="35"/>
      <c r="Z9" s="35"/>
      <c r="AA9" s="35"/>
      <c r="AB9" s="35"/>
      <c r="AC9" s="35"/>
      <c r="AD9" s="7"/>
    </row>
    <row r="10" spans="1:30" x14ac:dyDescent="0.3">
      <c r="A10" s="11"/>
      <c r="B10" s="12"/>
      <c r="C10" s="13"/>
      <c r="D10" s="7"/>
      <c r="E10" s="41" t="s">
        <v>1556</v>
      </c>
      <c r="F10" s="35"/>
      <c r="G10" s="35"/>
      <c r="H10" s="35"/>
      <c r="I10" s="35"/>
      <c r="J10" s="35"/>
      <c r="K10" s="35"/>
      <c r="L10" s="35"/>
      <c r="M10" s="35"/>
      <c r="N10" s="35"/>
      <c r="O10" s="35"/>
      <c r="P10" s="35"/>
      <c r="Q10" s="35"/>
      <c r="R10" s="35"/>
      <c r="S10" s="35"/>
      <c r="T10" s="36"/>
      <c r="U10" s="7"/>
      <c r="V10" s="7"/>
      <c r="W10" s="35"/>
      <c r="X10" s="35"/>
      <c r="Y10" s="35"/>
      <c r="Z10" s="35"/>
      <c r="AA10" s="35"/>
      <c r="AB10" s="35"/>
      <c r="AC10" s="35"/>
      <c r="AD10" s="7"/>
    </row>
    <row r="11" spans="1:30" x14ac:dyDescent="0.3">
      <c r="A11" s="11"/>
      <c r="B11" s="12"/>
      <c r="C11" s="13"/>
      <c r="D11" s="7"/>
      <c r="E11" s="83" t="s">
        <v>1649</v>
      </c>
      <c r="F11" s="156"/>
      <c r="G11" s="156" t="s">
        <v>1557</v>
      </c>
      <c r="H11" s="46" t="s">
        <v>1662</v>
      </c>
      <c r="I11" s="35"/>
      <c r="J11" s="35"/>
      <c r="K11" s="35"/>
      <c r="L11" s="35"/>
      <c r="M11" s="35"/>
      <c r="N11" s="35"/>
      <c r="O11" s="35"/>
      <c r="P11" s="35"/>
      <c r="Q11" s="35"/>
      <c r="R11" s="35"/>
      <c r="S11" s="35"/>
      <c r="T11" s="36"/>
      <c r="U11" s="7"/>
      <c r="V11" s="7"/>
      <c r="W11" s="35"/>
      <c r="X11" s="35"/>
      <c r="Y11" s="35"/>
      <c r="Z11" s="35"/>
      <c r="AA11" s="35"/>
      <c r="AB11" s="35"/>
      <c r="AC11" s="35"/>
      <c r="AD11" s="7"/>
    </row>
    <row r="12" spans="1:30" x14ac:dyDescent="0.3">
      <c r="A12" s="11"/>
      <c r="B12" s="12"/>
      <c r="C12" s="13"/>
      <c r="D12" s="7"/>
      <c r="E12" s="83" t="s">
        <v>1554</v>
      </c>
      <c r="F12" s="156"/>
      <c r="G12" s="156" t="s">
        <v>1557</v>
      </c>
      <c r="H12" s="46" t="s">
        <v>1657</v>
      </c>
      <c r="I12" s="35"/>
      <c r="J12" s="35"/>
      <c r="K12" s="35"/>
      <c r="L12" s="35"/>
      <c r="M12" s="35"/>
      <c r="N12" s="35"/>
      <c r="O12" s="35"/>
      <c r="P12" s="35"/>
      <c r="Q12" s="35"/>
      <c r="R12" s="35"/>
      <c r="S12" s="35"/>
      <c r="T12" s="36"/>
      <c r="U12" s="7"/>
      <c r="V12" s="7"/>
      <c r="W12" s="35"/>
      <c r="X12" s="35"/>
      <c r="Y12" s="35"/>
      <c r="Z12" s="35"/>
      <c r="AA12" s="35"/>
      <c r="AB12" s="35"/>
      <c r="AC12" s="35"/>
      <c r="AD12" s="7"/>
    </row>
    <row r="13" spans="1:30" x14ac:dyDescent="0.3">
      <c r="A13" s="11"/>
      <c r="B13" s="12"/>
      <c r="C13" s="13"/>
      <c r="D13" s="7"/>
      <c r="E13" s="83" t="s">
        <v>1553</v>
      </c>
      <c r="F13" s="156"/>
      <c r="G13" s="156" t="s">
        <v>1557</v>
      </c>
      <c r="H13" s="46" t="s">
        <v>1555</v>
      </c>
      <c r="I13" s="35"/>
      <c r="J13" s="35"/>
      <c r="K13" s="35"/>
      <c r="L13" s="35"/>
      <c r="M13" s="35"/>
      <c r="N13" s="35"/>
      <c r="O13" s="35"/>
      <c r="P13" s="35"/>
      <c r="Q13" s="35"/>
      <c r="R13" s="96"/>
      <c r="S13" s="35"/>
      <c r="T13" s="36"/>
      <c r="U13" s="7"/>
      <c r="V13" s="7"/>
      <c r="W13" s="35"/>
      <c r="X13" s="35"/>
      <c r="Y13" s="35"/>
      <c r="Z13" s="35"/>
      <c r="AA13" s="35"/>
      <c r="AB13" s="35"/>
      <c r="AC13" s="35"/>
      <c r="AD13" s="7"/>
    </row>
    <row r="14" spans="1:30" x14ac:dyDescent="0.3">
      <c r="A14" s="11"/>
      <c r="B14" s="12"/>
      <c r="C14" s="13"/>
      <c r="D14" s="7"/>
      <c r="E14" s="83" t="s">
        <v>1886</v>
      </c>
      <c r="F14" s="156"/>
      <c r="G14" s="156" t="s">
        <v>1557</v>
      </c>
      <c r="H14" s="46" t="s">
        <v>1887</v>
      </c>
      <c r="I14" s="35"/>
      <c r="J14" s="35"/>
      <c r="K14" s="59"/>
      <c r="L14" s="35"/>
      <c r="M14" s="35"/>
      <c r="N14" s="35"/>
      <c r="O14" s="35"/>
      <c r="P14" s="35"/>
      <c r="Q14" s="35"/>
      <c r="R14" s="35"/>
      <c r="S14" s="35"/>
      <c r="T14" s="36"/>
      <c r="U14" s="7"/>
      <c r="V14" s="7"/>
      <c r="W14" s="35"/>
      <c r="X14" s="35"/>
      <c r="Y14" s="35"/>
      <c r="Z14" s="35"/>
      <c r="AA14" s="35"/>
      <c r="AB14" s="35"/>
      <c r="AC14" s="35"/>
      <c r="AD14" s="7"/>
    </row>
    <row r="15" spans="1:30" x14ac:dyDescent="0.3">
      <c r="A15" s="11"/>
      <c r="B15" s="12"/>
      <c r="C15" s="13"/>
      <c r="D15" s="7"/>
      <c r="E15" s="83" t="s">
        <v>1552</v>
      </c>
      <c r="F15" s="156"/>
      <c r="G15" s="156" t="s">
        <v>1557</v>
      </c>
      <c r="H15" s="46" t="s">
        <v>1558</v>
      </c>
      <c r="I15" s="35"/>
      <c r="J15" s="35"/>
      <c r="K15" s="35"/>
      <c r="L15" s="35"/>
      <c r="M15" s="35"/>
      <c r="N15" s="35"/>
      <c r="O15" s="35"/>
      <c r="P15" s="35"/>
      <c r="Q15" s="35"/>
      <c r="R15" s="35"/>
      <c r="S15" s="35"/>
      <c r="T15" s="36"/>
      <c r="U15" s="7"/>
      <c r="V15" s="7"/>
      <c r="W15" s="35"/>
      <c r="X15" s="35"/>
      <c r="Y15" s="35"/>
      <c r="Z15" s="35"/>
      <c r="AA15" s="35"/>
      <c r="AB15" s="35"/>
      <c r="AC15" s="35"/>
      <c r="AD15" s="7"/>
    </row>
    <row r="16" spans="1:30" x14ac:dyDescent="0.3">
      <c r="A16" s="11"/>
      <c r="B16" s="12"/>
      <c r="C16" s="13"/>
      <c r="D16" s="7"/>
      <c r="E16" s="83" t="s">
        <v>1551</v>
      </c>
      <c r="F16" s="156"/>
      <c r="G16" s="156" t="s">
        <v>1557</v>
      </c>
      <c r="H16" s="46" t="s">
        <v>1570</v>
      </c>
      <c r="I16" s="35"/>
      <c r="J16" s="35"/>
      <c r="K16" s="35"/>
      <c r="L16" s="35"/>
      <c r="M16" s="35"/>
      <c r="N16" s="35"/>
      <c r="O16" s="35"/>
      <c r="P16" s="35"/>
      <c r="Q16" s="35"/>
      <c r="R16" s="35"/>
      <c r="S16" s="35"/>
      <c r="T16" s="36"/>
      <c r="U16" s="7"/>
      <c r="V16" s="7"/>
      <c r="W16" s="35"/>
      <c r="X16" s="35"/>
      <c r="Y16" s="35"/>
      <c r="Z16" s="35"/>
      <c r="AA16" s="35"/>
      <c r="AB16" s="35"/>
      <c r="AC16" s="35"/>
      <c r="AD16" s="7"/>
    </row>
    <row r="17" spans="1:30" x14ac:dyDescent="0.3">
      <c r="A17" s="11"/>
      <c r="B17" s="12"/>
      <c r="C17" s="13"/>
      <c r="D17" s="7"/>
      <c r="E17" s="155"/>
      <c r="F17" s="59"/>
      <c r="G17" s="59"/>
      <c r="H17" s="59"/>
      <c r="I17" s="35"/>
      <c r="J17" s="35"/>
      <c r="K17" s="35"/>
      <c r="L17" s="35"/>
      <c r="M17" s="35"/>
      <c r="N17" s="35"/>
      <c r="O17" s="35"/>
      <c r="P17" s="35"/>
      <c r="Q17" s="35"/>
      <c r="R17" s="35"/>
      <c r="S17" s="35"/>
      <c r="T17" s="36"/>
      <c r="U17" s="7"/>
      <c r="V17" s="7"/>
      <c r="W17" s="35"/>
      <c r="X17" s="35"/>
      <c r="Y17" s="35"/>
      <c r="Z17" s="35"/>
      <c r="AA17" s="35"/>
      <c r="AB17" s="35"/>
      <c r="AC17" s="35"/>
      <c r="AD17" s="7"/>
    </row>
    <row r="18" spans="1:30" x14ac:dyDescent="0.3">
      <c r="A18" s="11"/>
      <c r="B18" s="12"/>
      <c r="C18" s="13"/>
      <c r="D18" s="7"/>
      <c r="E18" s="41" t="s">
        <v>1654</v>
      </c>
      <c r="F18" s="35"/>
      <c r="G18" s="35"/>
      <c r="H18" s="35"/>
      <c r="I18" s="35"/>
      <c r="J18" s="35"/>
      <c r="K18" s="35"/>
      <c r="L18" s="35"/>
      <c r="M18" s="35"/>
      <c r="N18" s="35"/>
      <c r="O18" s="35"/>
      <c r="P18" s="35"/>
      <c r="Q18" s="35"/>
      <c r="R18" s="35"/>
      <c r="S18" s="35"/>
      <c r="T18" s="36"/>
      <c r="U18" s="7"/>
      <c r="V18" s="7"/>
      <c r="W18" s="35"/>
      <c r="X18" s="35"/>
      <c r="Y18" s="35"/>
      <c r="Z18" s="35"/>
      <c r="AA18" s="35"/>
      <c r="AB18" s="35"/>
      <c r="AC18" s="35"/>
      <c r="AD18" s="7"/>
    </row>
    <row r="19" spans="1:30" x14ac:dyDescent="0.3">
      <c r="A19" s="11"/>
      <c r="B19" s="12"/>
      <c r="C19" s="13"/>
      <c r="D19" s="7"/>
      <c r="E19" s="83" t="s">
        <v>1653</v>
      </c>
      <c r="F19" s="35"/>
      <c r="G19" s="35"/>
      <c r="H19" s="35"/>
      <c r="I19" s="35"/>
      <c r="J19" s="35"/>
      <c r="K19" s="35"/>
      <c r="L19" s="35"/>
      <c r="M19" s="35"/>
      <c r="N19" s="35"/>
      <c r="O19" s="35"/>
      <c r="P19" s="35"/>
      <c r="Q19" s="35"/>
      <c r="R19" s="35"/>
      <c r="S19" s="35"/>
      <c r="T19" s="36"/>
      <c r="U19" s="7"/>
      <c r="V19" s="7"/>
      <c r="W19" s="35"/>
      <c r="X19" s="35"/>
      <c r="Y19" s="35"/>
      <c r="Z19" s="35"/>
      <c r="AA19" s="35"/>
      <c r="AB19" s="35"/>
      <c r="AC19" s="35"/>
      <c r="AD19" s="7"/>
    </row>
    <row r="20" spans="1:30" x14ac:dyDescent="0.3">
      <c r="A20" s="11"/>
      <c r="B20" s="12"/>
      <c r="C20" s="13"/>
      <c r="D20" s="7"/>
      <c r="E20" s="83" t="s">
        <v>1004</v>
      </c>
      <c r="F20" s="35"/>
      <c r="G20" s="35"/>
      <c r="H20" s="35"/>
      <c r="I20" s="35"/>
      <c r="J20" s="35"/>
      <c r="K20" s="35"/>
      <c r="L20" s="35"/>
      <c r="M20" s="35"/>
      <c r="N20" s="35"/>
      <c r="O20" s="35"/>
      <c r="P20" s="35"/>
      <c r="Q20" s="35"/>
      <c r="S20" s="176" t="s">
        <v>1550</v>
      </c>
      <c r="T20" s="36"/>
      <c r="U20" s="7"/>
      <c r="V20" s="7"/>
      <c r="W20" s="35"/>
      <c r="X20" s="35"/>
      <c r="Y20" s="35"/>
      <c r="Z20" s="35"/>
      <c r="AA20" s="35"/>
      <c r="AB20" s="35"/>
      <c r="AC20" s="35"/>
      <c r="AD20" s="7"/>
    </row>
    <row r="21" spans="1:30" x14ac:dyDescent="0.3">
      <c r="A21" s="11"/>
      <c r="B21" s="12"/>
      <c r="C21" s="13"/>
      <c r="D21" s="7"/>
      <c r="E21" s="40" t="s">
        <v>1669</v>
      </c>
      <c r="F21" s="35"/>
      <c r="G21" s="35"/>
      <c r="H21" s="35"/>
      <c r="I21" s="35"/>
      <c r="J21" s="35"/>
      <c r="K21" s="35"/>
      <c r="L21" s="35"/>
      <c r="M21" s="35"/>
      <c r="N21" s="35"/>
      <c r="O21" s="35"/>
      <c r="P21" s="35"/>
      <c r="Q21" s="35"/>
      <c r="R21" s="96"/>
      <c r="S21" s="35"/>
      <c r="T21" s="36"/>
      <c r="U21" s="7"/>
      <c r="V21" s="7"/>
      <c r="W21" s="35"/>
      <c r="X21" s="35"/>
      <c r="Y21" s="35"/>
      <c r="Z21" s="35"/>
      <c r="AA21" s="35"/>
      <c r="AB21" s="35"/>
      <c r="AC21" s="35"/>
      <c r="AD21" s="7"/>
    </row>
    <row r="22" spans="1:30" x14ac:dyDescent="0.3">
      <c r="A22" s="11"/>
      <c r="B22" s="12"/>
      <c r="C22" s="13"/>
      <c r="D22" s="7"/>
      <c r="E22" s="40" t="s">
        <v>1572</v>
      </c>
      <c r="F22" s="35"/>
      <c r="G22" s="35"/>
      <c r="H22" s="35"/>
      <c r="I22" s="35"/>
      <c r="J22" s="35"/>
      <c r="K22" s="35"/>
      <c r="L22" s="35"/>
      <c r="M22" s="35"/>
      <c r="N22" s="35"/>
      <c r="O22" s="35"/>
      <c r="P22" s="35"/>
      <c r="Q22" s="35"/>
      <c r="R22" s="35"/>
      <c r="S22" s="35"/>
      <c r="T22" s="36"/>
      <c r="U22" s="7"/>
      <c r="V22" s="7"/>
      <c r="W22" s="35"/>
      <c r="X22" s="35"/>
      <c r="Y22" s="35"/>
      <c r="Z22" s="35"/>
      <c r="AA22" s="35"/>
      <c r="AB22" s="35"/>
      <c r="AC22" s="35"/>
      <c r="AD22" s="7"/>
    </row>
    <row r="23" spans="1:30" x14ac:dyDescent="0.3">
      <c r="A23" s="11"/>
      <c r="B23" s="12"/>
      <c r="C23" s="13"/>
      <c r="D23" s="7"/>
      <c r="E23" s="41"/>
      <c r="F23" s="35"/>
      <c r="G23" s="35"/>
      <c r="H23" s="35"/>
      <c r="I23" s="35"/>
      <c r="J23" s="35"/>
      <c r="K23" s="35"/>
      <c r="L23" s="35"/>
      <c r="M23" s="35"/>
      <c r="N23" s="35"/>
      <c r="O23" s="35"/>
      <c r="P23" s="35"/>
      <c r="Q23" s="35"/>
      <c r="R23" s="35"/>
      <c r="S23" s="35"/>
      <c r="T23" s="36"/>
      <c r="U23" s="7"/>
      <c r="V23" s="7"/>
      <c r="W23" s="35"/>
      <c r="X23" s="35"/>
      <c r="Y23" s="35"/>
      <c r="Z23" s="35"/>
      <c r="AA23" s="35"/>
      <c r="AB23" s="35"/>
      <c r="AC23" s="35"/>
      <c r="AD23" s="7"/>
    </row>
    <row r="24" spans="1:30" x14ac:dyDescent="0.3">
      <c r="A24" s="11"/>
      <c r="B24" s="12"/>
      <c r="C24" s="13"/>
      <c r="D24" s="7"/>
      <c r="E24" s="41" t="s">
        <v>1651</v>
      </c>
      <c r="F24" s="35"/>
      <c r="G24" s="35"/>
      <c r="H24" s="35"/>
      <c r="I24" s="35"/>
      <c r="J24" s="35"/>
      <c r="K24" s="35"/>
      <c r="L24" s="35"/>
      <c r="M24" s="35"/>
      <c r="N24" s="35"/>
      <c r="O24" s="35"/>
      <c r="P24" s="35"/>
      <c r="Q24" s="35"/>
      <c r="R24" s="35"/>
      <c r="S24" s="35"/>
      <c r="T24" s="36"/>
      <c r="U24" s="7"/>
      <c r="V24" s="7"/>
      <c r="W24" s="35"/>
      <c r="X24" s="35"/>
      <c r="Y24" s="35"/>
      <c r="Z24" s="35"/>
      <c r="AA24" s="35"/>
      <c r="AB24" s="35"/>
      <c r="AC24" s="35"/>
      <c r="AD24" s="7"/>
    </row>
    <row r="25" spans="1:30" x14ac:dyDescent="0.3">
      <c r="A25" s="11"/>
      <c r="B25" s="12"/>
      <c r="C25" s="13"/>
      <c r="D25" s="7"/>
      <c r="E25" s="83" t="s">
        <v>1665</v>
      </c>
      <c r="F25" s="35"/>
      <c r="G25" s="35"/>
      <c r="H25" s="35"/>
      <c r="I25" s="35"/>
      <c r="J25" s="35"/>
      <c r="K25" s="35"/>
      <c r="L25" s="35"/>
      <c r="M25" s="35"/>
      <c r="N25" s="35"/>
      <c r="O25" s="35"/>
      <c r="P25" s="35"/>
      <c r="Q25" s="35"/>
      <c r="R25" s="35"/>
      <c r="S25" s="59"/>
      <c r="T25" s="36"/>
      <c r="U25" s="7"/>
      <c r="V25" s="7"/>
      <c r="W25" s="35"/>
      <c r="X25" s="35"/>
      <c r="Y25" s="35"/>
      <c r="Z25" s="35"/>
      <c r="AA25" s="35"/>
      <c r="AB25" s="35"/>
      <c r="AC25" s="35"/>
      <c r="AD25" s="7"/>
    </row>
    <row r="26" spans="1:30" x14ac:dyDescent="0.3">
      <c r="A26" s="11"/>
      <c r="B26" s="12"/>
      <c r="C26" s="13"/>
      <c r="D26" s="7"/>
      <c r="E26" s="83" t="s">
        <v>1692</v>
      </c>
      <c r="F26" s="35"/>
      <c r="G26" s="35"/>
      <c r="H26" s="35"/>
      <c r="I26" s="35"/>
      <c r="J26" s="35"/>
      <c r="K26" s="35"/>
      <c r="L26" s="35"/>
      <c r="M26" s="35"/>
      <c r="N26" s="35"/>
      <c r="O26" s="35"/>
      <c r="P26" s="35"/>
      <c r="Q26" s="35"/>
      <c r="R26" s="35"/>
      <c r="S26" s="35"/>
      <c r="T26" s="36"/>
      <c r="U26" s="7"/>
      <c r="V26" s="7"/>
      <c r="W26" s="35"/>
      <c r="X26" s="35"/>
      <c r="Y26" s="35"/>
      <c r="Z26" s="35"/>
      <c r="AA26" s="35"/>
      <c r="AB26" s="35"/>
      <c r="AC26" s="35"/>
      <c r="AD26" s="7"/>
    </row>
    <row r="27" spans="1:30" x14ac:dyDescent="0.3">
      <c r="A27" s="11"/>
      <c r="B27" s="12"/>
      <c r="C27" s="13"/>
      <c r="D27" s="7"/>
      <c r="E27" s="159"/>
      <c r="F27" s="35"/>
      <c r="G27" s="35"/>
      <c r="H27" s="35"/>
      <c r="I27" s="35"/>
      <c r="J27" s="35"/>
      <c r="K27" s="35"/>
      <c r="L27" s="35"/>
      <c r="M27" s="35"/>
      <c r="N27" s="35"/>
      <c r="O27" s="35"/>
      <c r="P27" s="35"/>
      <c r="Q27" s="35"/>
      <c r="R27" s="35"/>
      <c r="S27" s="35"/>
      <c r="T27" s="36"/>
      <c r="U27" s="7"/>
      <c r="V27" s="7"/>
      <c r="W27" s="35"/>
      <c r="X27" s="35"/>
      <c r="Y27" s="35"/>
      <c r="Z27" s="35"/>
      <c r="AA27" s="35"/>
      <c r="AB27" s="35"/>
      <c r="AC27" s="35"/>
      <c r="AD27" s="7"/>
    </row>
    <row r="28" spans="1:30" x14ac:dyDescent="0.3">
      <c r="A28" s="11"/>
      <c r="B28" s="12"/>
      <c r="C28" s="13"/>
      <c r="D28" s="7"/>
      <c r="E28" s="41" t="s">
        <v>1655</v>
      </c>
      <c r="F28" s="35"/>
      <c r="G28" s="35"/>
      <c r="H28" s="35"/>
      <c r="I28" s="35"/>
      <c r="J28" s="35"/>
      <c r="K28" s="35"/>
      <c r="L28" s="35"/>
      <c r="M28" s="35"/>
      <c r="N28" s="35"/>
      <c r="O28" s="35"/>
      <c r="P28" s="35"/>
      <c r="Q28" s="35"/>
      <c r="R28" s="35"/>
      <c r="S28" s="35"/>
      <c r="T28" s="36"/>
      <c r="U28" s="7"/>
      <c r="V28" s="7"/>
      <c r="W28" s="35"/>
      <c r="X28" s="35"/>
      <c r="Y28" s="35"/>
      <c r="Z28" s="35"/>
      <c r="AA28" s="35"/>
      <c r="AB28" s="35"/>
      <c r="AC28" s="35"/>
      <c r="AD28" s="7"/>
    </row>
    <row r="29" spans="1:30" x14ac:dyDescent="0.3">
      <c r="A29" s="11"/>
      <c r="B29" s="12"/>
      <c r="C29" s="13"/>
      <c r="D29" s="7"/>
      <c r="E29" s="40" t="s">
        <v>2776</v>
      </c>
      <c r="F29" s="35"/>
      <c r="G29" s="35"/>
      <c r="H29" s="35"/>
      <c r="I29" s="35"/>
      <c r="J29" s="35"/>
      <c r="K29" s="35"/>
      <c r="L29" s="35"/>
      <c r="M29" s="35"/>
      <c r="N29" s="35"/>
      <c r="O29" s="35"/>
      <c r="P29" s="35"/>
      <c r="Q29" s="35"/>
      <c r="R29" s="35"/>
      <c r="S29" s="35"/>
      <c r="T29" s="36"/>
      <c r="U29" s="7"/>
      <c r="V29" s="7"/>
      <c r="W29" s="35"/>
      <c r="X29" s="35"/>
      <c r="Y29" s="35"/>
      <c r="Z29" s="35"/>
      <c r="AA29" s="35"/>
      <c r="AB29" s="35"/>
      <c r="AC29" s="35"/>
      <c r="AD29" s="7"/>
    </row>
    <row r="30" spans="1:30" x14ac:dyDescent="0.3">
      <c r="A30" s="11"/>
      <c r="B30" s="12"/>
      <c r="C30" s="13"/>
      <c r="D30" s="7"/>
      <c r="E30" s="40" t="s">
        <v>2777</v>
      </c>
      <c r="F30" s="35"/>
      <c r="G30" s="35"/>
      <c r="H30" s="35"/>
      <c r="I30" s="35"/>
      <c r="J30" s="35"/>
      <c r="K30" s="35"/>
      <c r="L30" s="35"/>
      <c r="M30" s="35"/>
      <c r="N30" s="35"/>
      <c r="O30" s="35"/>
      <c r="P30" s="35"/>
      <c r="Q30" s="35"/>
      <c r="R30" s="35"/>
      <c r="S30" s="35"/>
      <c r="T30" s="36"/>
      <c r="U30" s="7"/>
      <c r="V30" s="7"/>
      <c r="W30" s="35"/>
      <c r="X30" s="35"/>
      <c r="Y30" s="35"/>
      <c r="Z30" s="35"/>
      <c r="AA30" s="35"/>
      <c r="AB30" s="35"/>
      <c r="AC30" s="35"/>
      <c r="AD30" s="7"/>
    </row>
    <row r="31" spans="1:30" x14ac:dyDescent="0.3">
      <c r="A31" s="11"/>
      <c r="B31" s="12"/>
      <c r="C31" s="13"/>
      <c r="D31" s="7"/>
      <c r="E31" s="40" t="s">
        <v>2778</v>
      </c>
      <c r="F31" s="35"/>
      <c r="G31" s="35"/>
      <c r="H31" s="35"/>
      <c r="I31" s="35"/>
      <c r="J31" s="35"/>
      <c r="K31" s="35"/>
      <c r="L31" s="35"/>
      <c r="M31" s="35"/>
      <c r="N31" s="35"/>
      <c r="O31" s="35"/>
      <c r="P31" s="35"/>
      <c r="Q31" s="35"/>
      <c r="R31" s="35"/>
      <c r="S31" s="35"/>
      <c r="T31" s="36"/>
      <c r="U31" s="7"/>
      <c r="V31" s="7"/>
      <c r="W31" s="35"/>
      <c r="X31" s="35"/>
      <c r="Y31" s="35"/>
      <c r="Z31" s="35"/>
      <c r="AA31" s="35"/>
      <c r="AB31" s="35"/>
      <c r="AC31" s="35"/>
      <c r="AD31" s="7"/>
    </row>
    <row r="32" spans="1:30" x14ac:dyDescent="0.3">
      <c r="A32" s="11"/>
      <c r="B32" s="12"/>
      <c r="C32" s="13"/>
      <c r="D32" s="7"/>
      <c r="E32" s="123"/>
      <c r="F32" s="35"/>
      <c r="G32" s="35"/>
      <c r="H32" s="35"/>
      <c r="I32" s="35"/>
      <c r="J32" s="35"/>
      <c r="K32" s="35"/>
      <c r="L32" s="35"/>
      <c r="M32" s="35"/>
      <c r="N32" s="35"/>
      <c r="O32" s="35"/>
      <c r="P32" s="35"/>
      <c r="R32" s="35"/>
      <c r="S32" s="35"/>
      <c r="T32" s="36"/>
      <c r="U32" s="7"/>
      <c r="V32" s="7"/>
      <c r="W32" s="35"/>
      <c r="X32" s="35"/>
      <c r="Y32" s="35"/>
      <c r="Z32" s="35"/>
      <c r="AA32" s="35"/>
      <c r="AB32" s="35"/>
      <c r="AC32" s="35"/>
      <c r="AD32" s="7"/>
    </row>
    <row r="33" spans="1:30" x14ac:dyDescent="0.3">
      <c r="A33" s="11"/>
      <c r="B33" s="12"/>
      <c r="C33" s="13"/>
      <c r="D33" s="7"/>
      <c r="E33" s="45" t="s">
        <v>1652</v>
      </c>
      <c r="F33" s="35"/>
      <c r="G33" s="35"/>
      <c r="H33" s="35"/>
      <c r="I33" s="35"/>
      <c r="J33" s="35"/>
      <c r="K33" s="35"/>
      <c r="L33" s="35"/>
      <c r="M33" s="35"/>
      <c r="N33" s="35"/>
      <c r="O33" s="35"/>
      <c r="P33" s="35"/>
      <c r="Q33" s="35"/>
      <c r="R33" s="35"/>
      <c r="S33" s="35"/>
      <c r="T33" s="36"/>
      <c r="U33" s="7"/>
      <c r="V33" s="7"/>
      <c r="W33" s="35"/>
      <c r="X33" s="35"/>
      <c r="Y33" s="35"/>
      <c r="Z33" s="35"/>
      <c r="AA33" s="35"/>
      <c r="AB33" s="35"/>
      <c r="AC33" s="35"/>
      <c r="AD33" s="7"/>
    </row>
    <row r="34" spans="1:30" x14ac:dyDescent="0.3">
      <c r="A34" s="11"/>
      <c r="B34" s="12"/>
      <c r="C34" s="13"/>
      <c r="D34" s="7"/>
      <c r="E34" s="83" t="s">
        <v>1884</v>
      </c>
      <c r="F34" s="35"/>
      <c r="G34" s="35"/>
      <c r="H34" s="35"/>
      <c r="I34" s="35"/>
      <c r="J34" s="35"/>
      <c r="K34" s="35"/>
      <c r="L34" s="35"/>
      <c r="M34" s="35"/>
      <c r="N34" s="35"/>
      <c r="O34" s="35"/>
      <c r="P34" s="35"/>
      <c r="Q34" s="35"/>
      <c r="R34" s="59"/>
      <c r="S34" s="35"/>
      <c r="T34" s="36"/>
      <c r="U34" s="7"/>
      <c r="V34" s="7"/>
      <c r="W34" s="35"/>
      <c r="X34" s="35"/>
      <c r="Y34" s="35"/>
      <c r="Z34" s="35"/>
      <c r="AA34" s="35"/>
      <c r="AB34" s="35"/>
      <c r="AC34" s="35"/>
      <c r="AD34" s="7"/>
    </row>
    <row r="35" spans="1:30" x14ac:dyDescent="0.3">
      <c r="A35" s="11"/>
      <c r="B35" s="12"/>
      <c r="C35" s="13"/>
      <c r="D35" s="7"/>
      <c r="E35" s="83" t="s">
        <v>1885</v>
      </c>
      <c r="F35" s="89"/>
      <c r="G35" s="90"/>
      <c r="H35" s="89"/>
      <c r="I35" s="90"/>
      <c r="J35" s="90"/>
      <c r="K35" s="90"/>
      <c r="L35" s="90"/>
      <c r="M35" s="90"/>
      <c r="N35" s="35"/>
      <c r="O35" s="96"/>
      <c r="P35" s="176" t="s">
        <v>1384</v>
      </c>
      <c r="R35" s="77"/>
      <c r="S35" s="35"/>
      <c r="T35" s="36"/>
      <c r="U35" s="7"/>
      <c r="V35" s="7"/>
      <c r="W35" s="35"/>
      <c r="X35" s="35"/>
      <c r="Y35" s="35"/>
      <c r="Z35" s="35"/>
      <c r="AA35" s="35"/>
      <c r="AB35" s="35"/>
      <c r="AC35" s="35"/>
      <c r="AD35" s="7"/>
    </row>
    <row r="36" spans="1:30" x14ac:dyDescent="0.3">
      <c r="A36" s="11"/>
      <c r="B36" s="12"/>
      <c r="C36" s="13"/>
      <c r="D36" s="7"/>
      <c r="E36" s="40" t="s">
        <v>1533</v>
      </c>
      <c r="F36" s="89"/>
      <c r="G36" s="89"/>
      <c r="H36" s="89"/>
      <c r="I36" s="90"/>
      <c r="J36" s="90"/>
      <c r="K36" s="90"/>
      <c r="L36" s="90"/>
      <c r="M36" s="90"/>
      <c r="N36" s="35"/>
      <c r="O36" s="35"/>
      <c r="P36" s="35"/>
      <c r="Q36" s="35"/>
      <c r="R36" s="35"/>
      <c r="S36" s="35"/>
      <c r="T36" s="36"/>
      <c r="U36" s="7"/>
      <c r="V36" s="7"/>
      <c r="W36" s="35"/>
      <c r="X36" s="35"/>
      <c r="Y36" s="35"/>
      <c r="Z36" s="35"/>
      <c r="AA36" s="35"/>
      <c r="AB36" s="35"/>
      <c r="AC36" s="35"/>
      <c r="AD36" s="7"/>
    </row>
    <row r="37" spans="1:30" x14ac:dyDescent="0.3">
      <c r="A37" s="11"/>
      <c r="B37" s="12"/>
      <c r="C37" s="13"/>
      <c r="D37" s="7"/>
      <c r="E37" s="40" t="s">
        <v>1534</v>
      </c>
      <c r="F37" s="89"/>
      <c r="G37" s="89"/>
      <c r="H37" s="89"/>
      <c r="I37" s="90"/>
      <c r="J37" s="90"/>
      <c r="K37" s="90"/>
      <c r="L37" s="90"/>
      <c r="M37" s="90"/>
      <c r="N37" s="35"/>
      <c r="O37" s="96"/>
      <c r="P37" s="35"/>
      <c r="Q37" s="35"/>
      <c r="R37" s="35"/>
      <c r="S37" s="35"/>
      <c r="T37" s="36"/>
      <c r="U37" s="7"/>
      <c r="V37" s="7"/>
      <c r="W37" s="35"/>
      <c r="X37" s="35"/>
      <c r="Y37" s="35"/>
      <c r="Z37" s="35"/>
      <c r="AA37" s="35"/>
      <c r="AB37" s="35"/>
      <c r="AC37" s="35"/>
      <c r="AD37" s="7"/>
    </row>
    <row r="38" spans="1:30" x14ac:dyDescent="0.3">
      <c r="A38" s="11"/>
      <c r="B38" s="12"/>
      <c r="C38" s="13"/>
      <c r="D38" s="7"/>
      <c r="E38" s="40" t="s">
        <v>1208</v>
      </c>
      <c r="F38" s="89"/>
      <c r="G38" s="89"/>
      <c r="H38" s="89"/>
      <c r="I38" s="90"/>
      <c r="J38" s="90"/>
      <c r="K38" s="90"/>
      <c r="L38" s="90"/>
      <c r="M38" s="90"/>
      <c r="N38" s="35"/>
      <c r="O38" s="35"/>
      <c r="P38" s="35"/>
      <c r="Q38" s="35"/>
      <c r="R38" s="35"/>
      <c r="S38" s="35"/>
      <c r="T38" s="36"/>
      <c r="U38" s="7"/>
      <c r="V38" s="7"/>
      <c r="W38" s="35"/>
      <c r="X38" s="35"/>
      <c r="Y38" s="35"/>
      <c r="Z38" s="35"/>
      <c r="AA38" s="35"/>
      <c r="AB38" s="35"/>
      <c r="AC38" s="35"/>
      <c r="AD38" s="7"/>
    </row>
    <row r="39" spans="1:30" x14ac:dyDescent="0.3">
      <c r="A39" s="15"/>
      <c r="B39" s="16"/>
      <c r="C39" s="17"/>
      <c r="D39" s="7"/>
      <c r="E39" s="121"/>
      <c r="F39" s="131"/>
      <c r="G39" s="131"/>
      <c r="H39" s="131"/>
      <c r="I39" s="131"/>
      <c r="J39" s="131"/>
      <c r="K39" s="131"/>
      <c r="L39" s="131"/>
      <c r="M39" s="131"/>
      <c r="N39" s="131"/>
      <c r="O39" s="131"/>
      <c r="P39" s="131"/>
      <c r="Q39" s="131"/>
      <c r="R39" s="131"/>
      <c r="S39" s="131"/>
      <c r="T39" s="132"/>
      <c r="U39" s="7"/>
      <c r="V39" s="7"/>
      <c r="W39" s="35"/>
      <c r="X39" s="35"/>
      <c r="Y39" s="35"/>
      <c r="Z39" s="35"/>
      <c r="AA39" s="35"/>
      <c r="AB39" s="35"/>
      <c r="AC39" s="35"/>
      <c r="AD39" s="7"/>
    </row>
    <row r="40" spans="1:30" x14ac:dyDescent="0.3">
      <c r="D40" s="7"/>
      <c r="E40" s="77"/>
      <c r="F40" s="77"/>
      <c r="G40" s="77"/>
      <c r="H40" s="77"/>
      <c r="I40" s="77"/>
      <c r="J40" s="77"/>
      <c r="K40" s="77"/>
      <c r="L40" s="77"/>
      <c r="M40" s="77"/>
      <c r="N40" s="77"/>
      <c r="O40" s="77"/>
      <c r="P40" s="77"/>
      <c r="Q40" s="77"/>
      <c r="R40" s="77"/>
      <c r="S40" s="77"/>
      <c r="T40" s="77"/>
      <c r="U40" s="7"/>
      <c r="V40" s="7"/>
      <c r="W40" s="35"/>
      <c r="X40" s="35"/>
      <c r="Y40" s="35"/>
      <c r="Z40" s="35"/>
      <c r="AA40" s="35"/>
      <c r="AB40" s="35"/>
      <c r="AC40" s="35"/>
      <c r="AD40" s="7"/>
    </row>
    <row r="41" spans="1:30" x14ac:dyDescent="0.3">
      <c r="D41" s="7"/>
      <c r="E41" s="77"/>
      <c r="F41" s="77"/>
      <c r="G41" s="77"/>
      <c r="H41" s="77"/>
      <c r="I41" s="77"/>
      <c r="J41" s="77"/>
      <c r="K41" s="77"/>
      <c r="L41" s="77"/>
      <c r="M41" s="77"/>
      <c r="N41" s="77"/>
      <c r="O41" s="77"/>
      <c r="P41" s="77"/>
      <c r="Q41" s="77"/>
      <c r="R41" s="77"/>
      <c r="S41" s="77"/>
      <c r="T41" s="77"/>
      <c r="U41" s="7"/>
      <c r="V41" s="7"/>
      <c r="W41" s="35"/>
      <c r="X41" s="35"/>
      <c r="Y41" s="35"/>
      <c r="Z41" s="35"/>
      <c r="AA41" s="35"/>
      <c r="AB41" s="35"/>
      <c r="AC41" s="35"/>
      <c r="AD41" s="7"/>
    </row>
    <row r="42" spans="1:30" x14ac:dyDescent="0.3">
      <c r="D42" s="7"/>
      <c r="E42" s="77"/>
      <c r="F42" s="77"/>
      <c r="G42" s="77"/>
      <c r="H42" s="77"/>
      <c r="I42" s="77"/>
      <c r="J42" s="77"/>
      <c r="K42" s="77"/>
      <c r="L42" s="77"/>
      <c r="M42" s="77"/>
      <c r="N42" s="77"/>
      <c r="O42" s="77"/>
      <c r="P42" s="77"/>
      <c r="Q42" s="77"/>
      <c r="R42" s="77"/>
      <c r="S42" s="77"/>
      <c r="T42" s="77"/>
      <c r="U42" s="7"/>
      <c r="V42" s="7"/>
      <c r="W42" s="35"/>
      <c r="X42" s="35"/>
      <c r="Y42" s="35"/>
      <c r="Z42" s="35"/>
      <c r="AA42" s="35"/>
      <c r="AB42" s="35"/>
      <c r="AC42" s="35"/>
      <c r="AD42" s="7"/>
    </row>
    <row r="43" spans="1:30" x14ac:dyDescent="0.3">
      <c r="E43" s="77"/>
      <c r="F43" s="77"/>
      <c r="G43" s="77"/>
      <c r="H43" s="77"/>
      <c r="I43" s="77"/>
      <c r="J43" s="77"/>
      <c r="K43" s="77"/>
      <c r="L43" s="77"/>
      <c r="M43" s="77"/>
      <c r="N43" s="77"/>
      <c r="O43" s="77"/>
      <c r="P43" s="77"/>
      <c r="Q43" s="77"/>
      <c r="R43" s="77"/>
      <c r="S43" s="77"/>
      <c r="T43" s="77"/>
      <c r="U43" s="7"/>
      <c r="V43" s="7"/>
      <c r="W43" s="77"/>
      <c r="X43" s="77"/>
      <c r="Y43" s="77"/>
      <c r="Z43" s="77"/>
      <c r="AA43" s="77"/>
      <c r="AB43" s="77"/>
      <c r="AC43" s="77"/>
    </row>
    <row r="44" spans="1:30" x14ac:dyDescent="0.3">
      <c r="E44" s="77"/>
      <c r="F44" s="77"/>
      <c r="G44" s="77"/>
      <c r="H44" s="77"/>
      <c r="I44" s="77"/>
      <c r="J44" s="77"/>
      <c r="K44" s="77"/>
      <c r="L44" s="77"/>
      <c r="M44" s="77"/>
      <c r="N44" s="77"/>
      <c r="O44" s="77"/>
      <c r="P44" s="77"/>
      <c r="Q44" s="77"/>
      <c r="R44" s="77"/>
      <c r="S44" s="77"/>
      <c r="T44" s="77"/>
      <c r="U44" s="7"/>
      <c r="V44" s="7"/>
      <c r="W44" s="77"/>
      <c r="X44" s="77"/>
      <c r="Y44" s="77"/>
      <c r="Z44" s="77"/>
      <c r="AA44" s="77"/>
      <c r="AB44" s="77"/>
      <c r="AC44" s="77"/>
    </row>
    <row r="45" spans="1:30" x14ac:dyDescent="0.3">
      <c r="E45" s="77"/>
      <c r="F45" s="77"/>
      <c r="G45" s="77"/>
      <c r="H45" s="77"/>
      <c r="I45" s="77"/>
      <c r="J45" s="77"/>
      <c r="K45" s="77"/>
      <c r="L45" s="77"/>
      <c r="M45" s="77"/>
      <c r="N45" s="77"/>
      <c r="O45" s="77"/>
      <c r="P45" s="77"/>
      <c r="Q45" s="77"/>
      <c r="R45" s="77"/>
      <c r="S45" s="77"/>
      <c r="T45" s="77"/>
      <c r="U45" s="7"/>
      <c r="V45" s="7"/>
      <c r="W45" s="77"/>
      <c r="X45" s="77"/>
      <c r="Y45" s="77"/>
      <c r="Z45" s="77"/>
      <c r="AA45" s="77"/>
      <c r="AB45" s="77"/>
      <c r="AC45" s="77"/>
    </row>
    <row r="46" spans="1:30" x14ac:dyDescent="0.3">
      <c r="E46" s="77"/>
      <c r="F46" s="77"/>
      <c r="G46" s="77"/>
      <c r="H46" s="77"/>
      <c r="I46" s="77"/>
      <c r="J46" s="77"/>
      <c r="K46" s="77"/>
      <c r="L46" s="77"/>
      <c r="M46" s="77"/>
      <c r="N46" s="77"/>
      <c r="O46" s="77"/>
      <c r="P46" s="77"/>
      <c r="Q46" s="77"/>
      <c r="R46" s="77"/>
      <c r="S46" s="77"/>
      <c r="T46" s="77"/>
      <c r="U46" s="7"/>
      <c r="V46" s="7"/>
      <c r="W46" s="77"/>
      <c r="X46" s="77"/>
      <c r="Y46" s="77"/>
      <c r="Z46" s="77"/>
      <c r="AA46" s="77"/>
      <c r="AB46" s="77"/>
      <c r="AC46" s="77"/>
    </row>
    <row r="47" spans="1:30" x14ac:dyDescent="0.3">
      <c r="D47" s="77"/>
      <c r="E47" s="77"/>
      <c r="F47" s="77"/>
      <c r="G47" s="77"/>
      <c r="H47" s="77"/>
      <c r="I47" s="77"/>
      <c r="J47" s="77"/>
      <c r="K47" s="77"/>
      <c r="L47" s="77"/>
      <c r="M47" s="77"/>
      <c r="N47" s="77"/>
      <c r="O47" s="77"/>
      <c r="P47" s="77"/>
      <c r="Q47" s="77"/>
      <c r="R47" s="77"/>
      <c r="S47" s="77"/>
      <c r="T47" s="77"/>
      <c r="U47" s="7"/>
      <c r="V47" s="77"/>
      <c r="W47" s="77"/>
      <c r="X47" s="77"/>
      <c r="Y47" s="77"/>
      <c r="Z47" s="77"/>
      <c r="AA47" s="77"/>
      <c r="AB47" s="77"/>
      <c r="AC47" s="77"/>
    </row>
    <row r="48" spans="1:30" x14ac:dyDescent="0.3">
      <c r="D48" s="77"/>
      <c r="E48" s="77"/>
      <c r="F48" s="35"/>
      <c r="G48" s="35"/>
      <c r="H48" s="35"/>
      <c r="I48" s="77"/>
      <c r="J48" s="77"/>
      <c r="K48" s="77"/>
      <c r="L48" s="77"/>
      <c r="M48" s="77"/>
      <c r="N48" s="77"/>
      <c r="O48" s="77"/>
      <c r="P48" s="77"/>
      <c r="Q48" s="77"/>
      <c r="R48" s="77"/>
      <c r="S48" s="77"/>
      <c r="T48" s="77"/>
      <c r="U48" s="77"/>
      <c r="V48" s="77"/>
      <c r="W48" s="77"/>
      <c r="X48" s="77"/>
    </row>
    <row r="49" spans="4:24" x14ac:dyDescent="0.3">
      <c r="D49" s="77"/>
      <c r="E49" s="77"/>
      <c r="F49" s="35"/>
      <c r="G49" s="35"/>
      <c r="H49" s="48"/>
      <c r="I49" s="77"/>
      <c r="J49" s="77"/>
      <c r="K49" s="77"/>
      <c r="L49" s="77"/>
      <c r="M49" s="77"/>
      <c r="N49" s="77"/>
      <c r="O49" s="77"/>
      <c r="P49" s="77"/>
      <c r="Q49" s="77"/>
      <c r="R49" s="77"/>
      <c r="S49" s="77"/>
      <c r="T49" s="77"/>
      <c r="U49" s="77"/>
      <c r="V49" s="77"/>
      <c r="W49" s="77"/>
      <c r="X49" s="77"/>
    </row>
    <row r="50" spans="4:24" x14ac:dyDescent="0.3">
      <c r="E50" s="77"/>
      <c r="F50" s="35"/>
      <c r="G50" s="35"/>
      <c r="H50" s="48"/>
    </row>
    <row r="51" spans="4:24" x14ac:dyDescent="0.3">
      <c r="E51" s="77"/>
      <c r="F51" s="35"/>
      <c r="G51" s="35"/>
      <c r="H51" s="48"/>
    </row>
    <row r="52" spans="4:24" x14ac:dyDescent="0.3">
      <c r="E52" s="77"/>
      <c r="F52" s="35"/>
      <c r="G52" s="35"/>
      <c r="H52" s="48"/>
    </row>
    <row r="53" spans="4:24" x14ac:dyDescent="0.3">
      <c r="E53" s="77"/>
      <c r="F53" s="35"/>
      <c r="G53" s="35"/>
      <c r="H53" s="48"/>
    </row>
    <row r="54" spans="4:24" x14ac:dyDescent="0.3">
      <c r="E54" s="77"/>
      <c r="F54" s="35"/>
      <c r="G54" s="35"/>
      <c r="H54" s="48"/>
    </row>
    <row r="55" spans="4:24" x14ac:dyDescent="0.3">
      <c r="E55" s="77"/>
    </row>
    <row r="56" spans="4:24" x14ac:dyDescent="0.3">
      <c r="E56" s="77"/>
    </row>
    <row r="57" spans="4:24" x14ac:dyDescent="0.3">
      <c r="E57" s="77"/>
    </row>
    <row r="58" spans="4:24" x14ac:dyDescent="0.3">
      <c r="E58" s="77"/>
    </row>
    <row r="59" spans="4:24" x14ac:dyDescent="0.3">
      <c r="E59" s="77"/>
    </row>
    <row r="60" spans="4:24" x14ac:dyDescent="0.3">
      <c r="E60" s="77"/>
    </row>
    <row r="61" spans="4:24" x14ac:dyDescent="0.3">
      <c r="E61" s="77"/>
    </row>
    <row r="62" spans="4:24" x14ac:dyDescent="0.3">
      <c r="E62" s="77"/>
    </row>
    <row r="63" spans="4:24" x14ac:dyDescent="0.3">
      <c r="E63" s="77"/>
    </row>
    <row r="1048573" spans="7:7" x14ac:dyDescent="0.3">
      <c r="G1048573" s="35"/>
    </row>
  </sheetData>
  <hyperlinks>
    <hyperlink ref="S20" r:id="rId1" xr:uid="{00000000-0004-0000-0000-000000000000}"/>
    <hyperlink ref="P35" r:id="rId2" xr:uid="{00000000-0004-0000-0000-000001000000}"/>
  </hyperlinks>
  <pageMargins left="0.25" right="0.25" top="0.75" bottom="0.75" header="0.3" footer="0.3"/>
  <pageSetup paperSize="9" scale="76" orientation="landscape"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pageSetUpPr autoPageBreaks="0" fitToPage="1"/>
  </sheetPr>
  <dimension ref="A1:AD51"/>
  <sheetViews>
    <sheetView showGridLines="0" showRowColHeaders="0" zoomScaleNormal="100" workbookViewId="0">
      <selection activeCell="T5" sqref="T5"/>
    </sheetView>
  </sheetViews>
  <sheetFormatPr defaultColWidth="8.88671875" defaultRowHeight="14.4" x14ac:dyDescent="0.3"/>
  <cols>
    <col min="4" max="4" width="2.88671875" customWidth="1"/>
    <col min="6" max="6" width="11.109375" customWidth="1"/>
    <col min="22" max="23" width="9.109375" customWidth="1"/>
  </cols>
  <sheetData>
    <row r="1" spans="1:30" x14ac:dyDescent="0.3">
      <c r="A1" s="7"/>
      <c r="B1" s="7"/>
      <c r="C1" s="7"/>
      <c r="D1" s="8"/>
      <c r="E1" s="9"/>
      <c r="F1" s="9"/>
      <c r="G1" s="9"/>
      <c r="H1" s="9"/>
      <c r="I1" s="9"/>
      <c r="J1" s="9"/>
      <c r="K1" s="9"/>
      <c r="L1" s="9"/>
      <c r="M1" s="9"/>
      <c r="N1" s="9"/>
      <c r="O1" s="9"/>
      <c r="P1" s="9"/>
      <c r="Q1" s="9"/>
      <c r="R1" s="9"/>
      <c r="S1" s="9"/>
      <c r="T1" s="182"/>
      <c r="U1" s="25"/>
      <c r="V1" s="25"/>
      <c r="W1" s="25"/>
      <c r="X1" s="25"/>
      <c r="Y1" s="25"/>
      <c r="Z1" s="25"/>
      <c r="AA1" s="25"/>
      <c r="AB1" s="25"/>
      <c r="AC1" s="25"/>
      <c r="AD1" s="25"/>
    </row>
    <row r="2" spans="1:30" x14ac:dyDescent="0.3">
      <c r="A2" s="7"/>
      <c r="B2" s="7"/>
      <c r="C2" s="7"/>
      <c r="D2" s="11"/>
      <c r="E2" s="12"/>
      <c r="F2" s="12"/>
      <c r="G2" s="12"/>
      <c r="H2" s="12"/>
      <c r="I2" s="12"/>
      <c r="J2" s="12"/>
      <c r="K2" s="12"/>
      <c r="L2" s="12"/>
      <c r="M2" s="12"/>
      <c r="N2" s="12"/>
      <c r="O2" s="12"/>
      <c r="P2" s="12"/>
      <c r="Q2" s="12"/>
      <c r="R2" s="12"/>
      <c r="S2" s="12"/>
      <c r="T2" s="13"/>
      <c r="U2" s="25"/>
    </row>
    <row r="3" spans="1:30" ht="22.8" x14ac:dyDescent="0.4">
      <c r="A3" s="7"/>
      <c r="B3" s="7"/>
      <c r="C3" s="7"/>
      <c r="D3" s="11"/>
      <c r="E3" s="14" t="s">
        <v>1688</v>
      </c>
      <c r="F3" s="12"/>
      <c r="G3" s="12"/>
      <c r="H3" s="12"/>
      <c r="I3" s="12"/>
      <c r="J3" s="12"/>
      <c r="K3" s="12"/>
      <c r="L3" s="12"/>
      <c r="M3" s="12"/>
      <c r="N3" s="12"/>
      <c r="O3" s="12"/>
      <c r="P3" s="12"/>
      <c r="Q3" s="12"/>
      <c r="R3" s="12"/>
      <c r="S3" s="12"/>
      <c r="T3" s="13"/>
      <c r="U3" s="25"/>
      <c r="V3" s="25"/>
      <c r="W3" s="25"/>
      <c r="X3" s="25"/>
      <c r="Y3" s="25"/>
      <c r="Z3" s="25"/>
      <c r="AA3" s="25"/>
      <c r="AB3" s="25"/>
      <c r="AC3" s="25"/>
      <c r="AD3" s="25"/>
    </row>
    <row r="4" spans="1:30" x14ac:dyDescent="0.3">
      <c r="A4" s="7"/>
      <c r="B4" s="7"/>
      <c r="C4" s="7"/>
      <c r="D4" s="15"/>
      <c r="E4" s="16"/>
      <c r="F4" s="16"/>
      <c r="G4" s="16"/>
      <c r="H4" s="16"/>
      <c r="I4" s="16"/>
      <c r="J4" s="16"/>
      <c r="K4" s="16"/>
      <c r="L4" s="16"/>
      <c r="M4" s="16"/>
      <c r="N4" s="16"/>
      <c r="O4" s="16"/>
      <c r="P4" s="16"/>
      <c r="Q4" s="16"/>
      <c r="R4" s="16"/>
      <c r="S4" s="16"/>
      <c r="T4" s="183" t="s">
        <v>2783</v>
      </c>
      <c r="U4" s="25"/>
    </row>
    <row r="5" spans="1:30" x14ac:dyDescent="0.3">
      <c r="A5" s="8"/>
      <c r="B5" s="9"/>
      <c r="C5" s="10"/>
      <c r="D5" s="7"/>
      <c r="E5" s="7"/>
      <c r="F5" s="7"/>
      <c r="G5" s="7"/>
      <c r="H5" s="7"/>
      <c r="I5" s="7"/>
      <c r="J5" s="7"/>
      <c r="K5" s="7"/>
      <c r="L5" s="7"/>
      <c r="M5" s="7"/>
      <c r="N5" s="7"/>
      <c r="O5" s="7"/>
      <c r="P5" s="7"/>
      <c r="Q5" s="7"/>
      <c r="R5" s="25"/>
      <c r="S5" s="25"/>
      <c r="T5" s="25"/>
      <c r="U5" s="25"/>
      <c r="V5" s="25"/>
      <c r="W5" s="25"/>
      <c r="X5" s="25"/>
      <c r="Y5" s="25"/>
      <c r="Z5" s="25"/>
      <c r="AA5" s="25"/>
      <c r="AB5" s="25"/>
      <c r="AC5" s="25"/>
      <c r="AD5" s="25"/>
    </row>
    <row r="6" spans="1:30" x14ac:dyDescent="0.3">
      <c r="A6" s="11"/>
      <c r="B6" s="12"/>
      <c r="C6" s="13"/>
      <c r="D6" s="7"/>
      <c r="E6" s="18"/>
      <c r="F6" s="7"/>
      <c r="G6" s="18"/>
      <c r="H6" s="7"/>
      <c r="I6" s="18"/>
      <c r="J6" s="7"/>
      <c r="K6" s="7"/>
      <c r="L6" s="7"/>
      <c r="M6" s="7"/>
      <c r="N6" s="7"/>
      <c r="O6" s="7"/>
      <c r="P6" s="7"/>
      <c r="Q6" s="7"/>
      <c r="R6" s="25"/>
      <c r="S6" s="25"/>
      <c r="T6" s="25"/>
      <c r="U6" s="25"/>
    </row>
    <row r="7" spans="1:30" x14ac:dyDescent="0.3">
      <c r="A7" s="11"/>
      <c r="B7" s="12"/>
      <c r="C7" s="13"/>
      <c r="D7" s="7"/>
      <c r="E7" s="7"/>
      <c r="F7" s="7"/>
      <c r="G7" s="7"/>
      <c r="H7" s="7"/>
      <c r="I7" s="7"/>
      <c r="J7" s="7"/>
      <c r="K7" s="7"/>
      <c r="L7" s="7"/>
      <c r="M7" s="7"/>
      <c r="N7" s="7"/>
      <c r="O7" s="7"/>
      <c r="P7" s="7"/>
      <c r="Q7" s="7"/>
      <c r="R7" s="25"/>
      <c r="S7" s="25"/>
      <c r="T7" s="25"/>
      <c r="U7" s="25"/>
      <c r="V7" s="25"/>
      <c r="W7" s="25"/>
      <c r="X7" s="25"/>
      <c r="Y7" s="25"/>
      <c r="Z7" s="25"/>
      <c r="AA7" s="25"/>
      <c r="AB7" s="25"/>
      <c r="AC7" s="25"/>
      <c r="AD7" s="25"/>
    </row>
    <row r="8" spans="1:30" x14ac:dyDescent="0.3">
      <c r="A8" s="11"/>
      <c r="B8" s="12"/>
      <c r="C8" s="13"/>
      <c r="D8" s="7"/>
      <c r="E8" s="7"/>
      <c r="F8" s="7"/>
      <c r="G8" s="7"/>
      <c r="H8" s="7"/>
      <c r="I8" s="7"/>
      <c r="J8" s="7"/>
      <c r="K8" s="7"/>
      <c r="L8" s="7"/>
      <c r="M8" s="7"/>
      <c r="N8" s="7"/>
      <c r="O8" s="7"/>
      <c r="P8" s="7"/>
      <c r="Q8" s="7"/>
      <c r="R8" s="25"/>
      <c r="S8" s="25"/>
      <c r="T8" s="25"/>
    </row>
    <row r="9" spans="1:30" x14ac:dyDescent="0.3">
      <c r="A9" s="11"/>
      <c r="B9" s="12"/>
      <c r="C9" s="13"/>
      <c r="D9" s="25"/>
      <c r="E9" s="50" t="s">
        <v>1561</v>
      </c>
      <c r="F9" s="32"/>
      <c r="G9" s="32"/>
      <c r="H9" s="32"/>
      <c r="I9" s="97"/>
      <c r="J9" s="97"/>
      <c r="K9" s="97"/>
      <c r="L9" s="97"/>
      <c r="M9" s="97"/>
      <c r="N9" s="97"/>
      <c r="O9" s="97"/>
      <c r="P9" s="97"/>
      <c r="Q9" s="97"/>
      <c r="R9" s="97"/>
      <c r="S9" s="97"/>
      <c r="T9" s="98"/>
    </row>
    <row r="10" spans="1:30" x14ac:dyDescent="0.3">
      <c r="A10" s="11"/>
      <c r="B10" s="12"/>
      <c r="C10" s="13"/>
      <c r="D10" s="25"/>
      <c r="E10" s="42"/>
      <c r="F10" s="26"/>
      <c r="G10" s="26"/>
      <c r="H10" s="25"/>
      <c r="I10" s="25"/>
      <c r="J10" s="25"/>
      <c r="K10" s="25"/>
      <c r="L10" s="25"/>
      <c r="M10" s="25"/>
      <c r="N10" s="25"/>
      <c r="O10" s="25"/>
      <c r="P10" s="25"/>
      <c r="Q10" s="25"/>
      <c r="R10" s="25"/>
      <c r="S10" s="25"/>
      <c r="T10" s="99"/>
    </row>
    <row r="11" spans="1:30" x14ac:dyDescent="0.3">
      <c r="A11" s="11"/>
      <c r="B11" s="12"/>
      <c r="C11" s="13"/>
      <c r="D11" s="25"/>
      <c r="E11" s="147"/>
      <c r="F11" s="26"/>
      <c r="G11" s="26"/>
      <c r="H11" s="25"/>
      <c r="I11" s="25"/>
      <c r="J11" s="25"/>
      <c r="K11" s="25"/>
      <c r="L11" s="25"/>
      <c r="M11" s="25"/>
      <c r="N11" s="25"/>
      <c r="O11" s="25"/>
      <c r="P11" s="25"/>
      <c r="Q11" s="25"/>
      <c r="R11" s="25"/>
      <c r="S11" s="25"/>
      <c r="T11" s="99"/>
    </row>
    <row r="12" spans="1:30" x14ac:dyDescent="0.3">
      <c r="A12" s="11"/>
      <c r="B12" s="12"/>
      <c r="C12" s="13"/>
      <c r="D12" s="25"/>
      <c r="E12" s="147"/>
      <c r="F12" s="26"/>
      <c r="G12" s="26"/>
      <c r="H12" s="25"/>
      <c r="I12" s="25"/>
      <c r="J12" s="25"/>
      <c r="K12" s="25"/>
      <c r="L12" s="25"/>
      <c r="M12" s="25"/>
      <c r="N12" s="25"/>
      <c r="O12" s="25"/>
      <c r="P12" s="25"/>
      <c r="Q12" s="25"/>
      <c r="R12" s="25"/>
      <c r="S12" s="25"/>
      <c r="T12" s="99"/>
    </row>
    <row r="13" spans="1:30" x14ac:dyDescent="0.3">
      <c r="A13" s="11"/>
      <c r="B13" s="12"/>
      <c r="C13" s="13"/>
      <c r="D13" s="25"/>
      <c r="E13" s="42"/>
      <c r="F13" s="26"/>
      <c r="G13" s="26"/>
      <c r="H13" s="25"/>
      <c r="I13" s="25"/>
      <c r="J13" s="25"/>
      <c r="K13" s="25"/>
      <c r="L13" s="25"/>
      <c r="M13" s="25"/>
      <c r="N13" s="25"/>
      <c r="O13" s="25"/>
      <c r="P13" s="25"/>
      <c r="Q13" s="25"/>
      <c r="R13" s="25"/>
      <c r="S13" s="25"/>
      <c r="T13" s="99"/>
    </row>
    <row r="14" spans="1:30" x14ac:dyDescent="0.3">
      <c r="A14" s="11"/>
      <c r="B14" s="12"/>
      <c r="C14" s="13"/>
      <c r="D14" s="25"/>
      <c r="E14" s="42"/>
      <c r="F14" s="26"/>
      <c r="G14" s="26"/>
      <c r="H14" s="25"/>
      <c r="I14" s="25"/>
      <c r="J14" s="25"/>
      <c r="K14" s="25"/>
      <c r="L14" s="25"/>
      <c r="M14" s="25"/>
      <c r="N14" s="25"/>
      <c r="O14" s="25"/>
      <c r="P14" s="25"/>
      <c r="Q14" s="25"/>
      <c r="R14" s="25"/>
      <c r="S14" s="25"/>
      <c r="T14" s="99"/>
    </row>
    <row r="15" spans="1:30" x14ac:dyDescent="0.3">
      <c r="A15" s="11"/>
      <c r="B15" s="12"/>
      <c r="C15" s="13"/>
      <c r="D15" s="7"/>
      <c r="E15" s="148"/>
      <c r="F15" s="26"/>
      <c r="G15" s="26"/>
      <c r="H15" s="25"/>
      <c r="I15" s="25"/>
      <c r="J15" s="25"/>
      <c r="K15" s="25"/>
      <c r="L15" s="25"/>
      <c r="M15" s="25"/>
      <c r="N15" s="25"/>
      <c r="O15" s="25"/>
      <c r="P15" s="25"/>
      <c r="Q15" s="25"/>
      <c r="R15" s="25"/>
      <c r="S15" s="25"/>
      <c r="T15" s="99"/>
    </row>
    <row r="16" spans="1:30" ht="24.75" customHeight="1" x14ac:dyDescent="0.3">
      <c r="A16" s="11"/>
      <c r="B16" s="12"/>
      <c r="C16" s="13"/>
      <c r="D16" s="7"/>
      <c r="E16" s="92"/>
      <c r="F16" s="77"/>
      <c r="G16" s="26"/>
      <c r="H16" s="25"/>
      <c r="I16" s="25"/>
      <c r="J16" s="25"/>
      <c r="K16" s="25"/>
      <c r="L16" s="25"/>
      <c r="M16" s="25"/>
      <c r="N16" s="25"/>
      <c r="O16" s="25"/>
      <c r="P16" s="25"/>
      <c r="Q16" s="25"/>
      <c r="R16" s="25"/>
      <c r="S16" s="25"/>
      <c r="T16" s="99"/>
    </row>
    <row r="17" spans="1:20" x14ac:dyDescent="0.3">
      <c r="A17" s="11"/>
      <c r="B17" s="12"/>
      <c r="C17" s="13"/>
      <c r="D17" s="7"/>
      <c r="E17" s="148"/>
      <c r="F17" s="43"/>
      <c r="G17" s="43"/>
      <c r="H17" s="26"/>
      <c r="I17" s="43"/>
      <c r="J17" s="43"/>
      <c r="K17" s="43"/>
      <c r="L17" s="43"/>
      <c r="M17" s="43"/>
      <c r="N17" s="35"/>
      <c r="O17" s="35"/>
      <c r="P17" s="35"/>
      <c r="Q17" s="35"/>
      <c r="R17" s="35"/>
      <c r="S17" s="35"/>
      <c r="T17" s="36"/>
    </row>
    <row r="18" spans="1:20" x14ac:dyDescent="0.3">
      <c r="A18" s="11"/>
      <c r="B18" s="12"/>
      <c r="C18" s="13"/>
      <c r="D18" s="7"/>
      <c r="E18" s="42"/>
      <c r="F18" s="43"/>
      <c r="G18" s="43"/>
      <c r="H18" s="26"/>
      <c r="I18" s="43"/>
      <c r="J18" s="43"/>
      <c r="K18" s="43"/>
      <c r="L18" s="43"/>
      <c r="M18" s="43"/>
      <c r="N18" s="35"/>
      <c r="O18" s="35"/>
      <c r="P18" s="35"/>
      <c r="Q18" s="35"/>
      <c r="R18" s="35"/>
      <c r="S18" s="35"/>
      <c r="T18" s="36"/>
    </row>
    <row r="19" spans="1:20" x14ac:dyDescent="0.3">
      <c r="A19" s="11"/>
      <c r="B19" s="12"/>
      <c r="C19" s="13"/>
      <c r="D19" s="7"/>
      <c r="E19" s="147"/>
      <c r="F19" s="43"/>
      <c r="G19" s="43"/>
      <c r="H19" s="43"/>
      <c r="I19" s="43"/>
      <c r="J19" s="43"/>
      <c r="K19" s="43"/>
      <c r="L19" s="43"/>
      <c r="M19" s="43"/>
      <c r="N19" s="35"/>
      <c r="O19" s="35"/>
      <c r="P19" s="35"/>
      <c r="Q19" s="35"/>
      <c r="R19" s="35"/>
      <c r="S19" s="35"/>
      <c r="T19" s="36"/>
    </row>
    <row r="20" spans="1:20" x14ac:dyDescent="0.3">
      <c r="A20" s="11"/>
      <c r="B20" s="12"/>
      <c r="C20" s="13"/>
      <c r="D20" s="7"/>
      <c r="E20" s="42" t="s">
        <v>1689</v>
      </c>
      <c r="F20" s="43"/>
      <c r="G20" s="43"/>
      <c r="H20" s="43"/>
      <c r="I20" s="43"/>
      <c r="J20" s="43"/>
      <c r="K20" s="43"/>
      <c r="L20" s="43"/>
      <c r="M20" s="43"/>
      <c r="N20" s="35"/>
      <c r="O20" s="35"/>
      <c r="P20" s="35"/>
      <c r="Q20" s="35"/>
      <c r="R20" s="35"/>
      <c r="S20" s="35"/>
      <c r="T20" s="36"/>
    </row>
    <row r="21" spans="1:20" x14ac:dyDescent="0.3">
      <c r="A21" s="11"/>
      <c r="B21" s="12"/>
      <c r="C21" s="13"/>
      <c r="D21" s="7"/>
      <c r="E21" s="83" t="s">
        <v>1690</v>
      </c>
      <c r="F21" s="43"/>
      <c r="G21" s="43"/>
      <c r="H21" s="43"/>
      <c r="I21" s="43"/>
      <c r="J21" s="43"/>
      <c r="K21" s="43"/>
      <c r="L21" s="43"/>
      <c r="M21" s="43"/>
      <c r="N21" s="35"/>
      <c r="O21" s="35"/>
      <c r="P21" s="35"/>
      <c r="Q21" s="35"/>
      <c r="R21" s="35"/>
      <c r="S21" s="35"/>
      <c r="T21" s="36"/>
    </row>
    <row r="22" spans="1:20" x14ac:dyDescent="0.3">
      <c r="A22" s="11"/>
      <c r="B22" s="12"/>
      <c r="C22" s="13"/>
      <c r="D22" s="7"/>
      <c r="E22" s="147" t="s">
        <v>1691</v>
      </c>
      <c r="F22" s="43"/>
      <c r="G22" s="43"/>
      <c r="H22" s="43"/>
      <c r="I22" s="43"/>
      <c r="J22" s="43"/>
      <c r="K22" s="43"/>
      <c r="L22" s="43"/>
      <c r="M22" s="43"/>
      <c r="N22" s="35"/>
      <c r="O22" s="35"/>
      <c r="P22" s="35"/>
      <c r="Q22" s="35"/>
      <c r="R22" s="35"/>
      <c r="S22" s="35"/>
      <c r="T22" s="36"/>
    </row>
    <row r="23" spans="1:20" x14ac:dyDescent="0.3">
      <c r="A23" s="11"/>
      <c r="B23" s="12"/>
      <c r="C23" s="13"/>
      <c r="D23" s="7"/>
      <c r="E23" s="42"/>
      <c r="F23" s="100"/>
      <c r="G23" s="43"/>
      <c r="H23" s="43"/>
      <c r="I23" s="43"/>
      <c r="J23" s="43"/>
      <c r="K23" s="43"/>
      <c r="L23" s="43"/>
      <c r="M23" s="43"/>
      <c r="N23" s="35"/>
      <c r="O23" s="35"/>
      <c r="P23" s="35"/>
      <c r="Q23" s="35"/>
      <c r="R23" s="35"/>
      <c r="S23" s="35"/>
      <c r="T23" s="36"/>
    </row>
    <row r="24" spans="1:20" x14ac:dyDescent="0.3">
      <c r="A24" s="11"/>
      <c r="B24" s="12"/>
      <c r="C24" s="13"/>
      <c r="D24" s="7"/>
      <c r="E24" s="42" t="s">
        <v>1670</v>
      </c>
      <c r="F24" s="43"/>
      <c r="G24" s="43"/>
      <c r="H24" s="43"/>
      <c r="I24" s="43"/>
      <c r="J24" s="43"/>
      <c r="K24" s="43"/>
      <c r="L24" s="43"/>
      <c r="M24" s="35"/>
      <c r="N24" s="35"/>
      <c r="O24" s="35"/>
      <c r="P24" s="35"/>
      <c r="Q24" s="35"/>
      <c r="R24" s="35"/>
      <c r="S24" s="35"/>
      <c r="T24" s="36"/>
    </row>
    <row r="25" spans="1:20" x14ac:dyDescent="0.3">
      <c r="A25" s="11"/>
      <c r="B25" s="12"/>
      <c r="C25" s="13"/>
      <c r="D25" s="7"/>
      <c r="E25" s="42" t="s">
        <v>1671</v>
      </c>
      <c r="F25" s="43"/>
      <c r="G25" s="43"/>
      <c r="H25" s="43"/>
      <c r="I25" s="43"/>
      <c r="J25" s="43"/>
      <c r="K25" s="43"/>
      <c r="L25" s="43"/>
      <c r="M25" s="35"/>
      <c r="N25" s="35"/>
      <c r="O25" s="35"/>
      <c r="P25" s="35"/>
      <c r="Q25" s="35"/>
      <c r="R25" s="35"/>
      <c r="S25" s="35"/>
      <c r="T25" s="36"/>
    </row>
    <row r="26" spans="1:20" x14ac:dyDescent="0.3">
      <c r="A26" s="11"/>
      <c r="B26" s="12"/>
      <c r="C26" s="13"/>
      <c r="D26" s="7"/>
      <c r="E26" s="88" t="s">
        <v>1672</v>
      </c>
      <c r="F26" s="43"/>
      <c r="G26" s="43" t="s">
        <v>1673</v>
      </c>
      <c r="H26" s="43"/>
      <c r="I26" s="43"/>
      <c r="J26" s="43"/>
      <c r="K26" s="43"/>
      <c r="L26" s="43"/>
      <c r="M26" s="35"/>
      <c r="N26" s="35"/>
      <c r="O26" s="35"/>
      <c r="P26" s="35"/>
      <c r="Q26" s="35"/>
      <c r="R26" s="35"/>
      <c r="S26" s="35"/>
      <c r="T26" s="36"/>
    </row>
    <row r="27" spans="1:20" x14ac:dyDescent="0.3">
      <c r="A27" s="11"/>
      <c r="B27" s="12"/>
      <c r="C27" s="13"/>
      <c r="D27" s="7"/>
      <c r="E27" s="92" t="s">
        <v>1674</v>
      </c>
      <c r="F27" s="43"/>
      <c r="G27" s="43"/>
      <c r="H27" s="35"/>
      <c r="I27" s="35"/>
      <c r="J27" s="35"/>
      <c r="K27" s="35"/>
      <c r="L27" s="35"/>
      <c r="M27" s="35"/>
      <c r="N27" s="35"/>
      <c r="O27" s="35"/>
      <c r="P27" s="35"/>
      <c r="Q27" s="35"/>
      <c r="R27" s="35"/>
      <c r="S27" s="35"/>
      <c r="T27" s="36"/>
    </row>
    <row r="28" spans="1:20" x14ac:dyDescent="0.3">
      <c r="A28" s="11"/>
      <c r="B28" s="12"/>
      <c r="C28" s="13"/>
      <c r="D28" s="7"/>
      <c r="E28" s="92" t="s">
        <v>1675</v>
      </c>
      <c r="F28" s="43"/>
      <c r="G28" s="35"/>
      <c r="H28" s="35"/>
      <c r="I28" s="35"/>
      <c r="J28" s="35"/>
      <c r="K28" s="35"/>
      <c r="L28" s="35"/>
      <c r="M28" s="35"/>
      <c r="N28" s="35"/>
      <c r="O28" s="35"/>
      <c r="P28" s="35"/>
      <c r="Q28" s="35"/>
      <c r="R28" s="35"/>
      <c r="S28" s="35"/>
      <c r="T28" s="36"/>
    </row>
    <row r="29" spans="1:20" x14ac:dyDescent="0.3">
      <c r="A29" s="11"/>
      <c r="B29" s="12"/>
      <c r="C29" s="13"/>
      <c r="D29" s="7"/>
      <c r="E29" s="92" t="s">
        <v>1676</v>
      </c>
      <c r="F29" s="43"/>
      <c r="G29" s="35"/>
      <c r="H29" s="35"/>
      <c r="I29" s="35"/>
      <c r="J29" s="35"/>
      <c r="K29" s="35"/>
      <c r="L29" s="35"/>
      <c r="M29" s="35"/>
      <c r="N29" s="35"/>
      <c r="O29" s="35"/>
      <c r="P29" s="35"/>
      <c r="Q29" s="35"/>
      <c r="R29" s="35"/>
      <c r="S29" s="35"/>
      <c r="T29" s="36"/>
    </row>
    <row r="30" spans="1:20" x14ac:dyDescent="0.3">
      <c r="A30" s="11"/>
      <c r="B30" s="12"/>
      <c r="C30" s="13"/>
      <c r="D30" s="7"/>
      <c r="E30" s="92" t="s">
        <v>1677</v>
      </c>
      <c r="F30" s="43"/>
      <c r="G30" s="35"/>
      <c r="H30" s="35"/>
      <c r="I30" s="35"/>
      <c r="J30" s="35"/>
      <c r="K30" s="35"/>
      <c r="L30" s="35"/>
      <c r="M30" s="35"/>
      <c r="N30" s="35"/>
      <c r="O30" s="35"/>
      <c r="P30" s="35"/>
      <c r="Q30" s="35"/>
      <c r="R30" s="35"/>
      <c r="S30" s="35"/>
      <c r="T30" s="36"/>
    </row>
    <row r="31" spans="1:20" x14ac:dyDescent="0.3">
      <c r="A31" s="11"/>
      <c r="B31" s="12"/>
      <c r="C31" s="13"/>
      <c r="D31" s="7"/>
      <c r="E31" s="92" t="s">
        <v>1678</v>
      </c>
      <c r="F31" s="35"/>
      <c r="G31" s="35"/>
      <c r="H31" s="35"/>
      <c r="I31" s="35"/>
      <c r="J31" s="35"/>
      <c r="K31" s="35"/>
      <c r="L31" s="35"/>
      <c r="M31" s="35"/>
      <c r="N31" s="35"/>
      <c r="O31" s="35"/>
      <c r="P31" s="35"/>
      <c r="Q31" s="35"/>
      <c r="R31" s="35"/>
      <c r="S31" s="35"/>
      <c r="T31" s="36"/>
    </row>
    <row r="32" spans="1:20" x14ac:dyDescent="0.3">
      <c r="A32" s="11"/>
      <c r="B32" s="12"/>
      <c r="C32" s="13"/>
      <c r="D32" s="7"/>
      <c r="E32" s="92" t="s">
        <v>1679</v>
      </c>
      <c r="F32" s="43"/>
      <c r="G32" s="35"/>
      <c r="H32" s="35"/>
      <c r="I32" s="35"/>
      <c r="J32" s="35"/>
      <c r="K32" s="35"/>
      <c r="L32" s="35"/>
      <c r="M32" s="35"/>
      <c r="N32" s="35"/>
      <c r="O32" s="35"/>
      <c r="P32" s="35"/>
      <c r="Q32" s="35"/>
      <c r="R32" s="35"/>
      <c r="S32" s="35"/>
      <c r="T32" s="36"/>
    </row>
    <row r="33" spans="1:20" x14ac:dyDescent="0.3">
      <c r="A33" s="11"/>
      <c r="B33" s="12"/>
      <c r="C33" s="13"/>
      <c r="D33" s="7"/>
      <c r="E33" s="92" t="s">
        <v>1680</v>
      </c>
      <c r="F33" s="43"/>
      <c r="G33" s="35"/>
      <c r="H33" s="35"/>
      <c r="I33" s="35"/>
      <c r="J33" s="35"/>
      <c r="K33" s="35"/>
      <c r="L33" s="35"/>
      <c r="M33" s="35"/>
      <c r="N33" s="35"/>
      <c r="O33" s="35"/>
      <c r="P33" s="35"/>
      <c r="Q33" s="35"/>
      <c r="R33" s="35"/>
      <c r="S33" s="35"/>
      <c r="T33" s="36"/>
    </row>
    <row r="34" spans="1:20" x14ac:dyDescent="0.3">
      <c r="A34" s="11"/>
      <c r="B34" s="12"/>
      <c r="C34" s="13"/>
      <c r="D34" s="7"/>
      <c r="E34" s="42"/>
      <c r="F34" s="120"/>
      <c r="G34" s="35"/>
      <c r="H34" s="35"/>
      <c r="I34" s="35"/>
      <c r="J34" s="35"/>
      <c r="K34" s="35"/>
      <c r="L34" s="35"/>
      <c r="M34" s="35"/>
      <c r="N34" s="35"/>
      <c r="O34" s="35"/>
      <c r="P34" s="35"/>
      <c r="Q34" s="35"/>
      <c r="R34" s="35"/>
      <c r="S34" s="35"/>
      <c r="T34" s="36"/>
    </row>
    <row r="35" spans="1:20" x14ac:dyDescent="0.3">
      <c r="A35" s="11"/>
      <c r="B35" s="12"/>
      <c r="C35" s="13"/>
      <c r="D35" s="7"/>
      <c r="E35" s="42" t="s">
        <v>1365</v>
      </c>
      <c r="F35" s="35"/>
      <c r="G35" s="35"/>
      <c r="H35" s="35"/>
      <c r="I35" s="35"/>
      <c r="J35" s="35"/>
      <c r="K35" s="35"/>
      <c r="L35" s="35"/>
      <c r="M35" s="35"/>
      <c r="N35" s="35"/>
      <c r="O35" s="35"/>
      <c r="P35" s="35"/>
      <c r="Q35" s="35"/>
      <c r="R35" s="35"/>
      <c r="S35" s="35"/>
      <c r="T35" s="36"/>
    </row>
    <row r="36" spans="1:20" x14ac:dyDescent="0.3">
      <c r="A36" s="11"/>
      <c r="B36" s="12"/>
      <c r="C36" s="13"/>
      <c r="D36" s="7"/>
      <c r="E36" s="92" t="s">
        <v>1684</v>
      </c>
      <c r="F36" s="35"/>
      <c r="G36" s="35"/>
      <c r="H36" s="35"/>
      <c r="I36" s="35"/>
      <c r="J36" s="35"/>
      <c r="K36" s="35"/>
      <c r="L36" s="35"/>
      <c r="M36" s="35"/>
      <c r="N36" s="35"/>
      <c r="O36" s="35"/>
      <c r="P36" s="35"/>
      <c r="Q36" s="35"/>
      <c r="R36" s="35"/>
      <c r="S36" s="35"/>
      <c r="T36" s="36"/>
    </row>
    <row r="37" spans="1:20" x14ac:dyDescent="0.3">
      <c r="A37" s="11"/>
      <c r="B37" s="12"/>
      <c r="C37" s="13"/>
      <c r="D37" s="7"/>
      <c r="E37" s="92" t="s">
        <v>1685</v>
      </c>
      <c r="F37" s="35"/>
      <c r="G37" s="35"/>
      <c r="H37" s="35"/>
      <c r="I37" s="35"/>
      <c r="J37" s="35"/>
      <c r="K37" s="35"/>
      <c r="L37" s="35"/>
      <c r="M37" s="35"/>
      <c r="N37" s="35"/>
      <c r="O37" s="35"/>
      <c r="P37" s="35"/>
      <c r="Q37" s="35"/>
      <c r="R37" s="35"/>
      <c r="S37" s="35"/>
      <c r="T37" s="36"/>
    </row>
    <row r="38" spans="1:20" x14ac:dyDescent="0.3">
      <c r="A38" s="11"/>
      <c r="B38" s="12"/>
      <c r="C38" s="13"/>
      <c r="D38" s="7"/>
      <c r="E38" s="92" t="s">
        <v>1686</v>
      </c>
      <c r="F38" s="35"/>
      <c r="G38" s="35"/>
      <c r="H38" s="35"/>
      <c r="I38" s="35"/>
      <c r="J38" s="35"/>
      <c r="K38" s="35"/>
      <c r="L38" s="35"/>
      <c r="M38" s="35"/>
      <c r="N38" s="35"/>
      <c r="O38" s="35"/>
      <c r="P38" s="35"/>
      <c r="Q38" s="35"/>
      <c r="R38" s="35"/>
      <c r="S38" s="35"/>
      <c r="T38" s="36"/>
    </row>
    <row r="39" spans="1:20" x14ac:dyDescent="0.3">
      <c r="A39" s="11"/>
      <c r="B39" s="12"/>
      <c r="C39" s="13"/>
      <c r="D39" s="7"/>
      <c r="E39" s="92" t="s">
        <v>1687</v>
      </c>
      <c r="F39" s="35"/>
      <c r="G39" s="35"/>
      <c r="H39" s="35"/>
      <c r="I39" s="35"/>
      <c r="J39" s="35"/>
      <c r="K39" s="35"/>
      <c r="L39" s="35"/>
      <c r="M39" s="35"/>
      <c r="N39" s="35"/>
      <c r="O39" s="35"/>
      <c r="P39" s="35"/>
      <c r="Q39" s="35"/>
      <c r="R39" s="35"/>
      <c r="S39" s="35"/>
      <c r="T39" s="36"/>
    </row>
    <row r="40" spans="1:20" x14ac:dyDescent="0.3">
      <c r="A40" s="11"/>
      <c r="B40" s="12"/>
      <c r="C40" s="13"/>
      <c r="D40" s="7"/>
      <c r="E40" s="92" t="s">
        <v>1718</v>
      </c>
      <c r="F40" s="35"/>
      <c r="G40" s="35"/>
      <c r="H40" s="35"/>
      <c r="I40" s="35"/>
      <c r="J40" s="35"/>
      <c r="K40" s="35"/>
      <c r="L40" s="35"/>
      <c r="M40" s="35"/>
      <c r="N40" s="35"/>
      <c r="O40" s="35"/>
      <c r="P40" s="35"/>
      <c r="Q40" s="35"/>
      <c r="R40" s="35"/>
      <c r="S40" s="35"/>
      <c r="T40" s="36"/>
    </row>
    <row r="41" spans="1:20" x14ac:dyDescent="0.3">
      <c r="A41" s="11"/>
      <c r="B41" s="12"/>
      <c r="C41" s="13"/>
      <c r="D41" s="7"/>
      <c r="E41" s="42"/>
      <c r="F41" s="35"/>
      <c r="G41" s="35"/>
      <c r="H41" s="35"/>
      <c r="I41" s="35"/>
      <c r="J41" s="35"/>
      <c r="K41" s="35"/>
      <c r="L41" s="35"/>
      <c r="M41" s="35"/>
      <c r="N41" s="35"/>
      <c r="O41" s="35"/>
      <c r="P41" s="35"/>
      <c r="Q41" s="35"/>
      <c r="R41" s="35"/>
      <c r="S41" s="35"/>
      <c r="T41" s="36"/>
    </row>
    <row r="42" spans="1:20" x14ac:dyDescent="0.3">
      <c r="A42" s="11"/>
      <c r="B42" s="12"/>
      <c r="C42" s="13"/>
      <c r="D42" s="7"/>
      <c r="E42" s="42"/>
      <c r="F42" s="35"/>
      <c r="G42" s="35"/>
      <c r="H42" s="35"/>
      <c r="I42" s="35"/>
      <c r="J42" s="35"/>
      <c r="K42" s="35"/>
      <c r="L42" s="35"/>
      <c r="M42" s="35"/>
      <c r="N42" s="35"/>
      <c r="O42" s="35"/>
      <c r="P42" s="35"/>
      <c r="Q42" s="35"/>
      <c r="R42" s="35"/>
      <c r="S42" s="35"/>
      <c r="T42" s="36"/>
    </row>
    <row r="43" spans="1:20" x14ac:dyDescent="0.3">
      <c r="A43" s="11"/>
      <c r="B43" s="12"/>
      <c r="C43" s="13"/>
      <c r="D43" s="7"/>
      <c r="E43" s="42" t="s">
        <v>1379</v>
      </c>
      <c r="F43" s="35"/>
      <c r="G43" s="35"/>
      <c r="H43" s="35"/>
      <c r="I43" s="35"/>
      <c r="J43" s="35"/>
      <c r="K43" s="35"/>
      <c r="L43" s="35"/>
      <c r="M43" s="35"/>
      <c r="N43" s="35"/>
      <c r="O43" s="35"/>
      <c r="P43" s="35"/>
      <c r="Q43" s="35"/>
      <c r="R43" s="35"/>
      <c r="S43" s="35"/>
      <c r="T43" s="36"/>
    </row>
    <row r="44" spans="1:20" x14ac:dyDescent="0.3">
      <c r="A44" s="11"/>
      <c r="B44" s="12"/>
      <c r="C44" s="13"/>
      <c r="D44" s="7"/>
      <c r="E44" s="92" t="s">
        <v>1683</v>
      </c>
      <c r="F44" s="35"/>
      <c r="G44" s="35"/>
      <c r="H44" s="35"/>
      <c r="I44" s="35"/>
      <c r="J44" s="35"/>
      <c r="K44" s="35"/>
      <c r="L44" s="35"/>
      <c r="M44" s="35"/>
      <c r="N44" s="35"/>
      <c r="O44" s="35"/>
      <c r="P44" s="35"/>
      <c r="Q44" s="35"/>
      <c r="R44" s="35"/>
      <c r="S44" s="35"/>
      <c r="T44" s="36"/>
    </row>
    <row r="45" spans="1:20" x14ac:dyDescent="0.3">
      <c r="A45" s="11"/>
      <c r="B45" s="12"/>
      <c r="C45" s="13"/>
      <c r="E45" s="122"/>
      <c r="F45" s="35"/>
      <c r="G45" s="35"/>
      <c r="H45" s="35"/>
      <c r="I45" s="35"/>
      <c r="J45" s="35"/>
      <c r="K45" s="35"/>
      <c r="L45" s="35"/>
      <c r="M45" s="35"/>
      <c r="N45" s="35"/>
      <c r="O45" s="35"/>
      <c r="P45" s="35"/>
      <c r="Q45" s="35"/>
      <c r="R45" s="35"/>
      <c r="S45" s="35"/>
      <c r="T45" s="36"/>
    </row>
    <row r="46" spans="1:20" x14ac:dyDescent="0.3">
      <c r="A46" s="11"/>
      <c r="B46" s="12"/>
      <c r="C46" s="13"/>
      <c r="E46" s="57"/>
      <c r="F46" s="35"/>
      <c r="G46" s="35"/>
      <c r="H46" s="35"/>
      <c r="I46" s="35"/>
      <c r="J46" s="35"/>
      <c r="K46" s="35"/>
      <c r="L46" s="35"/>
      <c r="M46" s="35"/>
      <c r="N46" s="35"/>
      <c r="O46" s="35"/>
      <c r="P46" s="35"/>
      <c r="Q46" s="35"/>
      <c r="R46" s="35"/>
      <c r="S46" s="35"/>
      <c r="T46" s="36"/>
    </row>
    <row r="47" spans="1:20" x14ac:dyDescent="0.3">
      <c r="A47" s="11"/>
      <c r="B47" s="12"/>
      <c r="C47" s="13"/>
      <c r="E47" s="149" t="s">
        <v>1668</v>
      </c>
      <c r="F47" s="35"/>
      <c r="G47" s="35"/>
      <c r="H47" s="35"/>
      <c r="I47" s="35"/>
      <c r="J47" s="35"/>
      <c r="K47" s="35"/>
      <c r="L47" s="35"/>
      <c r="M47" s="35"/>
      <c r="N47" s="35"/>
      <c r="O47" s="35"/>
      <c r="P47" s="35"/>
      <c r="Q47" s="35"/>
      <c r="R47" s="35"/>
      <c r="S47" s="35"/>
      <c r="T47" s="36"/>
    </row>
    <row r="48" spans="1:20" x14ac:dyDescent="0.3">
      <c r="A48" s="11"/>
      <c r="B48" s="12"/>
      <c r="C48" s="13"/>
      <c r="E48" s="92" t="s">
        <v>1681</v>
      </c>
      <c r="F48" s="35"/>
      <c r="G48" s="35"/>
      <c r="H48" s="35"/>
      <c r="I48" s="35"/>
      <c r="J48" s="35"/>
      <c r="K48" s="35"/>
      <c r="L48" s="35"/>
      <c r="M48" s="35"/>
      <c r="N48" s="35"/>
      <c r="O48" s="35"/>
      <c r="P48" s="35"/>
      <c r="Q48" s="35"/>
      <c r="R48" s="35"/>
      <c r="S48" s="35"/>
      <c r="T48" s="36"/>
    </row>
    <row r="49" spans="1:20" x14ac:dyDescent="0.3">
      <c r="A49" s="11"/>
      <c r="B49" s="12"/>
      <c r="C49" s="13"/>
      <c r="E49" s="149" t="s">
        <v>1667</v>
      </c>
      <c r="F49" s="35"/>
      <c r="G49" s="35"/>
      <c r="H49" s="35"/>
      <c r="I49" s="35"/>
      <c r="J49" s="35"/>
      <c r="K49" s="35"/>
      <c r="L49" s="35"/>
      <c r="M49" s="35"/>
      <c r="N49" s="35"/>
      <c r="O49" s="35"/>
      <c r="P49" s="35"/>
      <c r="Q49" s="35"/>
      <c r="R49" s="35"/>
      <c r="S49" s="35"/>
      <c r="T49" s="36"/>
    </row>
    <row r="50" spans="1:20" x14ac:dyDescent="0.3">
      <c r="A50" s="11"/>
      <c r="B50" s="12"/>
      <c r="C50" s="13"/>
      <c r="E50" s="92" t="s">
        <v>1682</v>
      </c>
      <c r="F50" s="35"/>
      <c r="G50" s="35"/>
      <c r="H50" s="35"/>
      <c r="I50" s="35"/>
      <c r="J50" s="35"/>
      <c r="K50" s="35"/>
      <c r="L50" s="35"/>
      <c r="M50" s="35"/>
      <c r="N50" s="35"/>
      <c r="O50" s="35"/>
      <c r="P50" s="35"/>
      <c r="Q50" s="35"/>
      <c r="R50" s="35"/>
      <c r="S50" s="35"/>
      <c r="T50" s="36"/>
    </row>
    <row r="51" spans="1:20" x14ac:dyDescent="0.3">
      <c r="A51" s="15"/>
      <c r="B51" s="16"/>
      <c r="C51" s="17"/>
      <c r="E51" s="37"/>
      <c r="F51" s="38"/>
      <c r="G51" s="38"/>
      <c r="H51" s="38"/>
      <c r="I51" s="38"/>
      <c r="J51" s="38"/>
      <c r="K51" s="38"/>
      <c r="L51" s="38"/>
      <c r="M51" s="38"/>
      <c r="N51" s="38"/>
      <c r="O51" s="38"/>
      <c r="P51" s="38"/>
      <c r="Q51" s="38"/>
      <c r="R51" s="38"/>
      <c r="S51" s="38"/>
      <c r="T51" s="39"/>
    </row>
  </sheetData>
  <pageMargins left="0.25" right="0.25" top="0.75" bottom="0.75" header="0.3" footer="0.3"/>
  <pageSetup paperSize="9" scale="66"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7"/>
    <pageSetUpPr fitToPage="1"/>
  </sheetPr>
  <dimension ref="A1:Y373"/>
  <sheetViews>
    <sheetView showGridLines="0" tabSelected="1" zoomScale="60" zoomScaleNormal="60" workbookViewId="0">
      <pane xSplit="5" ySplit="1" topLeftCell="F350" activePane="bottomRight" state="frozen"/>
      <selection pane="topRight" activeCell="F1" sqref="F1"/>
      <selection pane="bottomLeft" activeCell="A2" sqref="A2"/>
      <selection pane="bottomRight" activeCell="G353" sqref="G353"/>
    </sheetView>
  </sheetViews>
  <sheetFormatPr defaultColWidth="8.88671875" defaultRowHeight="14.4" x14ac:dyDescent="0.3"/>
  <cols>
    <col min="1" max="1" width="9.33203125" bestFit="1" customWidth="1"/>
    <col min="2" max="2" width="28" customWidth="1"/>
    <col min="3" max="3" width="30.44140625" customWidth="1"/>
    <col min="4" max="4" width="32.5546875" customWidth="1"/>
    <col min="5" max="5" width="27.33203125" customWidth="1"/>
    <col min="6" max="6" width="31" customWidth="1"/>
    <col min="7" max="7" width="20.44140625" customWidth="1"/>
    <col min="8" max="8" width="21.5546875" customWidth="1"/>
    <col min="9" max="9" width="81.5546875" customWidth="1"/>
    <col min="10" max="10" width="17.44140625" customWidth="1"/>
    <col min="11" max="11" width="14.88671875" customWidth="1"/>
    <col min="12" max="12" width="24.5546875" customWidth="1"/>
    <col min="13" max="13" width="36.6640625" customWidth="1"/>
    <col min="14" max="14" width="57.33203125" customWidth="1"/>
    <col min="15" max="15" width="16" customWidth="1"/>
    <col min="16" max="16" width="28.5546875" customWidth="1"/>
    <col min="17" max="17" width="52" customWidth="1"/>
    <col min="18" max="18" width="16.109375" customWidth="1"/>
    <col min="19" max="19" width="16.6640625" customWidth="1"/>
    <col min="20" max="20" width="15.6640625" customWidth="1"/>
    <col min="21" max="21" width="17.6640625" customWidth="1"/>
    <col min="22" max="22" width="24.109375" customWidth="1"/>
    <col min="23" max="23" width="30.33203125" customWidth="1"/>
    <col min="24" max="24" width="43.5546875" customWidth="1"/>
    <col min="25" max="25" width="27.44140625" customWidth="1"/>
  </cols>
  <sheetData>
    <row r="1" spans="1:25" s="60" customFormat="1" ht="180.75" customHeight="1" x14ac:dyDescent="0.3">
      <c r="A1" s="61" t="s">
        <v>1</v>
      </c>
      <c r="B1" s="62" t="s">
        <v>451</v>
      </c>
      <c r="C1" s="62" t="s">
        <v>2</v>
      </c>
      <c r="D1" s="62" t="s">
        <v>25</v>
      </c>
      <c r="E1" s="118" t="s">
        <v>1367</v>
      </c>
      <c r="F1" s="157" t="s">
        <v>896</v>
      </c>
      <c r="G1" s="62" t="s">
        <v>2796</v>
      </c>
      <c r="H1" s="62" t="s">
        <v>107</v>
      </c>
      <c r="I1" s="62" t="s">
        <v>395</v>
      </c>
      <c r="J1" s="62" t="s">
        <v>265</v>
      </c>
      <c r="K1" s="62" t="s">
        <v>28</v>
      </c>
      <c r="L1" s="62" t="s">
        <v>3</v>
      </c>
      <c r="M1" s="288" t="s">
        <v>4</v>
      </c>
      <c r="N1" s="62" t="s">
        <v>5</v>
      </c>
      <c r="O1" s="288" t="s">
        <v>6</v>
      </c>
      <c r="P1" s="62" t="s">
        <v>108</v>
      </c>
      <c r="Q1" s="157" t="s">
        <v>1549</v>
      </c>
      <c r="R1" s="62" t="s">
        <v>1221</v>
      </c>
      <c r="S1" s="62" t="s">
        <v>1222</v>
      </c>
      <c r="T1" s="62" t="s">
        <v>31</v>
      </c>
      <c r="U1" s="62" t="s">
        <v>1223</v>
      </c>
      <c r="V1" s="62" t="s">
        <v>53</v>
      </c>
      <c r="W1" s="62" t="s">
        <v>1559</v>
      </c>
      <c r="X1" s="62" t="s">
        <v>33</v>
      </c>
      <c r="Y1" s="62" t="s">
        <v>2071</v>
      </c>
    </row>
    <row r="2" spans="1:25" s="29" customFormat="1" ht="90" customHeight="1" x14ac:dyDescent="0.3">
      <c r="A2" s="250" t="s">
        <v>11</v>
      </c>
      <c r="B2" s="251" t="s">
        <v>0</v>
      </c>
      <c r="C2" s="251" t="s">
        <v>8</v>
      </c>
      <c r="D2" s="184" t="s">
        <v>8</v>
      </c>
      <c r="E2" s="253" t="s">
        <v>464</v>
      </c>
      <c r="F2" s="185" t="s">
        <v>1067</v>
      </c>
      <c r="G2" s="186" t="s">
        <v>2027</v>
      </c>
      <c r="H2" s="184" t="s">
        <v>2027</v>
      </c>
      <c r="I2" s="184" t="s">
        <v>361</v>
      </c>
      <c r="J2" s="184" t="s">
        <v>58</v>
      </c>
      <c r="K2" s="254" t="s">
        <v>396</v>
      </c>
      <c r="L2" s="184" t="s">
        <v>2027</v>
      </c>
      <c r="M2" s="184" t="s">
        <v>26</v>
      </c>
      <c r="N2" s="254" t="s">
        <v>360</v>
      </c>
      <c r="O2" s="184" t="s">
        <v>2027</v>
      </c>
      <c r="P2" s="184" t="s">
        <v>595</v>
      </c>
      <c r="Q2" s="255" t="s">
        <v>109</v>
      </c>
      <c r="R2" s="187" t="s">
        <v>35</v>
      </c>
      <c r="S2" s="187" t="s">
        <v>2027</v>
      </c>
      <c r="T2" s="184" t="s">
        <v>32</v>
      </c>
      <c r="U2" s="184">
        <v>2013</v>
      </c>
      <c r="V2" s="254" t="s">
        <v>1111</v>
      </c>
      <c r="W2" s="188" t="s">
        <v>34</v>
      </c>
      <c r="X2" s="184" t="s">
        <v>2027</v>
      </c>
      <c r="Y2" s="187">
        <v>2017</v>
      </c>
    </row>
    <row r="3" spans="1:25" s="29" customFormat="1" ht="131.25" customHeight="1" x14ac:dyDescent="0.3">
      <c r="A3" s="250" t="s">
        <v>12</v>
      </c>
      <c r="B3" s="251" t="s">
        <v>0</v>
      </c>
      <c r="C3" s="251" t="s">
        <v>8</v>
      </c>
      <c r="D3" s="184" t="s">
        <v>8</v>
      </c>
      <c r="E3" s="253" t="s">
        <v>464</v>
      </c>
      <c r="F3" s="184" t="s">
        <v>2027</v>
      </c>
      <c r="G3" s="189">
        <v>4965</v>
      </c>
      <c r="H3" s="184" t="s">
        <v>2027</v>
      </c>
      <c r="I3" s="184" t="s">
        <v>1516</v>
      </c>
      <c r="J3" s="184" t="s">
        <v>51</v>
      </c>
      <c r="K3" s="184" t="s">
        <v>396</v>
      </c>
      <c r="L3" s="184" t="s">
        <v>841</v>
      </c>
      <c r="M3" s="184" t="s">
        <v>26</v>
      </c>
      <c r="N3" s="184" t="s">
        <v>1803</v>
      </c>
      <c r="O3" s="184" t="s">
        <v>767</v>
      </c>
      <c r="P3" s="184" t="s">
        <v>595</v>
      </c>
      <c r="Q3" s="255" t="s">
        <v>739</v>
      </c>
      <c r="R3" s="187" t="s">
        <v>35</v>
      </c>
      <c r="S3" s="190">
        <v>3.5000000000000003E-2</v>
      </c>
      <c r="T3" s="184" t="s">
        <v>554</v>
      </c>
      <c r="U3" s="184">
        <v>2009</v>
      </c>
      <c r="V3" s="256" t="s">
        <v>1112</v>
      </c>
      <c r="W3" s="188" t="s">
        <v>34</v>
      </c>
      <c r="X3" s="184" t="s">
        <v>2027</v>
      </c>
      <c r="Y3" s="187">
        <v>2017</v>
      </c>
    </row>
    <row r="4" spans="1:25" s="29" customFormat="1" ht="72" customHeight="1" x14ac:dyDescent="0.3">
      <c r="A4" s="250" t="s">
        <v>13</v>
      </c>
      <c r="B4" s="251" t="s">
        <v>0</v>
      </c>
      <c r="C4" s="251" t="s">
        <v>8</v>
      </c>
      <c r="D4" s="184" t="s">
        <v>9</v>
      </c>
      <c r="E4" s="253" t="s">
        <v>464</v>
      </c>
      <c r="F4" s="254" t="s">
        <v>1052</v>
      </c>
      <c r="G4" s="186" t="s">
        <v>2027</v>
      </c>
      <c r="H4" s="184" t="s">
        <v>2027</v>
      </c>
      <c r="I4" s="184" t="s">
        <v>1659</v>
      </c>
      <c r="J4" s="184" t="s">
        <v>58</v>
      </c>
      <c r="K4" s="254" t="s">
        <v>396</v>
      </c>
      <c r="L4" s="184" t="s">
        <v>2027</v>
      </c>
      <c r="M4" s="184" t="s">
        <v>26</v>
      </c>
      <c r="N4" s="254" t="s">
        <v>392</v>
      </c>
      <c r="O4" s="184" t="s">
        <v>2027</v>
      </c>
      <c r="P4" s="184" t="s">
        <v>595</v>
      </c>
      <c r="Q4" s="255" t="s">
        <v>109</v>
      </c>
      <c r="R4" s="187" t="s">
        <v>35</v>
      </c>
      <c r="S4" s="187" t="s">
        <v>2027</v>
      </c>
      <c r="T4" s="184" t="s">
        <v>32</v>
      </c>
      <c r="U4" s="184">
        <v>2013</v>
      </c>
      <c r="V4" s="254" t="s">
        <v>1111</v>
      </c>
      <c r="W4" s="188" t="s">
        <v>34</v>
      </c>
      <c r="X4" s="184" t="s">
        <v>2027</v>
      </c>
      <c r="Y4" s="187">
        <v>2017</v>
      </c>
    </row>
    <row r="5" spans="1:25" s="29" customFormat="1" ht="207" x14ac:dyDescent="0.3">
      <c r="A5" s="250" t="s">
        <v>14</v>
      </c>
      <c r="B5" s="251" t="s">
        <v>0</v>
      </c>
      <c r="C5" s="251" t="s">
        <v>8</v>
      </c>
      <c r="D5" s="184" t="s">
        <v>9</v>
      </c>
      <c r="E5" s="253" t="s">
        <v>464</v>
      </c>
      <c r="F5" s="184" t="s">
        <v>2027</v>
      </c>
      <c r="G5" s="189">
        <v>13206</v>
      </c>
      <c r="H5" s="184" t="s">
        <v>2027</v>
      </c>
      <c r="I5" s="184" t="s">
        <v>363</v>
      </c>
      <c r="J5" s="184" t="s">
        <v>51</v>
      </c>
      <c r="K5" s="184" t="s">
        <v>397</v>
      </c>
      <c r="L5" s="184" t="s">
        <v>2027</v>
      </c>
      <c r="M5" s="184" t="s">
        <v>362</v>
      </c>
      <c r="N5" s="184" t="s">
        <v>365</v>
      </c>
      <c r="O5" s="184" t="s">
        <v>105</v>
      </c>
      <c r="P5" s="184" t="s">
        <v>595</v>
      </c>
      <c r="Q5" s="255" t="s">
        <v>109</v>
      </c>
      <c r="R5" s="187" t="s">
        <v>35</v>
      </c>
      <c r="S5" s="191">
        <v>3.5000000000000003E-2</v>
      </c>
      <c r="T5" s="184" t="s">
        <v>364</v>
      </c>
      <c r="U5" s="184">
        <v>2008</v>
      </c>
      <c r="V5" s="256" t="s">
        <v>1113</v>
      </c>
      <c r="W5" s="188" t="s">
        <v>34</v>
      </c>
      <c r="X5" s="184" t="s">
        <v>2027</v>
      </c>
      <c r="Y5" s="187">
        <v>2017</v>
      </c>
    </row>
    <row r="6" spans="1:25" s="28" customFormat="1" ht="179.4" x14ac:dyDescent="0.3">
      <c r="A6" s="250" t="s">
        <v>15</v>
      </c>
      <c r="B6" s="251" t="s">
        <v>0</v>
      </c>
      <c r="C6" s="251" t="s">
        <v>8</v>
      </c>
      <c r="D6" s="255" t="s">
        <v>9</v>
      </c>
      <c r="E6" s="253" t="s">
        <v>464</v>
      </c>
      <c r="F6" s="184" t="s">
        <v>2027</v>
      </c>
      <c r="G6" s="186" t="s">
        <v>2027</v>
      </c>
      <c r="H6" s="255" t="s">
        <v>372</v>
      </c>
      <c r="I6" s="255" t="s">
        <v>374</v>
      </c>
      <c r="J6" s="255" t="s">
        <v>36</v>
      </c>
      <c r="K6" s="256" t="s">
        <v>267</v>
      </c>
      <c r="L6" s="255" t="s">
        <v>24</v>
      </c>
      <c r="M6" s="255" t="s">
        <v>373</v>
      </c>
      <c r="N6" s="255" t="s">
        <v>504</v>
      </c>
      <c r="O6" s="255" t="s">
        <v>23</v>
      </c>
      <c r="P6" s="255" t="s">
        <v>595</v>
      </c>
      <c r="Q6" s="255" t="s">
        <v>109</v>
      </c>
      <c r="R6" s="258" t="s">
        <v>35</v>
      </c>
      <c r="S6" s="187" t="s">
        <v>2027</v>
      </c>
      <c r="T6" s="255" t="s">
        <v>32</v>
      </c>
      <c r="U6" s="255">
        <v>2016</v>
      </c>
      <c r="V6" s="254" t="s">
        <v>1114</v>
      </c>
      <c r="W6" s="192" t="s">
        <v>34</v>
      </c>
      <c r="X6" s="192" t="s">
        <v>1660</v>
      </c>
      <c r="Y6" s="187">
        <v>2017</v>
      </c>
    </row>
    <row r="7" spans="1:25" s="28" customFormat="1" ht="223.5" customHeight="1" x14ac:dyDescent="0.3">
      <c r="A7" s="250" t="s">
        <v>16</v>
      </c>
      <c r="B7" s="251" t="s">
        <v>0</v>
      </c>
      <c r="C7" s="251" t="s">
        <v>8</v>
      </c>
      <c r="D7" s="255" t="s">
        <v>8</v>
      </c>
      <c r="E7" s="253" t="s">
        <v>464</v>
      </c>
      <c r="F7" s="255" t="s">
        <v>1940</v>
      </c>
      <c r="G7" s="257" t="s">
        <v>2027</v>
      </c>
      <c r="H7" s="255" t="s">
        <v>2027</v>
      </c>
      <c r="I7" s="255" t="s">
        <v>2426</v>
      </c>
      <c r="J7" s="184" t="s">
        <v>58</v>
      </c>
      <c r="K7" s="256" t="s">
        <v>267</v>
      </c>
      <c r="L7" s="255" t="s">
        <v>2427</v>
      </c>
      <c r="M7" s="255" t="s">
        <v>2703</v>
      </c>
      <c r="N7" s="255" t="s">
        <v>2704</v>
      </c>
      <c r="O7" s="255" t="s">
        <v>27</v>
      </c>
      <c r="P7" s="255" t="s">
        <v>1941</v>
      </c>
      <c r="Q7" s="255" t="s">
        <v>1942</v>
      </c>
      <c r="R7" s="258" t="s">
        <v>35</v>
      </c>
      <c r="S7" s="259">
        <v>3.5000000000000003E-2</v>
      </c>
      <c r="T7" s="255" t="s">
        <v>32</v>
      </c>
      <c r="U7" s="260">
        <v>2018</v>
      </c>
      <c r="V7" s="254" t="s">
        <v>2472</v>
      </c>
      <c r="W7" s="192" t="s">
        <v>1943</v>
      </c>
      <c r="X7" s="184" t="s">
        <v>2616</v>
      </c>
      <c r="Y7" s="269" t="s">
        <v>2401</v>
      </c>
    </row>
    <row r="8" spans="1:25" s="29" customFormat="1" ht="108.75" customHeight="1" x14ac:dyDescent="0.3">
      <c r="A8" s="250" t="s">
        <v>17</v>
      </c>
      <c r="B8" s="251" t="s">
        <v>0</v>
      </c>
      <c r="C8" s="251" t="s">
        <v>420</v>
      </c>
      <c r="D8" s="193" t="s">
        <v>10</v>
      </c>
      <c r="E8" s="253" t="s">
        <v>464</v>
      </c>
      <c r="F8" s="256" t="s">
        <v>1044</v>
      </c>
      <c r="G8" s="186" t="s">
        <v>2027</v>
      </c>
      <c r="H8" s="184" t="s">
        <v>2027</v>
      </c>
      <c r="I8" s="184" t="s">
        <v>330</v>
      </c>
      <c r="J8" s="184" t="s">
        <v>58</v>
      </c>
      <c r="K8" s="254" t="s">
        <v>396</v>
      </c>
      <c r="L8" s="184" t="s">
        <v>2027</v>
      </c>
      <c r="M8" s="194" t="s">
        <v>2027</v>
      </c>
      <c r="N8" s="255" t="s">
        <v>2027</v>
      </c>
      <c r="O8" s="184" t="s">
        <v>2027</v>
      </c>
      <c r="P8" s="184" t="s">
        <v>595</v>
      </c>
      <c r="Q8" s="255" t="s">
        <v>109</v>
      </c>
      <c r="R8" s="187" t="s">
        <v>35</v>
      </c>
      <c r="S8" s="187" t="s">
        <v>2027</v>
      </c>
      <c r="T8" s="184" t="s">
        <v>32</v>
      </c>
      <c r="U8" s="184">
        <v>2011</v>
      </c>
      <c r="V8" s="256" t="s">
        <v>1115</v>
      </c>
      <c r="W8" s="188" t="s">
        <v>34</v>
      </c>
      <c r="X8" s="188" t="s">
        <v>146</v>
      </c>
      <c r="Y8" s="187">
        <v>2017</v>
      </c>
    </row>
    <row r="9" spans="1:25" ht="110.4" x14ac:dyDescent="0.3">
      <c r="A9" s="250" t="s">
        <v>18</v>
      </c>
      <c r="B9" s="251" t="s">
        <v>0</v>
      </c>
      <c r="C9" s="251" t="s">
        <v>2530</v>
      </c>
      <c r="D9" s="184" t="s">
        <v>2531</v>
      </c>
      <c r="E9" s="253" t="s">
        <v>464</v>
      </c>
      <c r="F9" s="255" t="s">
        <v>2532</v>
      </c>
      <c r="G9" s="257" t="s">
        <v>2027</v>
      </c>
      <c r="H9" s="255" t="s">
        <v>2027</v>
      </c>
      <c r="I9" s="255" t="s">
        <v>2533</v>
      </c>
      <c r="J9" s="184" t="s">
        <v>58</v>
      </c>
      <c r="K9" s="184" t="s">
        <v>2252</v>
      </c>
      <c r="L9" s="255" t="s">
        <v>2755</v>
      </c>
      <c r="M9" s="184" t="s">
        <v>2254</v>
      </c>
      <c r="N9" s="255" t="s">
        <v>2534</v>
      </c>
      <c r="O9" s="184" t="s">
        <v>133</v>
      </c>
      <c r="P9" s="184" t="s">
        <v>2027</v>
      </c>
      <c r="Q9" s="255" t="s">
        <v>2276</v>
      </c>
      <c r="R9" s="258" t="s">
        <v>173</v>
      </c>
      <c r="S9" s="259">
        <v>0.03</v>
      </c>
      <c r="T9" s="259" t="s">
        <v>778</v>
      </c>
      <c r="U9" s="255">
        <v>2012</v>
      </c>
      <c r="V9" s="201" t="s">
        <v>2535</v>
      </c>
      <c r="W9" s="261" t="s">
        <v>2210</v>
      </c>
      <c r="X9" s="184" t="s">
        <v>2027</v>
      </c>
      <c r="Y9" s="269">
        <v>2019</v>
      </c>
    </row>
    <row r="10" spans="1:25" s="29" customFormat="1" ht="262.2" x14ac:dyDescent="0.3">
      <c r="A10" s="250" t="s">
        <v>19</v>
      </c>
      <c r="B10" s="251" t="s">
        <v>0</v>
      </c>
      <c r="C10" s="251" t="s">
        <v>420</v>
      </c>
      <c r="D10" s="193" t="s">
        <v>505</v>
      </c>
      <c r="E10" s="253" t="s">
        <v>464</v>
      </c>
      <c r="F10" s="184" t="s">
        <v>2027</v>
      </c>
      <c r="G10" s="189">
        <v>14025</v>
      </c>
      <c r="H10" s="184" t="s">
        <v>2027</v>
      </c>
      <c r="I10" s="184" t="s">
        <v>506</v>
      </c>
      <c r="J10" s="184" t="s">
        <v>51</v>
      </c>
      <c r="K10" s="184" t="s">
        <v>397</v>
      </c>
      <c r="L10" s="184" t="s">
        <v>2027</v>
      </c>
      <c r="M10" s="194" t="s">
        <v>236</v>
      </c>
      <c r="N10" s="195" t="s">
        <v>788</v>
      </c>
      <c r="O10" s="184" t="s">
        <v>133</v>
      </c>
      <c r="P10" s="184" t="s">
        <v>595</v>
      </c>
      <c r="Q10" s="255" t="s">
        <v>125</v>
      </c>
      <c r="R10" s="187" t="s">
        <v>35</v>
      </c>
      <c r="S10" s="191">
        <v>3.5000000000000003E-2</v>
      </c>
      <c r="T10" s="184" t="s">
        <v>32</v>
      </c>
      <c r="U10" s="184">
        <v>2006</v>
      </c>
      <c r="V10" s="256" t="s">
        <v>1116</v>
      </c>
      <c r="W10" s="188" t="s">
        <v>34</v>
      </c>
      <c r="X10" s="188" t="s">
        <v>1640</v>
      </c>
      <c r="Y10" s="187">
        <v>2017</v>
      </c>
    </row>
    <row r="11" spans="1:25" s="29" customFormat="1" ht="193.2" x14ac:dyDescent="0.3">
      <c r="A11" s="250" t="s">
        <v>20</v>
      </c>
      <c r="B11" s="251" t="s">
        <v>0</v>
      </c>
      <c r="C11" s="251" t="s">
        <v>420</v>
      </c>
      <c r="D11" s="193" t="s">
        <v>505</v>
      </c>
      <c r="E11" s="253" t="s">
        <v>464</v>
      </c>
      <c r="F11" s="184" t="s">
        <v>2027</v>
      </c>
      <c r="G11" s="189">
        <v>19425</v>
      </c>
      <c r="H11" s="184" t="s">
        <v>2027</v>
      </c>
      <c r="I11" s="184" t="s">
        <v>507</v>
      </c>
      <c r="J11" s="184" t="s">
        <v>51</v>
      </c>
      <c r="K11" s="184" t="s">
        <v>397</v>
      </c>
      <c r="L11" s="184" t="s">
        <v>2027</v>
      </c>
      <c r="M11" s="194" t="s">
        <v>236</v>
      </c>
      <c r="N11" s="195" t="s">
        <v>1107</v>
      </c>
      <c r="O11" s="184" t="s">
        <v>133</v>
      </c>
      <c r="P11" s="184" t="s">
        <v>595</v>
      </c>
      <c r="Q11" s="255" t="s">
        <v>125</v>
      </c>
      <c r="R11" s="187" t="s">
        <v>35</v>
      </c>
      <c r="S11" s="191">
        <v>3.5000000000000003E-2</v>
      </c>
      <c r="T11" s="184" t="s">
        <v>32</v>
      </c>
      <c r="U11" s="184">
        <v>2006</v>
      </c>
      <c r="V11" s="256" t="s">
        <v>1116</v>
      </c>
      <c r="W11" s="188" t="s">
        <v>34</v>
      </c>
      <c r="X11" s="188" t="s">
        <v>1640</v>
      </c>
      <c r="Y11" s="187">
        <v>2017</v>
      </c>
    </row>
    <row r="12" spans="1:25" s="29" customFormat="1" ht="193.2" x14ac:dyDescent="0.3">
      <c r="A12" s="250" t="s">
        <v>21</v>
      </c>
      <c r="B12" s="251" t="s">
        <v>0</v>
      </c>
      <c r="C12" s="251" t="s">
        <v>420</v>
      </c>
      <c r="D12" s="193" t="s">
        <v>508</v>
      </c>
      <c r="E12" s="253" t="s">
        <v>464</v>
      </c>
      <c r="F12" s="184" t="s">
        <v>2027</v>
      </c>
      <c r="G12" s="189">
        <v>3200</v>
      </c>
      <c r="H12" s="184" t="s">
        <v>2027</v>
      </c>
      <c r="I12" s="184" t="s">
        <v>509</v>
      </c>
      <c r="J12" s="184" t="s">
        <v>51</v>
      </c>
      <c r="K12" s="184" t="s">
        <v>397</v>
      </c>
      <c r="L12" s="184" t="s">
        <v>2027</v>
      </c>
      <c r="M12" s="194" t="s">
        <v>233</v>
      </c>
      <c r="N12" s="195" t="s">
        <v>882</v>
      </c>
      <c r="O12" s="184" t="s">
        <v>133</v>
      </c>
      <c r="P12" s="184" t="s">
        <v>595</v>
      </c>
      <c r="Q12" s="255" t="s">
        <v>125</v>
      </c>
      <c r="R12" s="187" t="s">
        <v>35</v>
      </c>
      <c r="S12" s="191">
        <v>3.5000000000000003E-2</v>
      </c>
      <c r="T12" s="184" t="s">
        <v>32</v>
      </c>
      <c r="U12" s="184">
        <v>2006</v>
      </c>
      <c r="V12" s="256" t="s">
        <v>1116</v>
      </c>
      <c r="W12" s="188" t="s">
        <v>34</v>
      </c>
      <c r="X12" s="188" t="s">
        <v>1640</v>
      </c>
      <c r="Y12" s="187">
        <v>2017</v>
      </c>
    </row>
    <row r="13" spans="1:25" s="29" customFormat="1" ht="193.2" x14ac:dyDescent="0.3">
      <c r="A13" s="250" t="s">
        <v>22</v>
      </c>
      <c r="B13" s="251" t="s">
        <v>0</v>
      </c>
      <c r="C13" s="251" t="s">
        <v>420</v>
      </c>
      <c r="D13" s="193" t="s">
        <v>508</v>
      </c>
      <c r="E13" s="253" t="s">
        <v>464</v>
      </c>
      <c r="F13" s="184" t="s">
        <v>2027</v>
      </c>
      <c r="G13" s="189">
        <v>10286</v>
      </c>
      <c r="H13" s="184" t="s">
        <v>2027</v>
      </c>
      <c r="I13" s="184" t="s">
        <v>510</v>
      </c>
      <c r="J13" s="184" t="s">
        <v>51</v>
      </c>
      <c r="K13" s="184" t="s">
        <v>397</v>
      </c>
      <c r="L13" s="184" t="s">
        <v>2027</v>
      </c>
      <c r="M13" s="194" t="s">
        <v>234</v>
      </c>
      <c r="N13" s="195" t="s">
        <v>877</v>
      </c>
      <c r="O13" s="184" t="s">
        <v>133</v>
      </c>
      <c r="P13" s="184" t="s">
        <v>595</v>
      </c>
      <c r="Q13" s="255" t="s">
        <v>125</v>
      </c>
      <c r="R13" s="187" t="s">
        <v>35</v>
      </c>
      <c r="S13" s="191">
        <v>3.5000000000000003E-2</v>
      </c>
      <c r="T13" s="184" t="s">
        <v>32</v>
      </c>
      <c r="U13" s="184">
        <v>2006</v>
      </c>
      <c r="V13" s="256" t="s">
        <v>1116</v>
      </c>
      <c r="W13" s="188" t="s">
        <v>34</v>
      </c>
      <c r="X13" s="188" t="s">
        <v>1640</v>
      </c>
      <c r="Y13" s="187">
        <v>2017</v>
      </c>
    </row>
    <row r="14" spans="1:25" s="29" customFormat="1" ht="193.2" x14ac:dyDescent="0.3">
      <c r="A14" s="250" t="s">
        <v>37</v>
      </c>
      <c r="B14" s="251" t="s">
        <v>0</v>
      </c>
      <c r="C14" s="251" t="s">
        <v>420</v>
      </c>
      <c r="D14" s="193" t="s">
        <v>508</v>
      </c>
      <c r="E14" s="253" t="s">
        <v>464</v>
      </c>
      <c r="F14" s="184" t="s">
        <v>2027</v>
      </c>
      <c r="G14" s="189">
        <v>12194</v>
      </c>
      <c r="H14" s="184" t="s">
        <v>2027</v>
      </c>
      <c r="I14" s="184" t="s">
        <v>878</v>
      </c>
      <c r="J14" s="184" t="s">
        <v>51</v>
      </c>
      <c r="K14" s="184" t="s">
        <v>397</v>
      </c>
      <c r="L14" s="184" t="s">
        <v>2027</v>
      </c>
      <c r="M14" s="194" t="s">
        <v>235</v>
      </c>
      <c r="N14" s="195" t="s">
        <v>879</v>
      </c>
      <c r="O14" s="184" t="s">
        <v>133</v>
      </c>
      <c r="P14" s="184" t="s">
        <v>595</v>
      </c>
      <c r="Q14" s="255" t="s">
        <v>125</v>
      </c>
      <c r="R14" s="187" t="s">
        <v>35</v>
      </c>
      <c r="S14" s="191">
        <v>3.5000000000000003E-2</v>
      </c>
      <c r="T14" s="184" t="s">
        <v>32</v>
      </c>
      <c r="U14" s="184">
        <v>2006</v>
      </c>
      <c r="V14" s="256" t="s">
        <v>1116</v>
      </c>
      <c r="W14" s="188" t="s">
        <v>34</v>
      </c>
      <c r="X14" s="188" t="s">
        <v>1640</v>
      </c>
      <c r="Y14" s="187">
        <v>2017</v>
      </c>
    </row>
    <row r="15" spans="1:25" s="29" customFormat="1" ht="193.2" x14ac:dyDescent="0.3">
      <c r="A15" s="250" t="s">
        <v>38</v>
      </c>
      <c r="B15" s="251" t="s">
        <v>0</v>
      </c>
      <c r="C15" s="251" t="s">
        <v>420</v>
      </c>
      <c r="D15" s="193" t="s">
        <v>508</v>
      </c>
      <c r="E15" s="253" t="s">
        <v>464</v>
      </c>
      <c r="F15" s="184" t="s">
        <v>2027</v>
      </c>
      <c r="G15" s="189">
        <v>14143</v>
      </c>
      <c r="H15" s="184" t="s">
        <v>2027</v>
      </c>
      <c r="I15" s="184" t="s">
        <v>511</v>
      </c>
      <c r="J15" s="184" t="s">
        <v>51</v>
      </c>
      <c r="K15" s="184" t="s">
        <v>397</v>
      </c>
      <c r="L15" s="184" t="s">
        <v>2027</v>
      </c>
      <c r="M15" s="194" t="s">
        <v>234</v>
      </c>
      <c r="N15" s="195" t="s">
        <v>880</v>
      </c>
      <c r="O15" s="184" t="s">
        <v>133</v>
      </c>
      <c r="P15" s="184" t="s">
        <v>595</v>
      </c>
      <c r="Q15" s="255" t="s">
        <v>125</v>
      </c>
      <c r="R15" s="187" t="s">
        <v>35</v>
      </c>
      <c r="S15" s="191">
        <v>3.5000000000000003E-2</v>
      </c>
      <c r="T15" s="184" t="s">
        <v>32</v>
      </c>
      <c r="U15" s="184">
        <v>2006</v>
      </c>
      <c r="V15" s="256" t="s">
        <v>1116</v>
      </c>
      <c r="W15" s="188" t="s">
        <v>34</v>
      </c>
      <c r="X15" s="188" t="s">
        <v>1640</v>
      </c>
      <c r="Y15" s="187">
        <v>2017</v>
      </c>
    </row>
    <row r="16" spans="1:25" s="29" customFormat="1" ht="193.2" x14ac:dyDescent="0.3">
      <c r="A16" s="250" t="s">
        <v>40</v>
      </c>
      <c r="B16" s="251" t="s">
        <v>0</v>
      </c>
      <c r="C16" s="251" t="s">
        <v>420</v>
      </c>
      <c r="D16" s="193" t="s">
        <v>508</v>
      </c>
      <c r="E16" s="253" t="s">
        <v>464</v>
      </c>
      <c r="F16" s="184" t="s">
        <v>2027</v>
      </c>
      <c r="G16" s="189">
        <v>24000</v>
      </c>
      <c r="H16" s="184" t="s">
        <v>2027</v>
      </c>
      <c r="I16" s="184" t="s">
        <v>512</v>
      </c>
      <c r="J16" s="184" t="s">
        <v>51</v>
      </c>
      <c r="K16" s="184" t="s">
        <v>397</v>
      </c>
      <c r="L16" s="184" t="s">
        <v>2027</v>
      </c>
      <c r="M16" s="194" t="s">
        <v>237</v>
      </c>
      <c r="N16" s="195" t="s">
        <v>876</v>
      </c>
      <c r="O16" s="184" t="s">
        <v>133</v>
      </c>
      <c r="P16" s="184" t="s">
        <v>595</v>
      </c>
      <c r="Q16" s="255" t="s">
        <v>125</v>
      </c>
      <c r="R16" s="187" t="s">
        <v>35</v>
      </c>
      <c r="S16" s="191">
        <v>3.5000000000000003E-2</v>
      </c>
      <c r="T16" s="184" t="s">
        <v>32</v>
      </c>
      <c r="U16" s="184">
        <v>2006</v>
      </c>
      <c r="V16" s="256" t="s">
        <v>1116</v>
      </c>
      <c r="W16" s="188" t="s">
        <v>34</v>
      </c>
      <c r="X16" s="188" t="s">
        <v>1640</v>
      </c>
      <c r="Y16" s="187">
        <v>2017</v>
      </c>
    </row>
    <row r="17" spans="1:25" s="29" customFormat="1" ht="193.2" x14ac:dyDescent="0.3">
      <c r="A17" s="250" t="s">
        <v>111</v>
      </c>
      <c r="B17" s="251" t="s">
        <v>0</v>
      </c>
      <c r="C17" s="251" t="s">
        <v>420</v>
      </c>
      <c r="D17" s="193" t="s">
        <v>508</v>
      </c>
      <c r="E17" s="253" t="s">
        <v>464</v>
      </c>
      <c r="F17" s="184" t="s">
        <v>2027</v>
      </c>
      <c r="G17" s="189">
        <v>45606</v>
      </c>
      <c r="H17" s="184" t="s">
        <v>2027</v>
      </c>
      <c r="I17" s="184" t="s">
        <v>513</v>
      </c>
      <c r="J17" s="184" t="s">
        <v>51</v>
      </c>
      <c r="K17" s="184" t="s">
        <v>397</v>
      </c>
      <c r="L17" s="184" t="s">
        <v>2027</v>
      </c>
      <c r="M17" s="194" t="s">
        <v>235</v>
      </c>
      <c r="N17" s="195" t="s">
        <v>881</v>
      </c>
      <c r="O17" s="184" t="s">
        <v>133</v>
      </c>
      <c r="P17" s="184" t="s">
        <v>595</v>
      </c>
      <c r="Q17" s="255" t="s">
        <v>125</v>
      </c>
      <c r="R17" s="187" t="s">
        <v>35</v>
      </c>
      <c r="S17" s="191">
        <v>3.5000000000000003E-2</v>
      </c>
      <c r="T17" s="184" t="s">
        <v>32</v>
      </c>
      <c r="U17" s="184">
        <v>2006</v>
      </c>
      <c r="V17" s="256" t="s">
        <v>1116</v>
      </c>
      <c r="W17" s="188" t="s">
        <v>34</v>
      </c>
      <c r="X17" s="188" t="s">
        <v>1640</v>
      </c>
      <c r="Y17" s="187">
        <v>2017</v>
      </c>
    </row>
    <row r="18" spans="1:25" s="29" customFormat="1" ht="193.2" x14ac:dyDescent="0.3">
      <c r="A18" s="250" t="s">
        <v>175</v>
      </c>
      <c r="B18" s="251" t="s">
        <v>0</v>
      </c>
      <c r="C18" s="251" t="s">
        <v>420</v>
      </c>
      <c r="D18" s="193" t="s">
        <v>508</v>
      </c>
      <c r="E18" s="253" t="s">
        <v>464</v>
      </c>
      <c r="F18" s="184" t="s">
        <v>2027</v>
      </c>
      <c r="G18" s="189">
        <v>96000</v>
      </c>
      <c r="H18" s="184" t="s">
        <v>2027</v>
      </c>
      <c r="I18" s="184" t="s">
        <v>514</v>
      </c>
      <c r="J18" s="184" t="s">
        <v>51</v>
      </c>
      <c r="K18" s="184" t="s">
        <v>397</v>
      </c>
      <c r="L18" s="184" t="s">
        <v>874</v>
      </c>
      <c r="M18" s="194" t="s">
        <v>1804</v>
      </c>
      <c r="N18" s="195" t="s">
        <v>875</v>
      </c>
      <c r="O18" s="184" t="s">
        <v>133</v>
      </c>
      <c r="P18" s="184" t="s">
        <v>595</v>
      </c>
      <c r="Q18" s="255" t="s">
        <v>125</v>
      </c>
      <c r="R18" s="187" t="s">
        <v>35</v>
      </c>
      <c r="S18" s="191">
        <v>3.5000000000000003E-2</v>
      </c>
      <c r="T18" s="184" t="s">
        <v>32</v>
      </c>
      <c r="U18" s="184">
        <v>2006</v>
      </c>
      <c r="V18" s="256" t="s">
        <v>1116</v>
      </c>
      <c r="W18" s="188" t="s">
        <v>34</v>
      </c>
      <c r="X18" s="188" t="s">
        <v>1640</v>
      </c>
      <c r="Y18" s="187">
        <v>2017</v>
      </c>
    </row>
    <row r="19" spans="1:25" s="29" customFormat="1" ht="276" x14ac:dyDescent="0.3">
      <c r="A19" s="250" t="s">
        <v>179</v>
      </c>
      <c r="B19" s="251" t="s">
        <v>0</v>
      </c>
      <c r="C19" s="251" t="s">
        <v>174</v>
      </c>
      <c r="D19" s="184" t="s">
        <v>7</v>
      </c>
      <c r="E19" s="253" t="s">
        <v>464</v>
      </c>
      <c r="F19" s="184" t="s">
        <v>2027</v>
      </c>
      <c r="G19" s="257" t="s">
        <v>231</v>
      </c>
      <c r="H19" s="196" t="s">
        <v>328</v>
      </c>
      <c r="I19" s="184" t="s">
        <v>2705</v>
      </c>
      <c r="J19" s="184" t="s">
        <v>36</v>
      </c>
      <c r="K19" s="184" t="s">
        <v>397</v>
      </c>
      <c r="L19" s="184" t="s">
        <v>348</v>
      </c>
      <c r="M19" s="184" t="s">
        <v>350</v>
      </c>
      <c r="N19" s="184" t="s">
        <v>2706</v>
      </c>
      <c r="O19" s="184" t="s">
        <v>27</v>
      </c>
      <c r="P19" s="184" t="s">
        <v>595</v>
      </c>
      <c r="Q19" s="255" t="s">
        <v>351</v>
      </c>
      <c r="R19" s="187" t="s">
        <v>35</v>
      </c>
      <c r="S19" s="197">
        <v>0.03</v>
      </c>
      <c r="T19" s="184" t="s">
        <v>347</v>
      </c>
      <c r="U19" s="184">
        <v>2011</v>
      </c>
      <c r="V19" s="256" t="s">
        <v>2707</v>
      </c>
      <c r="W19" s="192" t="s">
        <v>34</v>
      </c>
      <c r="X19" s="192" t="s">
        <v>352</v>
      </c>
      <c r="Y19" s="187">
        <v>2017</v>
      </c>
    </row>
    <row r="20" spans="1:25" s="29" customFormat="1" ht="138" x14ac:dyDescent="0.3">
      <c r="A20" s="250" t="s">
        <v>180</v>
      </c>
      <c r="B20" s="251" t="s">
        <v>0</v>
      </c>
      <c r="C20" s="251" t="s">
        <v>174</v>
      </c>
      <c r="D20" s="184" t="s">
        <v>7</v>
      </c>
      <c r="E20" s="253" t="s">
        <v>464</v>
      </c>
      <c r="F20" s="184" t="s">
        <v>2027</v>
      </c>
      <c r="G20" s="189">
        <v>17500</v>
      </c>
      <c r="H20" s="184" t="s">
        <v>2027</v>
      </c>
      <c r="I20" s="184" t="s">
        <v>1381</v>
      </c>
      <c r="J20" s="184" t="s">
        <v>36</v>
      </c>
      <c r="K20" s="184" t="s">
        <v>397</v>
      </c>
      <c r="L20" s="184" t="s">
        <v>110</v>
      </c>
      <c r="M20" s="255" t="s">
        <v>354</v>
      </c>
      <c r="N20" s="184" t="s">
        <v>1380</v>
      </c>
      <c r="O20" s="184" t="s">
        <v>27</v>
      </c>
      <c r="P20" s="184" t="s">
        <v>595</v>
      </c>
      <c r="Q20" s="255" t="s">
        <v>353</v>
      </c>
      <c r="R20" s="187" t="s">
        <v>35</v>
      </c>
      <c r="S20" s="197">
        <v>0.03</v>
      </c>
      <c r="T20" s="184" t="s">
        <v>349</v>
      </c>
      <c r="U20" s="184">
        <v>2014</v>
      </c>
      <c r="V20" s="254" t="s">
        <v>2708</v>
      </c>
      <c r="W20" s="188" t="s">
        <v>34</v>
      </c>
      <c r="X20" s="184" t="s">
        <v>2027</v>
      </c>
      <c r="Y20" s="187">
        <v>2017</v>
      </c>
    </row>
    <row r="21" spans="1:25" s="29" customFormat="1" ht="138" x14ac:dyDescent="0.3">
      <c r="A21" s="250" t="s">
        <v>181</v>
      </c>
      <c r="B21" s="251" t="s">
        <v>0</v>
      </c>
      <c r="C21" s="251" t="s">
        <v>174</v>
      </c>
      <c r="D21" s="184" t="s">
        <v>7</v>
      </c>
      <c r="E21" s="253" t="s">
        <v>464</v>
      </c>
      <c r="F21" s="184" t="s">
        <v>2027</v>
      </c>
      <c r="G21" s="189">
        <v>26800</v>
      </c>
      <c r="H21" s="184" t="s">
        <v>2027</v>
      </c>
      <c r="I21" s="184" t="s">
        <v>1382</v>
      </c>
      <c r="J21" s="184" t="s">
        <v>36</v>
      </c>
      <c r="K21" s="184" t="s">
        <v>397</v>
      </c>
      <c r="L21" s="184" t="s">
        <v>110</v>
      </c>
      <c r="M21" s="255" t="s">
        <v>354</v>
      </c>
      <c r="N21" s="184" t="s">
        <v>1383</v>
      </c>
      <c r="O21" s="184" t="s">
        <v>27</v>
      </c>
      <c r="P21" s="184" t="s">
        <v>595</v>
      </c>
      <c r="Q21" s="255" t="s">
        <v>353</v>
      </c>
      <c r="R21" s="187" t="s">
        <v>35</v>
      </c>
      <c r="S21" s="197">
        <v>0.03</v>
      </c>
      <c r="T21" s="184" t="s">
        <v>349</v>
      </c>
      <c r="U21" s="184">
        <v>2014</v>
      </c>
      <c r="V21" s="254" t="s">
        <v>2708</v>
      </c>
      <c r="W21" s="188" t="s">
        <v>34</v>
      </c>
      <c r="X21" s="184" t="s">
        <v>2027</v>
      </c>
      <c r="Y21" s="187">
        <v>2017</v>
      </c>
    </row>
    <row r="22" spans="1:25" s="29" customFormat="1" ht="193.2" x14ac:dyDescent="0.3">
      <c r="A22" s="250" t="s">
        <v>229</v>
      </c>
      <c r="B22" s="251" t="s">
        <v>0</v>
      </c>
      <c r="C22" s="251" t="s">
        <v>174</v>
      </c>
      <c r="D22" s="184" t="s">
        <v>7</v>
      </c>
      <c r="E22" s="253" t="s">
        <v>464</v>
      </c>
      <c r="F22" s="184" t="s">
        <v>2027</v>
      </c>
      <c r="G22" s="257" t="s">
        <v>231</v>
      </c>
      <c r="H22" s="196" t="s">
        <v>328</v>
      </c>
      <c r="I22" s="184" t="s">
        <v>358</v>
      </c>
      <c r="J22" s="184" t="s">
        <v>36</v>
      </c>
      <c r="K22" s="184" t="s">
        <v>397</v>
      </c>
      <c r="L22" s="184" t="s">
        <v>178</v>
      </c>
      <c r="M22" s="255" t="s">
        <v>355</v>
      </c>
      <c r="N22" s="184" t="s">
        <v>356</v>
      </c>
      <c r="O22" s="184" t="s">
        <v>52</v>
      </c>
      <c r="P22" s="184" t="s">
        <v>595</v>
      </c>
      <c r="Q22" s="255" t="s">
        <v>346</v>
      </c>
      <c r="R22" s="187" t="s">
        <v>173</v>
      </c>
      <c r="S22" s="197">
        <v>0.03</v>
      </c>
      <c r="T22" s="184" t="s">
        <v>777</v>
      </c>
      <c r="U22" s="184">
        <v>2016</v>
      </c>
      <c r="V22" s="254" t="s">
        <v>1109</v>
      </c>
      <c r="W22" s="188" t="s">
        <v>34</v>
      </c>
      <c r="X22" s="184" t="s">
        <v>2027</v>
      </c>
      <c r="Y22" s="187">
        <v>2017</v>
      </c>
    </row>
    <row r="23" spans="1:25" s="29" customFormat="1" ht="138" x14ac:dyDescent="0.3">
      <c r="A23" s="250" t="s">
        <v>230</v>
      </c>
      <c r="B23" s="251" t="s">
        <v>0</v>
      </c>
      <c r="C23" s="251" t="s">
        <v>174</v>
      </c>
      <c r="D23" s="198" t="s">
        <v>7</v>
      </c>
      <c r="E23" s="253" t="s">
        <v>464</v>
      </c>
      <c r="F23" s="255" t="s">
        <v>1053</v>
      </c>
      <c r="G23" s="186" t="s">
        <v>2027</v>
      </c>
      <c r="H23" s="184" t="s">
        <v>2027</v>
      </c>
      <c r="I23" s="184" t="s">
        <v>368</v>
      </c>
      <c r="J23" s="184" t="s">
        <v>58</v>
      </c>
      <c r="K23" s="184" t="s">
        <v>397</v>
      </c>
      <c r="L23" s="184" t="s">
        <v>371</v>
      </c>
      <c r="M23" s="255" t="s">
        <v>370</v>
      </c>
      <c r="N23" s="184" t="s">
        <v>367</v>
      </c>
      <c r="O23" s="184" t="s">
        <v>366</v>
      </c>
      <c r="P23" s="184" t="s">
        <v>595</v>
      </c>
      <c r="Q23" s="255" t="s">
        <v>369</v>
      </c>
      <c r="R23" s="187" t="s">
        <v>173</v>
      </c>
      <c r="S23" s="197">
        <v>0.03</v>
      </c>
      <c r="T23" s="184" t="s">
        <v>778</v>
      </c>
      <c r="U23" s="184">
        <v>2012</v>
      </c>
      <c r="V23" s="254" t="s">
        <v>1110</v>
      </c>
      <c r="W23" s="188" t="s">
        <v>34</v>
      </c>
      <c r="X23" s="184" t="s">
        <v>2027</v>
      </c>
      <c r="Y23" s="187">
        <v>2017</v>
      </c>
    </row>
    <row r="24" spans="1:25" s="29" customFormat="1" ht="138" x14ac:dyDescent="0.3">
      <c r="A24" s="250" t="s">
        <v>1944</v>
      </c>
      <c r="B24" s="251" t="s">
        <v>0</v>
      </c>
      <c r="C24" s="251" t="s">
        <v>174</v>
      </c>
      <c r="D24" s="198" t="s">
        <v>7</v>
      </c>
      <c r="E24" s="253" t="s">
        <v>464</v>
      </c>
      <c r="F24" s="184" t="s">
        <v>2027</v>
      </c>
      <c r="G24" s="189" t="s">
        <v>1035</v>
      </c>
      <c r="H24" s="184" t="s">
        <v>2027</v>
      </c>
      <c r="I24" s="255" t="s">
        <v>357</v>
      </c>
      <c r="J24" s="184" t="s">
        <v>36</v>
      </c>
      <c r="K24" s="184" t="s">
        <v>397</v>
      </c>
      <c r="L24" s="184" t="s">
        <v>110</v>
      </c>
      <c r="M24" s="255" t="s">
        <v>354</v>
      </c>
      <c r="N24" s="184" t="s">
        <v>1805</v>
      </c>
      <c r="O24" s="184" t="s">
        <v>27</v>
      </c>
      <c r="P24" s="184" t="s">
        <v>595</v>
      </c>
      <c r="Q24" s="255" t="s">
        <v>353</v>
      </c>
      <c r="R24" s="187" t="s">
        <v>35</v>
      </c>
      <c r="S24" s="197">
        <v>0.03</v>
      </c>
      <c r="T24" s="184" t="s">
        <v>349</v>
      </c>
      <c r="U24" s="184">
        <v>2014</v>
      </c>
      <c r="V24" s="254" t="s">
        <v>2708</v>
      </c>
      <c r="W24" s="188" t="s">
        <v>34</v>
      </c>
      <c r="X24" s="184" t="s">
        <v>2027</v>
      </c>
      <c r="Y24" s="187">
        <v>2017</v>
      </c>
    </row>
    <row r="25" spans="1:25" s="29" customFormat="1" ht="248.4" x14ac:dyDescent="0.3">
      <c r="A25" s="250" t="s">
        <v>2766</v>
      </c>
      <c r="B25" s="251" t="s">
        <v>0</v>
      </c>
      <c r="C25" s="251" t="s">
        <v>174</v>
      </c>
      <c r="D25" s="199" t="s">
        <v>943</v>
      </c>
      <c r="E25" s="253" t="s">
        <v>464</v>
      </c>
      <c r="F25" s="184" t="s">
        <v>2027</v>
      </c>
      <c r="G25" s="200" t="s">
        <v>231</v>
      </c>
      <c r="H25" s="184" t="s">
        <v>2027</v>
      </c>
      <c r="I25" s="201" t="s">
        <v>915</v>
      </c>
      <c r="J25" s="184" t="s">
        <v>51</v>
      </c>
      <c r="K25" s="184" t="s">
        <v>397</v>
      </c>
      <c r="L25" s="184" t="s">
        <v>2027</v>
      </c>
      <c r="M25" s="194" t="s">
        <v>2027</v>
      </c>
      <c r="N25" s="201" t="s">
        <v>725</v>
      </c>
      <c r="O25" s="184" t="s">
        <v>2027</v>
      </c>
      <c r="P25" s="184" t="s">
        <v>595</v>
      </c>
      <c r="Q25" s="255" t="s">
        <v>125</v>
      </c>
      <c r="R25" s="187" t="s">
        <v>232</v>
      </c>
      <c r="S25" s="187" t="s">
        <v>2027</v>
      </c>
      <c r="T25" s="255" t="s">
        <v>2027</v>
      </c>
      <c r="U25" s="184">
        <v>2014</v>
      </c>
      <c r="V25" s="254" t="s">
        <v>1206</v>
      </c>
      <c r="W25" s="188" t="s">
        <v>34</v>
      </c>
      <c r="X25" s="184" t="s">
        <v>2027</v>
      </c>
      <c r="Y25" s="187">
        <v>2017</v>
      </c>
    </row>
    <row r="26" spans="1:25" ht="179.4" x14ac:dyDescent="0.3">
      <c r="A26" s="250" t="s">
        <v>2767</v>
      </c>
      <c r="B26" s="265" t="s">
        <v>0</v>
      </c>
      <c r="C26" s="265" t="s">
        <v>115</v>
      </c>
      <c r="D26" s="255" t="s">
        <v>2544</v>
      </c>
      <c r="E26" s="253" t="s">
        <v>464</v>
      </c>
      <c r="F26" s="255" t="s">
        <v>2566</v>
      </c>
      <c r="G26" s="257" t="s">
        <v>2027</v>
      </c>
      <c r="H26" s="255" t="s">
        <v>2027</v>
      </c>
      <c r="I26" s="255" t="s">
        <v>2567</v>
      </c>
      <c r="J26" s="184" t="s">
        <v>58</v>
      </c>
      <c r="K26" s="255" t="s">
        <v>2252</v>
      </c>
      <c r="L26" s="255" t="s">
        <v>2568</v>
      </c>
      <c r="M26" s="255" t="s">
        <v>2220</v>
      </c>
      <c r="N26" s="255" t="s">
        <v>2569</v>
      </c>
      <c r="O26" s="184" t="s">
        <v>52</v>
      </c>
      <c r="P26" s="184" t="s">
        <v>2027</v>
      </c>
      <c r="Q26" s="255" t="s">
        <v>2570</v>
      </c>
      <c r="R26" s="258" t="s">
        <v>173</v>
      </c>
      <c r="S26" s="259" t="s">
        <v>331</v>
      </c>
      <c r="T26" s="255" t="s">
        <v>779</v>
      </c>
      <c r="U26" s="255">
        <v>2014</v>
      </c>
      <c r="V26" s="201" t="s">
        <v>2571</v>
      </c>
      <c r="W26" s="261" t="s">
        <v>2210</v>
      </c>
      <c r="X26" s="184" t="s">
        <v>2027</v>
      </c>
      <c r="Y26" s="269">
        <v>2019</v>
      </c>
    </row>
    <row r="27" spans="1:25" s="29" customFormat="1" ht="262.2" x14ac:dyDescent="0.3">
      <c r="A27" s="250" t="s">
        <v>39</v>
      </c>
      <c r="B27" s="251" t="s">
        <v>919</v>
      </c>
      <c r="C27" s="251" t="s">
        <v>919</v>
      </c>
      <c r="D27" s="255" t="s">
        <v>515</v>
      </c>
      <c r="E27" s="253" t="s">
        <v>464</v>
      </c>
      <c r="F27" s="184" t="s">
        <v>2027</v>
      </c>
      <c r="G27" s="189">
        <v>2142</v>
      </c>
      <c r="H27" s="184" t="s">
        <v>2027</v>
      </c>
      <c r="I27" s="184" t="s">
        <v>1281</v>
      </c>
      <c r="J27" s="184" t="s">
        <v>51</v>
      </c>
      <c r="K27" s="254" t="s">
        <v>403</v>
      </c>
      <c r="L27" s="184" t="s">
        <v>2027</v>
      </c>
      <c r="M27" s="184" t="s">
        <v>26</v>
      </c>
      <c r="N27" s="184" t="s">
        <v>401</v>
      </c>
      <c r="O27" s="184" t="s">
        <v>280</v>
      </c>
      <c r="P27" s="184" t="s">
        <v>595</v>
      </c>
      <c r="Q27" s="184" t="s">
        <v>125</v>
      </c>
      <c r="R27" s="184" t="s">
        <v>35</v>
      </c>
      <c r="S27" s="187" t="s">
        <v>2027</v>
      </c>
      <c r="T27" s="184" t="s">
        <v>398</v>
      </c>
      <c r="U27" s="184">
        <v>2011</v>
      </c>
      <c r="V27" s="256" t="s">
        <v>1108</v>
      </c>
      <c r="W27" s="188" t="s">
        <v>34</v>
      </c>
      <c r="X27" s="184" t="s">
        <v>2027</v>
      </c>
      <c r="Y27" s="187">
        <v>2017</v>
      </c>
    </row>
    <row r="28" spans="1:25" s="29" customFormat="1" ht="207" x14ac:dyDescent="0.3">
      <c r="A28" s="250" t="s">
        <v>54</v>
      </c>
      <c r="B28" s="251" t="s">
        <v>919</v>
      </c>
      <c r="C28" s="251" t="s">
        <v>919</v>
      </c>
      <c r="D28" s="255" t="s">
        <v>515</v>
      </c>
      <c r="E28" s="253" t="s">
        <v>464</v>
      </c>
      <c r="F28" s="184" t="s">
        <v>2027</v>
      </c>
      <c r="G28" s="189">
        <v>2426</v>
      </c>
      <c r="H28" s="186" t="s">
        <v>328</v>
      </c>
      <c r="I28" s="184" t="s">
        <v>1282</v>
      </c>
      <c r="J28" s="184" t="s">
        <v>51</v>
      </c>
      <c r="K28" s="184" t="s">
        <v>397</v>
      </c>
      <c r="L28" s="184" t="s">
        <v>405</v>
      </c>
      <c r="M28" s="184" t="s">
        <v>26</v>
      </c>
      <c r="N28" s="184" t="s">
        <v>402</v>
      </c>
      <c r="O28" s="184" t="s">
        <v>41</v>
      </c>
      <c r="P28" s="184" t="s">
        <v>595</v>
      </c>
      <c r="Q28" s="255" t="s">
        <v>739</v>
      </c>
      <c r="R28" s="184" t="s">
        <v>35</v>
      </c>
      <c r="S28" s="197">
        <v>0.03</v>
      </c>
      <c r="T28" s="184" t="s">
        <v>32</v>
      </c>
      <c r="U28" s="184">
        <v>2013</v>
      </c>
      <c r="V28" s="254" t="s">
        <v>1117</v>
      </c>
      <c r="W28" s="188" t="s">
        <v>34</v>
      </c>
      <c r="X28" s="184" t="s">
        <v>2027</v>
      </c>
      <c r="Y28" s="187">
        <v>2017</v>
      </c>
    </row>
    <row r="29" spans="1:25" s="29" customFormat="1" ht="179.4" x14ac:dyDescent="0.3">
      <c r="A29" s="250" t="s">
        <v>55</v>
      </c>
      <c r="B29" s="251" t="s">
        <v>919</v>
      </c>
      <c r="C29" s="251" t="s">
        <v>919</v>
      </c>
      <c r="D29" s="255" t="s">
        <v>515</v>
      </c>
      <c r="E29" s="253" t="s">
        <v>464</v>
      </c>
      <c r="F29" s="184" t="s">
        <v>2027</v>
      </c>
      <c r="G29" s="189">
        <v>3000</v>
      </c>
      <c r="H29" s="184" t="s">
        <v>2027</v>
      </c>
      <c r="I29" s="184" t="s">
        <v>1283</v>
      </c>
      <c r="J29" s="184" t="s">
        <v>51</v>
      </c>
      <c r="K29" s="184" t="s">
        <v>404</v>
      </c>
      <c r="L29" s="184" t="s">
        <v>285</v>
      </c>
      <c r="M29" s="184" t="s">
        <v>26</v>
      </c>
      <c r="N29" s="184" t="s">
        <v>1806</v>
      </c>
      <c r="O29" s="184" t="s">
        <v>133</v>
      </c>
      <c r="P29" s="184" t="s">
        <v>595</v>
      </c>
      <c r="Q29" s="255" t="s">
        <v>125</v>
      </c>
      <c r="R29" s="184" t="s">
        <v>35</v>
      </c>
      <c r="S29" s="203">
        <v>3.5000000000000003E-2</v>
      </c>
      <c r="T29" s="184" t="s">
        <v>32</v>
      </c>
      <c r="U29" s="184">
        <v>2008</v>
      </c>
      <c r="V29" s="256" t="s">
        <v>1118</v>
      </c>
      <c r="W29" s="188" t="s">
        <v>34</v>
      </c>
      <c r="X29" s="184" t="s">
        <v>2027</v>
      </c>
      <c r="Y29" s="187">
        <v>2017</v>
      </c>
    </row>
    <row r="30" spans="1:25" s="29" customFormat="1" ht="165.6" x14ac:dyDescent="0.3">
      <c r="A30" s="250" t="s">
        <v>112</v>
      </c>
      <c r="B30" s="251" t="s">
        <v>919</v>
      </c>
      <c r="C30" s="251" t="s">
        <v>919</v>
      </c>
      <c r="D30" s="184" t="s">
        <v>182</v>
      </c>
      <c r="E30" s="253" t="s">
        <v>464</v>
      </c>
      <c r="F30" s="184" t="s">
        <v>2027</v>
      </c>
      <c r="G30" s="189">
        <v>9858</v>
      </c>
      <c r="H30" s="184" t="s">
        <v>2027</v>
      </c>
      <c r="I30" s="184" t="s">
        <v>844</v>
      </c>
      <c r="J30" s="184" t="s">
        <v>51</v>
      </c>
      <c r="K30" s="184" t="s">
        <v>396</v>
      </c>
      <c r="L30" s="199" t="s">
        <v>845</v>
      </c>
      <c r="M30" s="184" t="s">
        <v>26</v>
      </c>
      <c r="N30" s="184" t="s">
        <v>848</v>
      </c>
      <c r="O30" s="184" t="s">
        <v>2027</v>
      </c>
      <c r="P30" s="184" t="s">
        <v>595</v>
      </c>
      <c r="Q30" s="255" t="s">
        <v>739</v>
      </c>
      <c r="R30" s="187" t="s">
        <v>35</v>
      </c>
      <c r="S30" s="203">
        <v>3.5000000000000003E-2</v>
      </c>
      <c r="T30" s="184" t="s">
        <v>554</v>
      </c>
      <c r="U30" s="184">
        <v>2009</v>
      </c>
      <c r="V30" s="256" t="s">
        <v>1205</v>
      </c>
      <c r="W30" s="188" t="s">
        <v>34</v>
      </c>
      <c r="X30" s="184" t="s">
        <v>2027</v>
      </c>
      <c r="Y30" s="187">
        <v>2017</v>
      </c>
    </row>
    <row r="31" spans="1:25" s="29" customFormat="1" ht="124.2" x14ac:dyDescent="0.3">
      <c r="A31" s="250" t="s">
        <v>271</v>
      </c>
      <c r="B31" s="251" t="s">
        <v>919</v>
      </c>
      <c r="C31" s="251" t="s">
        <v>919</v>
      </c>
      <c r="D31" s="184" t="s">
        <v>42</v>
      </c>
      <c r="E31" s="253" t="s">
        <v>464</v>
      </c>
      <c r="F31" s="184" t="s">
        <v>2027</v>
      </c>
      <c r="G31" s="189" t="s">
        <v>1285</v>
      </c>
      <c r="H31" s="184" t="s">
        <v>2027</v>
      </c>
      <c r="I31" s="184" t="s">
        <v>1284</v>
      </c>
      <c r="J31" s="184" t="s">
        <v>51</v>
      </c>
      <c r="K31" s="184" t="s">
        <v>397</v>
      </c>
      <c r="L31" s="184" t="s">
        <v>45</v>
      </c>
      <c r="M31" s="184" t="s">
        <v>26</v>
      </c>
      <c r="N31" s="184" t="s">
        <v>44</v>
      </c>
      <c r="O31" s="184" t="s">
        <v>43</v>
      </c>
      <c r="P31" s="184" t="s">
        <v>595</v>
      </c>
      <c r="Q31" s="255" t="s">
        <v>125</v>
      </c>
      <c r="R31" s="184" t="s">
        <v>35</v>
      </c>
      <c r="S31" s="203">
        <v>3.5000000000000003E-2</v>
      </c>
      <c r="T31" s="184" t="s">
        <v>32</v>
      </c>
      <c r="U31" s="184">
        <v>2008</v>
      </c>
      <c r="V31" s="256" t="s">
        <v>1119</v>
      </c>
      <c r="W31" s="188" t="s">
        <v>34</v>
      </c>
      <c r="X31" s="184" t="s">
        <v>2027</v>
      </c>
      <c r="Y31" s="187">
        <v>2017</v>
      </c>
    </row>
    <row r="32" spans="1:25" s="29" customFormat="1" ht="179.4" x14ac:dyDescent="0.3">
      <c r="A32" s="250" t="s">
        <v>272</v>
      </c>
      <c r="B32" s="251" t="s">
        <v>919</v>
      </c>
      <c r="C32" s="251" t="s">
        <v>919</v>
      </c>
      <c r="D32" s="184" t="s">
        <v>418</v>
      </c>
      <c r="E32" s="253" t="s">
        <v>464</v>
      </c>
      <c r="F32" s="184" t="s">
        <v>2027</v>
      </c>
      <c r="G32" s="186" t="s">
        <v>2027</v>
      </c>
      <c r="H32" s="254" t="s">
        <v>407</v>
      </c>
      <c r="I32" s="184" t="s">
        <v>1582</v>
      </c>
      <c r="J32" s="184" t="s">
        <v>58</v>
      </c>
      <c r="K32" s="254" t="s">
        <v>269</v>
      </c>
      <c r="L32" s="184" t="s">
        <v>2027</v>
      </c>
      <c r="M32" s="194" t="s">
        <v>2027</v>
      </c>
      <c r="N32" s="184" t="s">
        <v>406</v>
      </c>
      <c r="O32" s="184" t="s">
        <v>23</v>
      </c>
      <c r="P32" s="184" t="s">
        <v>595</v>
      </c>
      <c r="Q32" s="184" t="s">
        <v>270</v>
      </c>
      <c r="R32" s="184" t="s">
        <v>35</v>
      </c>
      <c r="S32" s="187" t="s">
        <v>2027</v>
      </c>
      <c r="T32" s="184" t="s">
        <v>32</v>
      </c>
      <c r="U32" s="184">
        <v>2016</v>
      </c>
      <c r="V32" s="254" t="s">
        <v>1114</v>
      </c>
      <c r="W32" s="192" t="s">
        <v>34</v>
      </c>
      <c r="X32" s="184" t="s">
        <v>2027</v>
      </c>
      <c r="Y32" s="187">
        <v>2017</v>
      </c>
    </row>
    <row r="33" spans="1:25" s="28" customFormat="1" ht="179.4" x14ac:dyDescent="0.3">
      <c r="A33" s="250" t="s">
        <v>279</v>
      </c>
      <c r="B33" s="251" t="s">
        <v>919</v>
      </c>
      <c r="C33" s="251" t="s">
        <v>919</v>
      </c>
      <c r="D33" s="255" t="s">
        <v>419</v>
      </c>
      <c r="E33" s="253" t="s">
        <v>464</v>
      </c>
      <c r="F33" s="184" t="s">
        <v>2027</v>
      </c>
      <c r="G33" s="186" t="s">
        <v>2027</v>
      </c>
      <c r="H33" s="254" t="s">
        <v>408</v>
      </c>
      <c r="I33" s="255" t="s">
        <v>409</v>
      </c>
      <c r="J33" s="255" t="s">
        <v>2027</v>
      </c>
      <c r="K33" s="254" t="s">
        <v>269</v>
      </c>
      <c r="L33" s="184" t="s">
        <v>2027</v>
      </c>
      <c r="M33" s="194" t="s">
        <v>2027</v>
      </c>
      <c r="N33" s="204" t="s">
        <v>410</v>
      </c>
      <c r="O33" s="255" t="s">
        <v>23</v>
      </c>
      <c r="P33" s="255" t="s">
        <v>595</v>
      </c>
      <c r="Q33" s="255" t="s">
        <v>273</v>
      </c>
      <c r="R33" s="184" t="s">
        <v>35</v>
      </c>
      <c r="S33" s="187" t="s">
        <v>2027</v>
      </c>
      <c r="T33" s="255" t="s">
        <v>32</v>
      </c>
      <c r="U33" s="184">
        <v>2016</v>
      </c>
      <c r="V33" s="254" t="s">
        <v>1114</v>
      </c>
      <c r="W33" s="192" t="s">
        <v>34</v>
      </c>
      <c r="X33" s="184" t="s">
        <v>2027</v>
      </c>
      <c r="Y33" s="187">
        <v>2017</v>
      </c>
    </row>
    <row r="34" spans="1:25" s="29" customFormat="1" ht="220.8" x14ac:dyDescent="0.3">
      <c r="A34" s="250" t="s">
        <v>283</v>
      </c>
      <c r="B34" s="251" t="s">
        <v>919</v>
      </c>
      <c r="C34" s="251" t="s">
        <v>919</v>
      </c>
      <c r="D34" s="199" t="s">
        <v>172</v>
      </c>
      <c r="E34" s="253" t="s">
        <v>464</v>
      </c>
      <c r="F34" s="184" t="s">
        <v>2027</v>
      </c>
      <c r="G34" s="189">
        <v>562</v>
      </c>
      <c r="H34" s="184" t="s">
        <v>2027</v>
      </c>
      <c r="I34" s="184" t="s">
        <v>1292</v>
      </c>
      <c r="J34" s="184" t="s">
        <v>51</v>
      </c>
      <c r="K34" s="184" t="s">
        <v>396</v>
      </c>
      <c r="L34" s="184" t="s">
        <v>1293</v>
      </c>
      <c r="M34" s="194" t="s">
        <v>2027</v>
      </c>
      <c r="N34" s="195" t="s">
        <v>1807</v>
      </c>
      <c r="O34" s="184" t="s">
        <v>133</v>
      </c>
      <c r="P34" s="184" t="s">
        <v>595</v>
      </c>
      <c r="Q34" s="184" t="s">
        <v>125</v>
      </c>
      <c r="R34" s="184" t="s">
        <v>35</v>
      </c>
      <c r="S34" s="184" t="s">
        <v>761</v>
      </c>
      <c r="T34" s="184" t="s">
        <v>32</v>
      </c>
      <c r="U34" s="184">
        <v>2010</v>
      </c>
      <c r="V34" s="256" t="s">
        <v>1120</v>
      </c>
      <c r="W34" s="188" t="s">
        <v>34</v>
      </c>
      <c r="X34" s="188" t="s">
        <v>1400</v>
      </c>
      <c r="Y34" s="187">
        <v>2017</v>
      </c>
    </row>
    <row r="35" spans="1:25" s="29" customFormat="1" ht="193.2" x14ac:dyDescent="0.3">
      <c r="A35" s="250" t="s">
        <v>284</v>
      </c>
      <c r="B35" s="251" t="s">
        <v>919</v>
      </c>
      <c r="C35" s="251" t="s">
        <v>919</v>
      </c>
      <c r="D35" s="184" t="s">
        <v>814</v>
      </c>
      <c r="E35" s="253" t="s">
        <v>464</v>
      </c>
      <c r="F35" s="184" t="s">
        <v>2027</v>
      </c>
      <c r="G35" s="189">
        <v>9257</v>
      </c>
      <c r="H35" s="184" t="s">
        <v>2027</v>
      </c>
      <c r="I35" s="184" t="s">
        <v>1286</v>
      </c>
      <c r="J35" s="184" t="s">
        <v>51</v>
      </c>
      <c r="K35" s="184" t="s">
        <v>397</v>
      </c>
      <c r="L35" s="184" t="s">
        <v>329</v>
      </c>
      <c r="M35" s="194" t="s">
        <v>26</v>
      </c>
      <c r="N35" s="195" t="s">
        <v>726</v>
      </c>
      <c r="O35" s="184" t="s">
        <v>133</v>
      </c>
      <c r="P35" s="184" t="s">
        <v>595</v>
      </c>
      <c r="Q35" s="184" t="s">
        <v>125</v>
      </c>
      <c r="R35" s="184" t="s">
        <v>35</v>
      </c>
      <c r="S35" s="203">
        <v>3.5000000000000003E-2</v>
      </c>
      <c r="T35" s="255" t="s">
        <v>32</v>
      </c>
      <c r="U35" s="255">
        <v>2016</v>
      </c>
      <c r="V35" s="254" t="s">
        <v>1121</v>
      </c>
      <c r="W35" s="205" t="s">
        <v>34</v>
      </c>
      <c r="X35" s="184" t="s">
        <v>2027</v>
      </c>
      <c r="Y35" s="187">
        <v>2017</v>
      </c>
    </row>
    <row r="36" spans="1:25" s="29" customFormat="1" ht="138" x14ac:dyDescent="0.3">
      <c r="A36" s="250" t="s">
        <v>301</v>
      </c>
      <c r="B36" s="251" t="s">
        <v>919</v>
      </c>
      <c r="C36" s="251" t="s">
        <v>919</v>
      </c>
      <c r="D36" s="184" t="s">
        <v>814</v>
      </c>
      <c r="E36" s="253" t="s">
        <v>464</v>
      </c>
      <c r="F36" s="184" t="s">
        <v>2027</v>
      </c>
      <c r="G36" s="254" t="s">
        <v>303</v>
      </c>
      <c r="H36" s="184" t="s">
        <v>2027</v>
      </c>
      <c r="I36" s="184" t="s">
        <v>1808</v>
      </c>
      <c r="J36" s="184" t="s">
        <v>51</v>
      </c>
      <c r="K36" s="184" t="s">
        <v>397</v>
      </c>
      <c r="L36" s="184" t="s">
        <v>2027</v>
      </c>
      <c r="M36" s="199" t="s">
        <v>299</v>
      </c>
      <c r="N36" s="201" t="s">
        <v>1287</v>
      </c>
      <c r="O36" s="199" t="s">
        <v>27</v>
      </c>
      <c r="P36" s="184" t="s">
        <v>595</v>
      </c>
      <c r="Q36" s="184" t="s">
        <v>125</v>
      </c>
      <c r="R36" s="184" t="s">
        <v>173</v>
      </c>
      <c r="S36" s="206">
        <v>0.03</v>
      </c>
      <c r="T36" s="184" t="s">
        <v>779</v>
      </c>
      <c r="U36" s="255">
        <v>2016</v>
      </c>
      <c r="V36" s="254" t="s">
        <v>1122</v>
      </c>
      <c r="W36" s="188" t="s">
        <v>34</v>
      </c>
      <c r="X36" s="184" t="s">
        <v>2027</v>
      </c>
      <c r="Y36" s="187">
        <v>2017</v>
      </c>
    </row>
    <row r="37" spans="1:25" s="29" customFormat="1" ht="165.6" x14ac:dyDescent="0.3">
      <c r="A37" s="250" t="s">
        <v>302</v>
      </c>
      <c r="B37" s="251" t="s">
        <v>919</v>
      </c>
      <c r="C37" s="251" t="s">
        <v>919</v>
      </c>
      <c r="D37" s="184" t="s">
        <v>814</v>
      </c>
      <c r="E37" s="253" t="s">
        <v>464</v>
      </c>
      <c r="F37" s="184" t="s">
        <v>2027</v>
      </c>
      <c r="G37" s="254" t="s">
        <v>1530</v>
      </c>
      <c r="H37" s="186" t="s">
        <v>328</v>
      </c>
      <c r="I37" s="184" t="s">
        <v>1529</v>
      </c>
      <c r="J37" s="184" t="s">
        <v>51</v>
      </c>
      <c r="K37" s="184" t="s">
        <v>397</v>
      </c>
      <c r="L37" s="184" t="s">
        <v>411</v>
      </c>
      <c r="M37" s="184" t="s">
        <v>26</v>
      </c>
      <c r="N37" s="184" t="s">
        <v>400</v>
      </c>
      <c r="O37" s="184" t="s">
        <v>305</v>
      </c>
      <c r="P37" s="184" t="s">
        <v>595</v>
      </c>
      <c r="Q37" s="184" t="s">
        <v>125</v>
      </c>
      <c r="R37" s="184" t="s">
        <v>136</v>
      </c>
      <c r="S37" s="254" t="s">
        <v>763</v>
      </c>
      <c r="T37" s="184" t="s">
        <v>399</v>
      </c>
      <c r="U37" s="255">
        <v>2016</v>
      </c>
      <c r="V37" s="254" t="s">
        <v>1123</v>
      </c>
      <c r="W37" s="188" t="s">
        <v>34</v>
      </c>
      <c r="X37" s="184" t="s">
        <v>2027</v>
      </c>
      <c r="Y37" s="187">
        <v>2017</v>
      </c>
    </row>
    <row r="38" spans="1:25" s="29" customFormat="1" ht="220.8" x14ac:dyDescent="0.3">
      <c r="A38" s="250" t="s">
        <v>304</v>
      </c>
      <c r="B38" s="251" t="s">
        <v>919</v>
      </c>
      <c r="C38" s="251" t="s">
        <v>919</v>
      </c>
      <c r="D38" s="184" t="s">
        <v>412</v>
      </c>
      <c r="E38" s="253" t="s">
        <v>464</v>
      </c>
      <c r="F38" s="184" t="s">
        <v>2027</v>
      </c>
      <c r="G38" s="254" t="s">
        <v>231</v>
      </c>
      <c r="H38" s="184" t="s">
        <v>2027</v>
      </c>
      <c r="I38" s="184" t="s">
        <v>309</v>
      </c>
      <c r="J38" s="184" t="s">
        <v>51</v>
      </c>
      <c r="K38" s="184" t="s">
        <v>397</v>
      </c>
      <c r="L38" s="184" t="s">
        <v>307</v>
      </c>
      <c r="M38" s="194" t="s">
        <v>308</v>
      </c>
      <c r="N38" s="184" t="s">
        <v>310</v>
      </c>
      <c r="O38" s="184" t="s">
        <v>2027</v>
      </c>
      <c r="P38" s="184" t="s">
        <v>595</v>
      </c>
      <c r="Q38" s="187" t="s">
        <v>2027</v>
      </c>
      <c r="R38" s="187" t="s">
        <v>2027</v>
      </c>
      <c r="S38" s="187" t="s">
        <v>2027</v>
      </c>
      <c r="T38" s="255" t="s">
        <v>2027</v>
      </c>
      <c r="U38" s="255">
        <v>2016</v>
      </c>
      <c r="V38" s="254" t="s">
        <v>1124</v>
      </c>
      <c r="W38" s="188" t="s">
        <v>34</v>
      </c>
      <c r="X38" s="184" t="s">
        <v>2027</v>
      </c>
      <c r="Y38" s="187">
        <v>2017</v>
      </c>
    </row>
    <row r="39" spans="1:25" s="29" customFormat="1" ht="179.4" x14ac:dyDescent="0.3">
      <c r="A39" s="250" t="s">
        <v>306</v>
      </c>
      <c r="B39" s="251" t="s">
        <v>919</v>
      </c>
      <c r="C39" s="251" t="s">
        <v>919</v>
      </c>
      <c r="D39" s="184" t="s">
        <v>814</v>
      </c>
      <c r="E39" s="253" t="s">
        <v>464</v>
      </c>
      <c r="F39" s="184" t="s">
        <v>2027</v>
      </c>
      <c r="G39" s="254" t="s">
        <v>255</v>
      </c>
      <c r="H39" s="184" t="s">
        <v>2027</v>
      </c>
      <c r="I39" s="184" t="s">
        <v>813</v>
      </c>
      <c r="J39" s="184" t="s">
        <v>51</v>
      </c>
      <c r="K39" s="184" t="s">
        <v>397</v>
      </c>
      <c r="L39" s="184" t="s">
        <v>312</v>
      </c>
      <c r="M39" s="194" t="s">
        <v>308</v>
      </c>
      <c r="N39" s="184" t="s">
        <v>1566</v>
      </c>
      <c r="O39" s="184" t="s">
        <v>2027</v>
      </c>
      <c r="P39" s="187" t="s">
        <v>2027</v>
      </c>
      <c r="Q39" s="187" t="s">
        <v>2027</v>
      </c>
      <c r="R39" s="187" t="s">
        <v>2027</v>
      </c>
      <c r="S39" s="187" t="s">
        <v>2027</v>
      </c>
      <c r="T39" s="255" t="s">
        <v>2027</v>
      </c>
      <c r="U39" s="255">
        <v>2016</v>
      </c>
      <c r="V39" s="254" t="s">
        <v>1125</v>
      </c>
      <c r="W39" s="188" t="s">
        <v>34</v>
      </c>
      <c r="X39" s="184" t="s">
        <v>2027</v>
      </c>
      <c r="Y39" s="187">
        <v>2017</v>
      </c>
    </row>
    <row r="40" spans="1:25" s="29" customFormat="1" ht="248.4" x14ac:dyDescent="0.3">
      <c r="A40" s="250" t="s">
        <v>311</v>
      </c>
      <c r="B40" s="251" t="s">
        <v>919</v>
      </c>
      <c r="C40" s="251" t="s">
        <v>919</v>
      </c>
      <c r="D40" s="184" t="s">
        <v>814</v>
      </c>
      <c r="E40" s="253" t="s">
        <v>464</v>
      </c>
      <c r="F40" s="184" t="s">
        <v>2027</v>
      </c>
      <c r="G40" s="254" t="s">
        <v>231</v>
      </c>
      <c r="H40" s="184" t="s">
        <v>2027</v>
      </c>
      <c r="I40" s="184" t="s">
        <v>1288</v>
      </c>
      <c r="J40" s="255" t="s">
        <v>2027</v>
      </c>
      <c r="K40" s="184" t="s">
        <v>2027</v>
      </c>
      <c r="L40" s="184" t="s">
        <v>773</v>
      </c>
      <c r="M40" s="194" t="s">
        <v>2027</v>
      </c>
      <c r="N40" s="184" t="s">
        <v>772</v>
      </c>
      <c r="O40" s="184" t="s">
        <v>2027</v>
      </c>
      <c r="P40" s="187" t="s">
        <v>2027</v>
      </c>
      <c r="Q40" s="187" t="s">
        <v>2027</v>
      </c>
      <c r="R40" s="187" t="s">
        <v>2027</v>
      </c>
      <c r="S40" s="187" t="s">
        <v>2027</v>
      </c>
      <c r="T40" s="255" t="s">
        <v>2027</v>
      </c>
      <c r="U40" s="255">
        <v>2016</v>
      </c>
      <c r="V40" s="254" t="s">
        <v>1126</v>
      </c>
      <c r="W40" s="188" t="s">
        <v>34</v>
      </c>
      <c r="X40" s="184" t="s">
        <v>2027</v>
      </c>
      <c r="Y40" s="187">
        <v>2017</v>
      </c>
    </row>
    <row r="41" spans="1:25" s="29" customFormat="1" ht="193.2" x14ac:dyDescent="0.3">
      <c r="A41" s="250" t="s">
        <v>313</v>
      </c>
      <c r="B41" s="251" t="s">
        <v>919</v>
      </c>
      <c r="C41" s="251" t="s">
        <v>919</v>
      </c>
      <c r="D41" s="184" t="s">
        <v>814</v>
      </c>
      <c r="E41" s="253" t="s">
        <v>464</v>
      </c>
      <c r="F41" s="184" t="s">
        <v>2027</v>
      </c>
      <c r="G41" s="254" t="s">
        <v>413</v>
      </c>
      <c r="H41" s="254" t="s">
        <v>249</v>
      </c>
      <c r="I41" s="199" t="s">
        <v>1646</v>
      </c>
      <c r="J41" s="184" t="s">
        <v>51</v>
      </c>
      <c r="K41" s="184" t="s">
        <v>397</v>
      </c>
      <c r="L41" s="184" t="s">
        <v>315</v>
      </c>
      <c r="M41" s="184" t="s">
        <v>105</v>
      </c>
      <c r="N41" s="184" t="s">
        <v>727</v>
      </c>
      <c r="O41" s="187" t="s">
        <v>133</v>
      </c>
      <c r="P41" s="187" t="s">
        <v>595</v>
      </c>
      <c r="Q41" s="184" t="s">
        <v>125</v>
      </c>
      <c r="R41" s="187" t="s">
        <v>173</v>
      </c>
      <c r="S41" s="197">
        <v>0.03</v>
      </c>
      <c r="T41" s="184" t="s">
        <v>1033</v>
      </c>
      <c r="U41" s="255">
        <v>2016</v>
      </c>
      <c r="V41" s="254" t="s">
        <v>1127</v>
      </c>
      <c r="W41" s="188" t="s">
        <v>34</v>
      </c>
      <c r="X41" s="184" t="s">
        <v>2027</v>
      </c>
      <c r="Y41" s="187">
        <v>2017</v>
      </c>
    </row>
    <row r="42" spans="1:25" s="29" customFormat="1" ht="193.2" x14ac:dyDescent="0.3">
      <c r="A42" s="250" t="s">
        <v>314</v>
      </c>
      <c r="B42" s="251" t="s">
        <v>919</v>
      </c>
      <c r="C42" s="251" t="s">
        <v>919</v>
      </c>
      <c r="D42" s="184" t="s">
        <v>318</v>
      </c>
      <c r="E42" s="253" t="s">
        <v>464</v>
      </c>
      <c r="F42" s="184" t="s">
        <v>2027</v>
      </c>
      <c r="G42" s="254" t="s">
        <v>255</v>
      </c>
      <c r="H42" s="184" t="s">
        <v>2027</v>
      </c>
      <c r="I42" s="199" t="s">
        <v>1290</v>
      </c>
      <c r="J42" s="184" t="s">
        <v>51</v>
      </c>
      <c r="K42" s="184" t="s">
        <v>397</v>
      </c>
      <c r="L42" s="184" t="s">
        <v>317</v>
      </c>
      <c r="M42" s="184" t="s">
        <v>1809</v>
      </c>
      <c r="N42" s="184" t="s">
        <v>415</v>
      </c>
      <c r="O42" s="184" t="s">
        <v>768</v>
      </c>
      <c r="P42" s="187" t="s">
        <v>595</v>
      </c>
      <c r="Q42" s="184" t="s">
        <v>125</v>
      </c>
      <c r="R42" s="184" t="s">
        <v>214</v>
      </c>
      <c r="S42" s="203">
        <v>3.5000000000000003E-2</v>
      </c>
      <c r="T42" s="184" t="s">
        <v>414</v>
      </c>
      <c r="U42" s="255">
        <v>2016</v>
      </c>
      <c r="V42" s="254" t="s">
        <v>1128</v>
      </c>
      <c r="W42" s="188" t="s">
        <v>34</v>
      </c>
      <c r="X42" s="184" t="s">
        <v>2027</v>
      </c>
      <c r="Y42" s="187">
        <v>2017</v>
      </c>
    </row>
    <row r="43" spans="1:25" s="29" customFormat="1" ht="110.4" x14ac:dyDescent="0.3">
      <c r="A43" s="250" t="s">
        <v>316</v>
      </c>
      <c r="B43" s="251" t="s">
        <v>919</v>
      </c>
      <c r="C43" s="251" t="s">
        <v>919</v>
      </c>
      <c r="D43" s="184" t="s">
        <v>323</v>
      </c>
      <c r="E43" s="253" t="s">
        <v>464</v>
      </c>
      <c r="F43" s="184" t="s">
        <v>2027</v>
      </c>
      <c r="G43" s="186" t="s">
        <v>2027</v>
      </c>
      <c r="H43" s="186" t="s">
        <v>328</v>
      </c>
      <c r="I43" s="184" t="s">
        <v>1810</v>
      </c>
      <c r="J43" s="184" t="s">
        <v>51</v>
      </c>
      <c r="K43" s="184" t="s">
        <v>397</v>
      </c>
      <c r="L43" s="184" t="s">
        <v>320</v>
      </c>
      <c r="M43" s="184" t="s">
        <v>321</v>
      </c>
      <c r="N43" s="184" t="s">
        <v>1528</v>
      </c>
      <c r="O43" s="187" t="s">
        <v>133</v>
      </c>
      <c r="P43" s="187" t="s">
        <v>595</v>
      </c>
      <c r="Q43" s="184" t="s">
        <v>739</v>
      </c>
      <c r="R43" s="184" t="s">
        <v>35</v>
      </c>
      <c r="S43" s="190">
        <v>1.4999999999999999E-2</v>
      </c>
      <c r="T43" s="255" t="s">
        <v>2027</v>
      </c>
      <c r="U43" s="184">
        <v>2015</v>
      </c>
      <c r="V43" s="254" t="s">
        <v>1129</v>
      </c>
      <c r="W43" s="188" t="s">
        <v>34</v>
      </c>
      <c r="X43" s="184" t="s">
        <v>2027</v>
      </c>
      <c r="Y43" s="187">
        <v>2017</v>
      </c>
    </row>
    <row r="44" spans="1:25" s="29" customFormat="1" ht="110.4" x14ac:dyDescent="0.3">
      <c r="A44" s="250" t="s">
        <v>319</v>
      </c>
      <c r="B44" s="251" t="s">
        <v>919</v>
      </c>
      <c r="C44" s="251" t="s">
        <v>919</v>
      </c>
      <c r="D44" s="184" t="s">
        <v>324</v>
      </c>
      <c r="E44" s="253" t="s">
        <v>464</v>
      </c>
      <c r="F44" s="184" t="s">
        <v>2027</v>
      </c>
      <c r="G44" s="254" t="s">
        <v>231</v>
      </c>
      <c r="H44" s="184" t="s">
        <v>2027</v>
      </c>
      <c r="I44" s="184" t="s">
        <v>1291</v>
      </c>
      <c r="J44" s="184" t="s">
        <v>51</v>
      </c>
      <c r="K44" s="184" t="s">
        <v>397</v>
      </c>
      <c r="L44" s="184" t="s">
        <v>320</v>
      </c>
      <c r="M44" s="184" t="s">
        <v>417</v>
      </c>
      <c r="N44" s="184" t="s">
        <v>416</v>
      </c>
      <c r="O44" s="187" t="s">
        <v>133</v>
      </c>
      <c r="P44" s="187" t="s">
        <v>595</v>
      </c>
      <c r="Q44" s="184" t="s">
        <v>125</v>
      </c>
      <c r="R44" s="184" t="s">
        <v>35</v>
      </c>
      <c r="S44" s="190">
        <v>1.4999999999999999E-2</v>
      </c>
      <c r="T44" s="255" t="s">
        <v>2027</v>
      </c>
      <c r="U44" s="184">
        <v>2015</v>
      </c>
      <c r="V44" s="254" t="s">
        <v>1129</v>
      </c>
      <c r="W44" s="188" t="s">
        <v>34</v>
      </c>
      <c r="X44" s="184" t="s">
        <v>2027</v>
      </c>
      <c r="Y44" s="187">
        <v>2017</v>
      </c>
    </row>
    <row r="45" spans="1:25" s="29" customFormat="1" ht="193.2" x14ac:dyDescent="0.3">
      <c r="A45" s="250" t="s">
        <v>322</v>
      </c>
      <c r="B45" s="251" t="s">
        <v>919</v>
      </c>
      <c r="C45" s="251" t="s">
        <v>919</v>
      </c>
      <c r="D45" s="184" t="s">
        <v>2078</v>
      </c>
      <c r="E45" s="253" t="s">
        <v>464</v>
      </c>
      <c r="F45" s="184" t="s">
        <v>2027</v>
      </c>
      <c r="G45" s="254"/>
      <c r="H45" s="254" t="s">
        <v>328</v>
      </c>
      <c r="I45" s="255" t="s">
        <v>2082</v>
      </c>
      <c r="J45" s="184" t="s">
        <v>1894</v>
      </c>
      <c r="K45" s="184" t="s">
        <v>1894</v>
      </c>
      <c r="L45" s="184" t="s">
        <v>35</v>
      </c>
      <c r="M45" s="184" t="s">
        <v>299</v>
      </c>
      <c r="N45" s="184" t="s">
        <v>2083</v>
      </c>
      <c r="O45" s="184" t="s">
        <v>245</v>
      </c>
      <c r="P45" s="187" t="s">
        <v>2079</v>
      </c>
      <c r="Q45" s="255" t="s">
        <v>836</v>
      </c>
      <c r="R45" s="184" t="s">
        <v>35</v>
      </c>
      <c r="S45" s="184" t="s">
        <v>2081</v>
      </c>
      <c r="T45" s="184" t="s">
        <v>32</v>
      </c>
      <c r="U45" s="184">
        <v>2016</v>
      </c>
      <c r="V45" s="254" t="s">
        <v>1130</v>
      </c>
      <c r="W45" s="280" t="s">
        <v>34</v>
      </c>
      <c r="X45" s="188" t="s">
        <v>393</v>
      </c>
      <c r="Y45" s="187">
        <v>2017</v>
      </c>
    </row>
    <row r="46" spans="1:25" s="29" customFormat="1" ht="151.80000000000001" x14ac:dyDescent="0.3">
      <c r="A46" s="250" t="s">
        <v>1521</v>
      </c>
      <c r="B46" s="251" t="s">
        <v>919</v>
      </c>
      <c r="C46" s="251" t="s">
        <v>919</v>
      </c>
      <c r="D46" s="184" t="s">
        <v>96</v>
      </c>
      <c r="E46" s="253" t="s">
        <v>464</v>
      </c>
      <c r="F46" s="184" t="s">
        <v>2027</v>
      </c>
      <c r="G46" s="105">
        <v>4260</v>
      </c>
      <c r="H46" s="184" t="s">
        <v>2027</v>
      </c>
      <c r="I46" s="254" t="s">
        <v>1323</v>
      </c>
      <c r="J46" s="184" t="s">
        <v>51</v>
      </c>
      <c r="K46" s="184" t="s">
        <v>734</v>
      </c>
      <c r="L46" s="184" t="s">
        <v>2027</v>
      </c>
      <c r="M46" s="184" t="s">
        <v>26</v>
      </c>
      <c r="N46" s="256" t="s">
        <v>1019</v>
      </c>
      <c r="O46" s="184" t="s">
        <v>2027</v>
      </c>
      <c r="P46" s="184" t="s">
        <v>595</v>
      </c>
      <c r="Q46" s="255" t="s">
        <v>125</v>
      </c>
      <c r="R46" s="207" t="s">
        <v>35</v>
      </c>
      <c r="S46" s="203">
        <v>3.5000000000000003E-2</v>
      </c>
      <c r="T46" s="199" t="s">
        <v>32</v>
      </c>
      <c r="U46" s="199">
        <v>2008</v>
      </c>
      <c r="V46" s="256" t="s">
        <v>1204</v>
      </c>
      <c r="W46" s="188" t="s">
        <v>34</v>
      </c>
      <c r="X46" s="188" t="s">
        <v>119</v>
      </c>
      <c r="Y46" s="187">
        <v>2017</v>
      </c>
    </row>
    <row r="47" spans="1:25" s="29" customFormat="1" ht="151.80000000000001" x14ac:dyDescent="0.3">
      <c r="A47" s="250" t="s">
        <v>1522</v>
      </c>
      <c r="B47" s="251" t="s">
        <v>919</v>
      </c>
      <c r="C47" s="251" t="s">
        <v>919</v>
      </c>
      <c r="D47" s="184" t="s">
        <v>97</v>
      </c>
      <c r="E47" s="253" t="s">
        <v>464</v>
      </c>
      <c r="F47" s="184" t="s">
        <v>2027</v>
      </c>
      <c r="G47" s="105">
        <v>4346</v>
      </c>
      <c r="H47" s="184" t="s">
        <v>2027</v>
      </c>
      <c r="I47" s="254" t="s">
        <v>1325</v>
      </c>
      <c r="J47" s="184" t="s">
        <v>51</v>
      </c>
      <c r="K47" s="184" t="s">
        <v>734</v>
      </c>
      <c r="L47" s="184" t="s">
        <v>2027</v>
      </c>
      <c r="M47" s="184" t="s">
        <v>98</v>
      </c>
      <c r="N47" s="256" t="s">
        <v>1020</v>
      </c>
      <c r="O47" s="184" t="s">
        <v>2027</v>
      </c>
      <c r="P47" s="184" t="s">
        <v>595</v>
      </c>
      <c r="Q47" s="255" t="s">
        <v>125</v>
      </c>
      <c r="R47" s="207" t="s">
        <v>35</v>
      </c>
      <c r="S47" s="203">
        <v>3.5000000000000003E-2</v>
      </c>
      <c r="T47" s="199" t="s">
        <v>32</v>
      </c>
      <c r="U47" s="199">
        <v>2008</v>
      </c>
      <c r="V47" s="256" t="s">
        <v>1204</v>
      </c>
      <c r="W47" s="188" t="s">
        <v>34</v>
      </c>
      <c r="X47" s="188" t="s">
        <v>119</v>
      </c>
      <c r="Y47" s="187">
        <v>2017</v>
      </c>
    </row>
    <row r="48" spans="1:25" s="29" customFormat="1" ht="151.80000000000001" x14ac:dyDescent="0.3">
      <c r="A48" s="250" t="s">
        <v>1523</v>
      </c>
      <c r="B48" s="251" t="s">
        <v>919</v>
      </c>
      <c r="C48" s="251" t="s">
        <v>919</v>
      </c>
      <c r="D48" s="184" t="s">
        <v>99</v>
      </c>
      <c r="E48" s="253" t="s">
        <v>464</v>
      </c>
      <c r="F48" s="184" t="s">
        <v>2027</v>
      </c>
      <c r="G48" s="105">
        <v>4892</v>
      </c>
      <c r="H48" s="184" t="s">
        <v>2027</v>
      </c>
      <c r="I48" s="254" t="s">
        <v>1326</v>
      </c>
      <c r="J48" s="184" t="s">
        <v>51</v>
      </c>
      <c r="K48" s="184" t="s">
        <v>734</v>
      </c>
      <c r="L48" s="184" t="s">
        <v>2027</v>
      </c>
      <c r="M48" s="184" t="s">
        <v>98</v>
      </c>
      <c r="N48" s="256" t="s">
        <v>1021</v>
      </c>
      <c r="O48" s="184" t="s">
        <v>2027</v>
      </c>
      <c r="P48" s="184" t="s">
        <v>595</v>
      </c>
      <c r="Q48" s="255" t="s">
        <v>125</v>
      </c>
      <c r="R48" s="207" t="s">
        <v>35</v>
      </c>
      <c r="S48" s="203">
        <v>3.5000000000000003E-2</v>
      </c>
      <c r="T48" s="199" t="s">
        <v>32</v>
      </c>
      <c r="U48" s="199">
        <v>2008</v>
      </c>
      <c r="V48" s="256" t="s">
        <v>1204</v>
      </c>
      <c r="W48" s="188" t="s">
        <v>34</v>
      </c>
      <c r="X48" s="188" t="s">
        <v>119</v>
      </c>
      <c r="Y48" s="187">
        <v>2017</v>
      </c>
    </row>
    <row r="49" spans="1:25" s="29" customFormat="1" ht="177.75" customHeight="1" x14ac:dyDescent="0.3">
      <c r="A49" s="250" t="s">
        <v>1946</v>
      </c>
      <c r="B49" s="251" t="s">
        <v>919</v>
      </c>
      <c r="C49" s="251" t="s">
        <v>919</v>
      </c>
      <c r="D49" s="184" t="s">
        <v>814</v>
      </c>
      <c r="E49" s="253" t="s">
        <v>464</v>
      </c>
      <c r="F49" s="201" t="s">
        <v>2027</v>
      </c>
      <c r="G49" s="105">
        <v>21000</v>
      </c>
      <c r="H49" s="255" t="s">
        <v>2027</v>
      </c>
      <c r="I49" s="254" t="s">
        <v>1947</v>
      </c>
      <c r="J49" s="184" t="s">
        <v>51</v>
      </c>
      <c r="K49" s="255" t="s">
        <v>635</v>
      </c>
      <c r="L49" s="184" t="s">
        <v>2709</v>
      </c>
      <c r="M49" s="184" t="s">
        <v>1948</v>
      </c>
      <c r="N49" s="256" t="s">
        <v>1949</v>
      </c>
      <c r="O49" s="256" t="s">
        <v>1950</v>
      </c>
      <c r="P49" s="184" t="s">
        <v>595</v>
      </c>
      <c r="Q49" s="255" t="s">
        <v>1951</v>
      </c>
      <c r="R49" s="207" t="s">
        <v>35</v>
      </c>
      <c r="S49" s="203">
        <v>3.5000000000000003E-2</v>
      </c>
      <c r="T49" s="199" t="s">
        <v>32</v>
      </c>
      <c r="U49" s="199">
        <v>2018</v>
      </c>
      <c r="V49" s="256" t="s">
        <v>1952</v>
      </c>
      <c r="W49" s="188" t="s">
        <v>34</v>
      </c>
      <c r="X49" s="192" t="s">
        <v>1953</v>
      </c>
      <c r="Y49" s="187">
        <v>2019</v>
      </c>
    </row>
    <row r="50" spans="1:25" ht="138" x14ac:dyDescent="0.3">
      <c r="A50" s="250" t="s">
        <v>2267</v>
      </c>
      <c r="B50" s="251" t="s">
        <v>919</v>
      </c>
      <c r="C50" s="251" t="s">
        <v>919</v>
      </c>
      <c r="D50" s="184" t="s">
        <v>2260</v>
      </c>
      <c r="E50" s="253" t="s">
        <v>464</v>
      </c>
      <c r="F50" s="184" t="s">
        <v>2686</v>
      </c>
      <c r="G50" s="257" t="s">
        <v>2027</v>
      </c>
      <c r="H50" s="255" t="s">
        <v>2027</v>
      </c>
      <c r="I50" s="184" t="s">
        <v>2261</v>
      </c>
      <c r="J50" s="184" t="s">
        <v>2710</v>
      </c>
      <c r="K50" s="184" t="s">
        <v>700</v>
      </c>
      <c r="L50" s="184" t="s">
        <v>2262</v>
      </c>
      <c r="M50" s="184" t="s">
        <v>2263</v>
      </c>
      <c r="N50" s="184" t="s">
        <v>2264</v>
      </c>
      <c r="O50" s="184" t="s">
        <v>27</v>
      </c>
      <c r="P50" s="184" t="s">
        <v>2027</v>
      </c>
      <c r="Q50" s="255" t="s">
        <v>2265</v>
      </c>
      <c r="R50" s="187" t="s">
        <v>173</v>
      </c>
      <c r="S50" s="190">
        <v>0.03</v>
      </c>
      <c r="T50" s="187" t="s">
        <v>779</v>
      </c>
      <c r="U50" s="184">
        <v>2014</v>
      </c>
      <c r="V50" s="256" t="s">
        <v>2266</v>
      </c>
      <c r="W50" s="261" t="s">
        <v>34</v>
      </c>
      <c r="X50" s="184" t="s">
        <v>2027</v>
      </c>
      <c r="Y50" s="187">
        <v>2019</v>
      </c>
    </row>
    <row r="51" spans="1:25" ht="124.2" x14ac:dyDescent="0.3">
      <c r="A51" s="250" t="s">
        <v>2612</v>
      </c>
      <c r="B51" s="251" t="s">
        <v>919</v>
      </c>
      <c r="C51" s="251" t="s">
        <v>919</v>
      </c>
      <c r="D51" s="184" t="s">
        <v>2604</v>
      </c>
      <c r="E51" s="253" t="s">
        <v>464</v>
      </c>
      <c r="F51" s="184" t="s">
        <v>2605</v>
      </c>
      <c r="G51" s="257" t="s">
        <v>2027</v>
      </c>
      <c r="H51" s="255" t="s">
        <v>2027</v>
      </c>
      <c r="I51" s="184" t="s">
        <v>2606</v>
      </c>
      <c r="J51" s="184" t="s">
        <v>58</v>
      </c>
      <c r="K51" s="184" t="s">
        <v>2252</v>
      </c>
      <c r="L51" s="184" t="s">
        <v>2607</v>
      </c>
      <c r="M51" s="184" t="s">
        <v>2254</v>
      </c>
      <c r="N51" s="184" t="s">
        <v>2695</v>
      </c>
      <c r="O51" s="184" t="s">
        <v>2608</v>
      </c>
      <c r="P51" s="184" t="s">
        <v>2027</v>
      </c>
      <c r="Q51" s="255" t="s">
        <v>2609</v>
      </c>
      <c r="R51" s="187" t="s">
        <v>173</v>
      </c>
      <c r="S51" s="190" t="s">
        <v>2317</v>
      </c>
      <c r="T51" s="184" t="s">
        <v>2610</v>
      </c>
      <c r="U51" s="184">
        <v>2014</v>
      </c>
      <c r="V51" s="256" t="s">
        <v>2611</v>
      </c>
      <c r="W51" s="261" t="s">
        <v>34</v>
      </c>
      <c r="X51" s="184" t="s">
        <v>2027</v>
      </c>
      <c r="Y51" s="187">
        <v>2019</v>
      </c>
    </row>
    <row r="52" spans="1:25" s="29" customFormat="1" ht="151.80000000000001" x14ac:dyDescent="0.3">
      <c r="A52" s="250" t="s">
        <v>114</v>
      </c>
      <c r="B52" s="251" t="s">
        <v>176</v>
      </c>
      <c r="C52" s="251" t="s">
        <v>176</v>
      </c>
      <c r="D52" s="184" t="s">
        <v>425</v>
      </c>
      <c r="E52" s="253" t="s">
        <v>464</v>
      </c>
      <c r="F52" s="184" t="s">
        <v>2027</v>
      </c>
      <c r="G52" s="200" t="s">
        <v>288</v>
      </c>
      <c r="H52" s="184" t="s">
        <v>2027</v>
      </c>
      <c r="I52" s="184" t="s">
        <v>1274</v>
      </c>
      <c r="J52" s="184" t="s">
        <v>51</v>
      </c>
      <c r="K52" s="184" t="s">
        <v>397</v>
      </c>
      <c r="L52" s="184" t="s">
        <v>421</v>
      </c>
      <c r="M52" s="184" t="s">
        <v>426</v>
      </c>
      <c r="N52" s="184" t="s">
        <v>1106</v>
      </c>
      <c r="O52" s="184" t="s">
        <v>2027</v>
      </c>
      <c r="P52" s="187" t="s">
        <v>2027</v>
      </c>
      <c r="Q52" s="184" t="s">
        <v>125</v>
      </c>
      <c r="R52" s="187" t="s">
        <v>173</v>
      </c>
      <c r="S52" s="187" t="s">
        <v>331</v>
      </c>
      <c r="T52" s="184" t="s">
        <v>779</v>
      </c>
      <c r="U52" s="184">
        <v>2009</v>
      </c>
      <c r="V52" s="256" t="s">
        <v>1131</v>
      </c>
      <c r="W52" s="188" t="s">
        <v>34</v>
      </c>
      <c r="X52" s="192" t="s">
        <v>352</v>
      </c>
      <c r="Y52" s="270" t="s">
        <v>1954</v>
      </c>
    </row>
    <row r="53" spans="1:25" s="29" customFormat="1" ht="138" x14ac:dyDescent="0.3">
      <c r="A53" s="250" t="s">
        <v>213</v>
      </c>
      <c r="B53" s="251" t="s">
        <v>176</v>
      </c>
      <c r="C53" s="251" t="s">
        <v>176</v>
      </c>
      <c r="D53" s="184" t="s">
        <v>424</v>
      </c>
      <c r="E53" s="253" t="s">
        <v>464</v>
      </c>
      <c r="F53" s="184" t="s">
        <v>2027</v>
      </c>
      <c r="G53" s="186" t="s">
        <v>2027</v>
      </c>
      <c r="H53" s="254" t="s">
        <v>429</v>
      </c>
      <c r="I53" s="184" t="s">
        <v>1275</v>
      </c>
      <c r="J53" s="184" t="s">
        <v>335</v>
      </c>
      <c r="K53" s="184" t="s">
        <v>397</v>
      </c>
      <c r="L53" s="184" t="s">
        <v>430</v>
      </c>
      <c r="M53" s="184" t="s">
        <v>427</v>
      </c>
      <c r="N53" s="184" t="s">
        <v>428</v>
      </c>
      <c r="O53" s="184" t="s">
        <v>431</v>
      </c>
      <c r="P53" s="187" t="s">
        <v>2027</v>
      </c>
      <c r="Q53" s="184" t="s">
        <v>287</v>
      </c>
      <c r="R53" s="184" t="s">
        <v>173</v>
      </c>
      <c r="S53" s="184" t="s">
        <v>331</v>
      </c>
      <c r="T53" s="184" t="s">
        <v>779</v>
      </c>
      <c r="U53" s="184">
        <v>2014</v>
      </c>
      <c r="V53" s="254" t="s">
        <v>1132</v>
      </c>
      <c r="W53" s="188" t="s">
        <v>34</v>
      </c>
      <c r="X53" s="192" t="s">
        <v>352</v>
      </c>
      <c r="Y53" s="270" t="s">
        <v>1954</v>
      </c>
    </row>
    <row r="54" spans="1:25" s="29" customFormat="1" ht="193.2" x14ac:dyDescent="0.3">
      <c r="A54" s="250" t="s">
        <v>220</v>
      </c>
      <c r="B54" s="251" t="s">
        <v>176</v>
      </c>
      <c r="C54" s="251" t="s">
        <v>176</v>
      </c>
      <c r="D54" s="184" t="s">
        <v>425</v>
      </c>
      <c r="E54" s="253" t="s">
        <v>464</v>
      </c>
      <c r="F54" s="184" t="s">
        <v>2027</v>
      </c>
      <c r="G54" s="254" t="s">
        <v>503</v>
      </c>
      <c r="H54" s="184" t="s">
        <v>2027</v>
      </c>
      <c r="I54" s="184" t="s">
        <v>1276</v>
      </c>
      <c r="J54" s="184" t="s">
        <v>335</v>
      </c>
      <c r="K54" s="184" t="s">
        <v>397</v>
      </c>
      <c r="L54" s="184" t="s">
        <v>423</v>
      </c>
      <c r="M54" s="184" t="s">
        <v>422</v>
      </c>
      <c r="N54" s="184" t="s">
        <v>2711</v>
      </c>
      <c r="O54" s="187" t="s">
        <v>767</v>
      </c>
      <c r="P54" s="187" t="s">
        <v>2027</v>
      </c>
      <c r="Q54" s="184" t="s">
        <v>287</v>
      </c>
      <c r="R54" s="187" t="s">
        <v>173</v>
      </c>
      <c r="S54" s="187" t="s">
        <v>331</v>
      </c>
      <c r="T54" s="184" t="s">
        <v>779</v>
      </c>
      <c r="U54" s="184">
        <v>2012</v>
      </c>
      <c r="V54" s="256" t="s">
        <v>2712</v>
      </c>
      <c r="W54" s="188" t="s">
        <v>34</v>
      </c>
      <c r="X54" s="184" t="s">
        <v>2027</v>
      </c>
      <c r="Y54" s="270" t="s">
        <v>1954</v>
      </c>
    </row>
    <row r="55" spans="1:25" s="29" customFormat="1" ht="82.8" x14ac:dyDescent="0.3">
      <c r="A55" s="250" t="s">
        <v>221</v>
      </c>
      <c r="B55" s="251" t="s">
        <v>176</v>
      </c>
      <c r="C55" s="251" t="s">
        <v>176</v>
      </c>
      <c r="D55" s="184" t="s">
        <v>425</v>
      </c>
      <c r="E55" s="253" t="s">
        <v>464</v>
      </c>
      <c r="F55" s="184" t="s">
        <v>2027</v>
      </c>
      <c r="G55" s="186" t="s">
        <v>2027</v>
      </c>
      <c r="H55" s="254" t="s">
        <v>219</v>
      </c>
      <c r="I55" s="184" t="s">
        <v>1277</v>
      </c>
      <c r="J55" s="184" t="s">
        <v>335</v>
      </c>
      <c r="K55" s="184" t="s">
        <v>397</v>
      </c>
      <c r="L55" s="184" t="s">
        <v>2027</v>
      </c>
      <c r="M55" s="194" t="s">
        <v>2027</v>
      </c>
      <c r="N55" s="184" t="s">
        <v>1811</v>
      </c>
      <c r="O55" s="184" t="s">
        <v>2027</v>
      </c>
      <c r="P55" s="187" t="s">
        <v>2027</v>
      </c>
      <c r="Q55" s="184" t="s">
        <v>287</v>
      </c>
      <c r="R55" s="184" t="s">
        <v>290</v>
      </c>
      <c r="S55" s="187" t="s">
        <v>2027</v>
      </c>
      <c r="T55" s="255" t="s">
        <v>2027</v>
      </c>
      <c r="U55" s="184">
        <v>2015</v>
      </c>
      <c r="V55" s="254" t="s">
        <v>1133</v>
      </c>
      <c r="W55" s="188" t="s">
        <v>34</v>
      </c>
      <c r="X55" s="184" t="s">
        <v>2027</v>
      </c>
      <c r="Y55" s="270" t="s">
        <v>1954</v>
      </c>
    </row>
    <row r="56" spans="1:25" s="29" customFormat="1" ht="151.80000000000001" x14ac:dyDescent="0.3">
      <c r="A56" s="250" t="s">
        <v>222</v>
      </c>
      <c r="B56" s="251" t="s">
        <v>176</v>
      </c>
      <c r="C56" s="251" t="s">
        <v>176</v>
      </c>
      <c r="D56" s="184" t="s">
        <v>436</v>
      </c>
      <c r="E56" s="253" t="s">
        <v>464</v>
      </c>
      <c r="F56" s="184" t="s">
        <v>2027</v>
      </c>
      <c r="G56" s="200" t="s">
        <v>289</v>
      </c>
      <c r="H56" s="184" t="s">
        <v>2027</v>
      </c>
      <c r="I56" s="184" t="s">
        <v>434</v>
      </c>
      <c r="J56" s="184" t="s">
        <v>36</v>
      </c>
      <c r="K56" s="184" t="s">
        <v>397</v>
      </c>
      <c r="L56" s="184" t="s">
        <v>2027</v>
      </c>
      <c r="M56" s="184" t="s">
        <v>26</v>
      </c>
      <c r="N56" s="184" t="s">
        <v>433</v>
      </c>
      <c r="O56" s="184" t="s">
        <v>2027</v>
      </c>
      <c r="P56" s="184" t="s">
        <v>595</v>
      </c>
      <c r="Q56" s="255" t="s">
        <v>432</v>
      </c>
      <c r="R56" s="187" t="s">
        <v>173</v>
      </c>
      <c r="S56" s="209">
        <v>0.05</v>
      </c>
      <c r="T56" s="184" t="s">
        <v>780</v>
      </c>
      <c r="U56" s="184">
        <v>1995</v>
      </c>
      <c r="V56" s="256" t="s">
        <v>1134</v>
      </c>
      <c r="W56" s="188" t="s">
        <v>34</v>
      </c>
      <c r="X56" s="184" t="s">
        <v>2027</v>
      </c>
      <c r="Y56" s="270" t="s">
        <v>1954</v>
      </c>
    </row>
    <row r="57" spans="1:25" s="29" customFormat="1" ht="179.4" x14ac:dyDescent="0.3">
      <c r="A57" s="250" t="s">
        <v>223</v>
      </c>
      <c r="B57" s="251" t="s">
        <v>176</v>
      </c>
      <c r="C57" s="251" t="s">
        <v>176</v>
      </c>
      <c r="D57" s="187" t="s">
        <v>387</v>
      </c>
      <c r="E57" s="253" t="s">
        <v>464</v>
      </c>
      <c r="F57" s="210" t="s">
        <v>1054</v>
      </c>
      <c r="G57" s="211" t="s">
        <v>231</v>
      </c>
      <c r="H57" s="186" t="s">
        <v>328</v>
      </c>
      <c r="I57" s="184" t="s">
        <v>1278</v>
      </c>
      <c r="J57" s="184" t="s">
        <v>51</v>
      </c>
      <c r="K57" s="184" t="s">
        <v>397</v>
      </c>
      <c r="L57" s="184" t="s">
        <v>390</v>
      </c>
      <c r="M57" s="184" t="s">
        <v>26</v>
      </c>
      <c r="N57" s="184" t="s">
        <v>1527</v>
      </c>
      <c r="O57" s="184" t="s">
        <v>2027</v>
      </c>
      <c r="P57" s="187" t="s">
        <v>2027</v>
      </c>
      <c r="Q57" s="184" t="s">
        <v>388</v>
      </c>
      <c r="R57" s="184" t="s">
        <v>214</v>
      </c>
      <c r="S57" s="212">
        <v>3.5000000000000003E-2</v>
      </c>
      <c r="T57" s="184" t="s">
        <v>32</v>
      </c>
      <c r="U57" s="184">
        <v>2006</v>
      </c>
      <c r="V57" s="256" t="s">
        <v>1135</v>
      </c>
      <c r="W57" s="188" t="s">
        <v>34</v>
      </c>
      <c r="X57" s="184" t="s">
        <v>2027</v>
      </c>
      <c r="Y57" s="270" t="s">
        <v>1954</v>
      </c>
    </row>
    <row r="58" spans="1:25" s="29" customFormat="1" ht="151.80000000000001" x14ac:dyDescent="0.3">
      <c r="A58" s="250" t="s">
        <v>224</v>
      </c>
      <c r="B58" s="251" t="s">
        <v>176</v>
      </c>
      <c r="C58" s="251" t="s">
        <v>176</v>
      </c>
      <c r="D58" s="187" t="s">
        <v>387</v>
      </c>
      <c r="E58" s="253" t="s">
        <v>464</v>
      </c>
      <c r="F58" s="254" t="s">
        <v>728</v>
      </c>
      <c r="G58" s="211" t="s">
        <v>231</v>
      </c>
      <c r="H58" s="186" t="s">
        <v>328</v>
      </c>
      <c r="I58" s="184" t="s">
        <v>516</v>
      </c>
      <c r="J58" s="184" t="s">
        <v>51</v>
      </c>
      <c r="K58" s="184" t="s">
        <v>397</v>
      </c>
      <c r="L58" s="184" t="s">
        <v>390</v>
      </c>
      <c r="M58" s="184" t="s">
        <v>26</v>
      </c>
      <c r="N58" s="184" t="s">
        <v>729</v>
      </c>
      <c r="O58" s="184" t="s">
        <v>133</v>
      </c>
      <c r="P58" s="184" t="s">
        <v>595</v>
      </c>
      <c r="Q58" s="184" t="s">
        <v>346</v>
      </c>
      <c r="R58" s="184" t="s">
        <v>214</v>
      </c>
      <c r="S58" s="209" t="s">
        <v>762</v>
      </c>
      <c r="T58" s="213" t="s">
        <v>389</v>
      </c>
      <c r="U58" s="213" t="s">
        <v>2027</v>
      </c>
      <c r="V58" s="256" t="s">
        <v>1136</v>
      </c>
      <c r="W58" s="188" t="s">
        <v>34</v>
      </c>
      <c r="X58" s="184" t="s">
        <v>2027</v>
      </c>
      <c r="Y58" s="270" t="s">
        <v>1954</v>
      </c>
    </row>
    <row r="59" spans="1:25" s="29" customFormat="1" ht="138" x14ac:dyDescent="0.3">
      <c r="A59" s="250" t="s">
        <v>225</v>
      </c>
      <c r="B59" s="251" t="s">
        <v>176</v>
      </c>
      <c r="C59" s="251" t="s">
        <v>176</v>
      </c>
      <c r="D59" s="184" t="s">
        <v>286</v>
      </c>
      <c r="E59" s="253" t="s">
        <v>464</v>
      </c>
      <c r="F59" s="184" t="s">
        <v>2027</v>
      </c>
      <c r="G59" s="208" t="s">
        <v>231</v>
      </c>
      <c r="H59" s="184" t="s">
        <v>2027</v>
      </c>
      <c r="I59" s="184" t="s">
        <v>1279</v>
      </c>
      <c r="J59" s="184" t="s">
        <v>36</v>
      </c>
      <c r="K59" s="184" t="s">
        <v>397</v>
      </c>
      <c r="L59" s="184" t="s">
        <v>438</v>
      </c>
      <c r="M59" s="184" t="s">
        <v>26</v>
      </c>
      <c r="N59" s="184" t="s">
        <v>437</v>
      </c>
      <c r="O59" s="184" t="s">
        <v>217</v>
      </c>
      <c r="P59" s="184" t="s">
        <v>595</v>
      </c>
      <c r="Q59" s="255" t="s">
        <v>287</v>
      </c>
      <c r="R59" s="184" t="s">
        <v>136</v>
      </c>
      <c r="S59" s="197">
        <v>0.03</v>
      </c>
      <c r="T59" s="184" t="s">
        <v>140</v>
      </c>
      <c r="U59" s="184">
        <v>2008</v>
      </c>
      <c r="V59" s="256" t="s">
        <v>1137</v>
      </c>
      <c r="W59" s="188" t="s">
        <v>34</v>
      </c>
      <c r="X59" s="184" t="s">
        <v>2027</v>
      </c>
      <c r="Y59" s="270" t="s">
        <v>1954</v>
      </c>
    </row>
    <row r="60" spans="1:25" s="29" customFormat="1" ht="207" x14ac:dyDescent="0.3">
      <c r="A60" s="250" t="s">
        <v>251</v>
      </c>
      <c r="B60" s="251" t="s">
        <v>176</v>
      </c>
      <c r="C60" s="251" t="s">
        <v>176</v>
      </c>
      <c r="D60" s="184" t="s">
        <v>218</v>
      </c>
      <c r="E60" s="253" t="s">
        <v>464</v>
      </c>
      <c r="F60" s="184" t="s">
        <v>2027</v>
      </c>
      <c r="G60" s="186" t="s">
        <v>2027</v>
      </c>
      <c r="H60" s="254" t="s">
        <v>246</v>
      </c>
      <c r="I60" s="196" t="s">
        <v>247</v>
      </c>
      <c r="J60" s="255" t="s">
        <v>2027</v>
      </c>
      <c r="K60" s="184" t="s">
        <v>397</v>
      </c>
      <c r="L60" s="184" t="s">
        <v>2027</v>
      </c>
      <c r="M60" s="184" t="s">
        <v>248</v>
      </c>
      <c r="N60" s="184" t="s">
        <v>439</v>
      </c>
      <c r="O60" s="184" t="s">
        <v>52</v>
      </c>
      <c r="P60" s="184" t="s">
        <v>595</v>
      </c>
      <c r="Q60" s="255" t="s">
        <v>287</v>
      </c>
      <c r="R60" s="184" t="s">
        <v>136</v>
      </c>
      <c r="S60" s="197">
        <v>0.03</v>
      </c>
      <c r="T60" s="184" t="s">
        <v>140</v>
      </c>
      <c r="U60" s="184">
        <v>2000</v>
      </c>
      <c r="V60" s="256" t="s">
        <v>1138</v>
      </c>
      <c r="W60" s="188" t="s">
        <v>34</v>
      </c>
      <c r="X60" s="184" t="s">
        <v>2027</v>
      </c>
      <c r="Y60" s="270" t="s">
        <v>1954</v>
      </c>
    </row>
    <row r="61" spans="1:25" s="29" customFormat="1" ht="165.6" x14ac:dyDescent="0.3">
      <c r="A61" s="250" t="s">
        <v>274</v>
      </c>
      <c r="B61" s="251" t="s">
        <v>176</v>
      </c>
      <c r="C61" s="251" t="s">
        <v>176</v>
      </c>
      <c r="D61" s="184" t="s">
        <v>218</v>
      </c>
      <c r="E61" s="253" t="s">
        <v>464</v>
      </c>
      <c r="F61" s="184" t="s">
        <v>2027</v>
      </c>
      <c r="G61" s="254" t="s">
        <v>916</v>
      </c>
      <c r="H61" s="184" t="s">
        <v>2027</v>
      </c>
      <c r="I61" s="184" t="s">
        <v>789</v>
      </c>
      <c r="J61" s="184" t="s">
        <v>36</v>
      </c>
      <c r="K61" s="184" t="s">
        <v>397</v>
      </c>
      <c r="L61" s="184" t="s">
        <v>442</v>
      </c>
      <c r="M61" s="184" t="s">
        <v>440</v>
      </c>
      <c r="N61" s="184" t="s">
        <v>441</v>
      </c>
      <c r="O61" s="184" t="s">
        <v>245</v>
      </c>
      <c r="P61" s="184" t="s">
        <v>595</v>
      </c>
      <c r="Q61" s="255" t="s">
        <v>443</v>
      </c>
      <c r="R61" s="187" t="s">
        <v>214</v>
      </c>
      <c r="S61" s="187" t="s">
        <v>2027</v>
      </c>
      <c r="T61" s="184" t="s">
        <v>32</v>
      </c>
      <c r="U61" s="184">
        <v>2011</v>
      </c>
      <c r="V61" s="256" t="s">
        <v>1139</v>
      </c>
      <c r="W61" s="188" t="s">
        <v>34</v>
      </c>
      <c r="X61" s="184" t="s">
        <v>2027</v>
      </c>
      <c r="Y61" s="270" t="s">
        <v>1954</v>
      </c>
    </row>
    <row r="62" spans="1:25" s="28" customFormat="1" ht="193.2" x14ac:dyDescent="0.3">
      <c r="A62" s="250" t="s">
        <v>325</v>
      </c>
      <c r="B62" s="251" t="s">
        <v>176</v>
      </c>
      <c r="C62" s="251" t="s">
        <v>176</v>
      </c>
      <c r="D62" s="255" t="s">
        <v>444</v>
      </c>
      <c r="E62" s="253" t="s">
        <v>464</v>
      </c>
      <c r="F62" s="184" t="s">
        <v>2027</v>
      </c>
      <c r="G62" s="186" t="s">
        <v>2027</v>
      </c>
      <c r="H62" s="254" t="s">
        <v>1812</v>
      </c>
      <c r="I62" s="255" t="s">
        <v>790</v>
      </c>
      <c r="J62" s="255" t="s">
        <v>36</v>
      </c>
      <c r="K62" s="256" t="s">
        <v>267</v>
      </c>
      <c r="L62" s="184" t="s">
        <v>2027</v>
      </c>
      <c r="M62" s="194" t="s">
        <v>2027</v>
      </c>
      <c r="N62" s="201" t="s">
        <v>1280</v>
      </c>
      <c r="O62" s="255" t="s">
        <v>23</v>
      </c>
      <c r="P62" s="255" t="s">
        <v>595</v>
      </c>
      <c r="Q62" s="255" t="s">
        <v>446</v>
      </c>
      <c r="R62" s="255" t="s">
        <v>35</v>
      </c>
      <c r="S62" s="187" t="s">
        <v>2027</v>
      </c>
      <c r="T62" s="184" t="s">
        <v>32</v>
      </c>
      <c r="U62" s="184">
        <v>2016</v>
      </c>
      <c r="V62" s="254" t="s">
        <v>1114</v>
      </c>
      <c r="W62" s="192" t="s">
        <v>34</v>
      </c>
      <c r="X62" s="184" t="s">
        <v>2027</v>
      </c>
      <c r="Y62" s="270" t="s">
        <v>1954</v>
      </c>
    </row>
    <row r="63" spans="1:25" s="29" customFormat="1" ht="207" x14ac:dyDescent="0.3">
      <c r="A63" s="250" t="s">
        <v>435</v>
      </c>
      <c r="B63" s="251" t="s">
        <v>176</v>
      </c>
      <c r="C63" s="251" t="s">
        <v>176</v>
      </c>
      <c r="D63" s="255" t="s">
        <v>444</v>
      </c>
      <c r="E63" s="253" t="s">
        <v>464</v>
      </c>
      <c r="F63" s="184" t="s">
        <v>2027</v>
      </c>
      <c r="G63" s="186" t="s">
        <v>2027</v>
      </c>
      <c r="H63" s="254" t="s">
        <v>328</v>
      </c>
      <c r="I63" s="255" t="s">
        <v>445</v>
      </c>
      <c r="J63" s="184" t="s">
        <v>36</v>
      </c>
      <c r="K63" s="184" t="s">
        <v>397</v>
      </c>
      <c r="L63" s="184" t="s">
        <v>327</v>
      </c>
      <c r="M63" s="255" t="s">
        <v>326</v>
      </c>
      <c r="N63" s="255" t="s">
        <v>1813</v>
      </c>
      <c r="O63" s="184" t="s">
        <v>431</v>
      </c>
      <c r="P63" s="255" t="s">
        <v>595</v>
      </c>
      <c r="Q63" s="255" t="s">
        <v>739</v>
      </c>
      <c r="R63" s="187" t="s">
        <v>173</v>
      </c>
      <c r="S63" s="187" t="s">
        <v>2027</v>
      </c>
      <c r="T63" s="184" t="s">
        <v>781</v>
      </c>
      <c r="U63" s="184">
        <v>2016</v>
      </c>
      <c r="V63" s="254" t="s">
        <v>1140</v>
      </c>
      <c r="W63" s="188" t="s">
        <v>34</v>
      </c>
      <c r="X63" s="184" t="s">
        <v>2027</v>
      </c>
      <c r="Y63" s="270" t="s">
        <v>1954</v>
      </c>
    </row>
    <row r="64" spans="1:25" s="29" customFormat="1" ht="124.2" x14ac:dyDescent="0.3">
      <c r="A64" s="250" t="s">
        <v>517</v>
      </c>
      <c r="B64" s="251" t="s">
        <v>176</v>
      </c>
      <c r="C64" s="251" t="s">
        <v>176</v>
      </c>
      <c r="D64" s="184" t="s">
        <v>383</v>
      </c>
      <c r="E64" s="253" t="s">
        <v>464</v>
      </c>
      <c r="F64" s="184" t="s">
        <v>2027</v>
      </c>
      <c r="G64" s="186" t="s">
        <v>2027</v>
      </c>
      <c r="H64" s="208" t="s">
        <v>394</v>
      </c>
      <c r="I64" s="184" t="s">
        <v>391</v>
      </c>
      <c r="J64" s="184" t="s">
        <v>51</v>
      </c>
      <c r="K64" s="184" t="s">
        <v>397</v>
      </c>
      <c r="L64" s="184" t="s">
        <v>384</v>
      </c>
      <c r="M64" s="184" t="s">
        <v>26</v>
      </c>
      <c r="N64" s="184" t="s">
        <v>386</v>
      </c>
      <c r="O64" s="184" t="s">
        <v>366</v>
      </c>
      <c r="P64" s="184" t="s">
        <v>595</v>
      </c>
      <c r="Q64" s="184" t="s">
        <v>346</v>
      </c>
      <c r="R64" s="184" t="s">
        <v>173</v>
      </c>
      <c r="S64" s="187" t="s">
        <v>2027</v>
      </c>
      <c r="T64" s="255" t="s">
        <v>778</v>
      </c>
      <c r="U64" s="255">
        <v>2011</v>
      </c>
      <c r="V64" s="256" t="s">
        <v>2738</v>
      </c>
      <c r="W64" s="188" t="s">
        <v>34</v>
      </c>
      <c r="X64" s="188" t="s">
        <v>385</v>
      </c>
      <c r="Y64" s="270" t="s">
        <v>1954</v>
      </c>
    </row>
    <row r="65" spans="1:25" s="29" customFormat="1" ht="96.6" x14ac:dyDescent="0.3">
      <c r="A65" s="250" t="s">
        <v>518</v>
      </c>
      <c r="B65" s="251" t="s">
        <v>176</v>
      </c>
      <c r="C65" s="251" t="s">
        <v>176</v>
      </c>
      <c r="D65" s="184" t="s">
        <v>376</v>
      </c>
      <c r="E65" s="253" t="s">
        <v>464</v>
      </c>
      <c r="F65" s="184" t="s">
        <v>2027</v>
      </c>
      <c r="G65" s="254" t="s">
        <v>231</v>
      </c>
      <c r="H65" s="208" t="s">
        <v>328</v>
      </c>
      <c r="I65" s="184" t="s">
        <v>382</v>
      </c>
      <c r="J65" s="184" t="s">
        <v>51</v>
      </c>
      <c r="K65" s="184" t="s">
        <v>397</v>
      </c>
      <c r="L65" s="184" t="s">
        <v>380</v>
      </c>
      <c r="M65" s="255" t="s">
        <v>381</v>
      </c>
      <c r="N65" s="184" t="s">
        <v>1584</v>
      </c>
      <c r="O65" s="184" t="s">
        <v>52</v>
      </c>
      <c r="P65" s="184" t="s">
        <v>595</v>
      </c>
      <c r="Q65" s="184" t="s">
        <v>346</v>
      </c>
      <c r="R65" s="187" t="s">
        <v>377</v>
      </c>
      <c r="S65" s="258" t="s">
        <v>331</v>
      </c>
      <c r="T65" s="255" t="s">
        <v>378</v>
      </c>
      <c r="U65" s="255">
        <v>2011</v>
      </c>
      <c r="V65" s="256" t="s">
        <v>1169</v>
      </c>
      <c r="W65" s="188" t="s">
        <v>34</v>
      </c>
      <c r="X65" s="188" t="s">
        <v>379</v>
      </c>
      <c r="Y65" s="270" t="s">
        <v>1954</v>
      </c>
    </row>
    <row r="66" spans="1:25" s="29" customFormat="1" ht="138" x14ac:dyDescent="0.3">
      <c r="A66" s="250" t="s">
        <v>1416</v>
      </c>
      <c r="B66" s="251" t="s">
        <v>176</v>
      </c>
      <c r="C66" s="251" t="s">
        <v>176</v>
      </c>
      <c r="D66" s="184" t="s">
        <v>1422</v>
      </c>
      <c r="E66" s="253" t="s">
        <v>464</v>
      </c>
      <c r="F66" s="184" t="s">
        <v>2027</v>
      </c>
      <c r="G66" s="254" t="s">
        <v>1421</v>
      </c>
      <c r="H66" s="184" t="s">
        <v>2027</v>
      </c>
      <c r="I66" s="184" t="s">
        <v>1424</v>
      </c>
      <c r="J66" s="184" t="s">
        <v>51</v>
      </c>
      <c r="K66" s="184" t="s">
        <v>397</v>
      </c>
      <c r="L66" s="184" t="s">
        <v>1423</v>
      </c>
      <c r="M66" s="255" t="s">
        <v>26</v>
      </c>
      <c r="N66" s="184" t="s">
        <v>1425</v>
      </c>
      <c r="O66" s="184" t="s">
        <v>366</v>
      </c>
      <c r="P66" s="184" t="s">
        <v>595</v>
      </c>
      <c r="Q66" s="184" t="s">
        <v>125</v>
      </c>
      <c r="R66" s="187" t="s">
        <v>35</v>
      </c>
      <c r="S66" s="259">
        <v>3.5000000000000003E-2</v>
      </c>
      <c r="T66" s="255" t="s">
        <v>414</v>
      </c>
      <c r="U66" s="255">
        <v>2011</v>
      </c>
      <c r="V66" s="256" t="s">
        <v>1420</v>
      </c>
      <c r="W66" s="188" t="s">
        <v>34</v>
      </c>
      <c r="X66" s="184" t="s">
        <v>2027</v>
      </c>
      <c r="Y66" s="270" t="s">
        <v>1954</v>
      </c>
    </row>
    <row r="67" spans="1:25" s="29" customFormat="1" ht="220.8" x14ac:dyDescent="0.3">
      <c r="A67" s="250" t="s">
        <v>1417</v>
      </c>
      <c r="B67" s="251" t="s">
        <v>176</v>
      </c>
      <c r="C67" s="251" t="s">
        <v>176</v>
      </c>
      <c r="D67" s="184" t="s">
        <v>1428</v>
      </c>
      <c r="E67" s="253" t="s">
        <v>464</v>
      </c>
      <c r="F67" s="184" t="s">
        <v>2027</v>
      </c>
      <c r="G67" s="254" t="s">
        <v>1345</v>
      </c>
      <c r="H67" s="184" t="s">
        <v>2027</v>
      </c>
      <c r="I67" s="184" t="s">
        <v>1432</v>
      </c>
      <c r="J67" s="184" t="s">
        <v>51</v>
      </c>
      <c r="K67" s="184" t="s">
        <v>397</v>
      </c>
      <c r="L67" s="184" t="s">
        <v>1427</v>
      </c>
      <c r="M67" s="255" t="s">
        <v>26</v>
      </c>
      <c r="N67" s="184" t="s">
        <v>1433</v>
      </c>
      <c r="O67" s="184" t="s">
        <v>2027</v>
      </c>
      <c r="P67" s="184" t="s">
        <v>595</v>
      </c>
      <c r="Q67" s="184" t="s">
        <v>837</v>
      </c>
      <c r="R67" s="187" t="s">
        <v>35</v>
      </c>
      <c r="S67" s="259" t="s">
        <v>331</v>
      </c>
      <c r="T67" s="255" t="s">
        <v>32</v>
      </c>
      <c r="U67" s="255">
        <v>2011</v>
      </c>
      <c r="V67" s="256" t="s">
        <v>1426</v>
      </c>
      <c r="W67" s="188" t="s">
        <v>34</v>
      </c>
      <c r="X67" s="184" t="s">
        <v>2027</v>
      </c>
      <c r="Y67" s="270" t="s">
        <v>1954</v>
      </c>
    </row>
    <row r="68" spans="1:25" s="29" customFormat="1" ht="179.4" x14ac:dyDescent="0.3">
      <c r="A68" s="250" t="s">
        <v>1418</v>
      </c>
      <c r="B68" s="251" t="s">
        <v>176</v>
      </c>
      <c r="C68" s="251" t="s">
        <v>176</v>
      </c>
      <c r="D68" s="184" t="s">
        <v>1430</v>
      </c>
      <c r="E68" s="253" t="s">
        <v>464</v>
      </c>
      <c r="F68" s="184" t="s">
        <v>2027</v>
      </c>
      <c r="G68" s="254" t="s">
        <v>1345</v>
      </c>
      <c r="H68" s="184" t="s">
        <v>2027</v>
      </c>
      <c r="I68" s="184" t="s">
        <v>1434</v>
      </c>
      <c r="J68" s="184" t="s">
        <v>51</v>
      </c>
      <c r="K68" s="184" t="s">
        <v>397</v>
      </c>
      <c r="L68" s="184" t="s">
        <v>1435</v>
      </c>
      <c r="M68" s="255" t="s">
        <v>26</v>
      </c>
      <c r="N68" s="184" t="s">
        <v>1436</v>
      </c>
      <c r="O68" s="184" t="s">
        <v>1431</v>
      </c>
      <c r="P68" s="184" t="s">
        <v>595</v>
      </c>
      <c r="Q68" s="184" t="s">
        <v>837</v>
      </c>
      <c r="R68" s="187" t="s">
        <v>35</v>
      </c>
      <c r="S68" s="259">
        <v>3.5000000000000003E-2</v>
      </c>
      <c r="T68" s="255" t="s">
        <v>359</v>
      </c>
      <c r="U68" s="255">
        <v>2011</v>
      </c>
      <c r="V68" s="256" t="s">
        <v>1429</v>
      </c>
      <c r="W68" s="188" t="s">
        <v>34</v>
      </c>
      <c r="X68" s="184" t="s">
        <v>2027</v>
      </c>
      <c r="Y68" s="270" t="s">
        <v>1954</v>
      </c>
    </row>
    <row r="69" spans="1:25" s="29" customFormat="1" ht="165.6" x14ac:dyDescent="0.3">
      <c r="A69" s="250" t="s">
        <v>1419</v>
      </c>
      <c r="B69" s="251" t="s">
        <v>176</v>
      </c>
      <c r="C69" s="251" t="s">
        <v>176</v>
      </c>
      <c r="D69" s="184" t="s">
        <v>383</v>
      </c>
      <c r="E69" s="253" t="s">
        <v>464</v>
      </c>
      <c r="F69" s="184" t="s">
        <v>2027</v>
      </c>
      <c r="G69" s="214" t="s">
        <v>1438</v>
      </c>
      <c r="H69" s="184" t="s">
        <v>2027</v>
      </c>
      <c r="I69" s="184" t="s">
        <v>1439</v>
      </c>
      <c r="J69" s="63" t="s">
        <v>51</v>
      </c>
      <c r="K69" s="184" t="s">
        <v>397</v>
      </c>
      <c r="L69" s="184" t="s">
        <v>1441</v>
      </c>
      <c r="M69" s="194" t="s">
        <v>2027</v>
      </c>
      <c r="N69" s="184" t="s">
        <v>1440</v>
      </c>
      <c r="O69" s="184" t="s">
        <v>595</v>
      </c>
      <c r="P69" s="187" t="s">
        <v>2027</v>
      </c>
      <c r="Q69" s="187" t="s">
        <v>2027</v>
      </c>
      <c r="R69" s="187" t="s">
        <v>232</v>
      </c>
      <c r="S69" s="187" t="s">
        <v>2027</v>
      </c>
      <c r="T69" s="255" t="s">
        <v>776</v>
      </c>
      <c r="U69" s="255">
        <v>2011</v>
      </c>
      <c r="V69" s="256" t="s">
        <v>1437</v>
      </c>
      <c r="W69" s="188" t="s">
        <v>34</v>
      </c>
      <c r="X69" s="184" t="s">
        <v>2027</v>
      </c>
      <c r="Y69" s="270" t="s">
        <v>1954</v>
      </c>
    </row>
    <row r="70" spans="1:25" s="29" customFormat="1" ht="151.80000000000001" x14ac:dyDescent="0.3">
      <c r="A70" s="250" t="s">
        <v>1443</v>
      </c>
      <c r="B70" s="251" t="s">
        <v>176</v>
      </c>
      <c r="C70" s="251" t="s">
        <v>176</v>
      </c>
      <c r="D70" s="184" t="s">
        <v>383</v>
      </c>
      <c r="E70" s="253" t="s">
        <v>464</v>
      </c>
      <c r="F70" s="184" t="s">
        <v>2027</v>
      </c>
      <c r="G70" s="214" t="s">
        <v>1446</v>
      </c>
      <c r="H70" s="184" t="s">
        <v>2027</v>
      </c>
      <c r="I70" s="184" t="s">
        <v>1448</v>
      </c>
      <c r="J70" s="255" t="s">
        <v>2027</v>
      </c>
      <c r="K70" s="184" t="s">
        <v>2027</v>
      </c>
      <c r="L70" s="184" t="s">
        <v>2027</v>
      </c>
      <c r="M70" s="194" t="s">
        <v>2027</v>
      </c>
      <c r="N70" s="184" t="s">
        <v>1447</v>
      </c>
      <c r="O70" s="184" t="s">
        <v>595</v>
      </c>
      <c r="P70" s="187" t="s">
        <v>2027</v>
      </c>
      <c r="Q70" s="187" t="s">
        <v>2027</v>
      </c>
      <c r="R70" s="184" t="s">
        <v>1444</v>
      </c>
      <c r="S70" s="215">
        <v>0.03</v>
      </c>
      <c r="T70" s="255" t="s">
        <v>1445</v>
      </c>
      <c r="U70" s="255">
        <v>2009</v>
      </c>
      <c r="V70" s="256" t="s">
        <v>1442</v>
      </c>
      <c r="W70" s="188" t="s">
        <v>34</v>
      </c>
      <c r="X70" s="184" t="s">
        <v>2027</v>
      </c>
      <c r="Y70" s="270" t="s">
        <v>1954</v>
      </c>
    </row>
    <row r="71" spans="1:25" s="29" customFormat="1" ht="136.5" customHeight="1" x14ac:dyDescent="0.3">
      <c r="A71" s="250" t="s">
        <v>2386</v>
      </c>
      <c r="B71" s="251" t="s">
        <v>176</v>
      </c>
      <c r="C71" s="251" t="s">
        <v>176</v>
      </c>
      <c r="D71" s="184" t="s">
        <v>2396</v>
      </c>
      <c r="E71" s="253" t="s">
        <v>464</v>
      </c>
      <c r="F71" s="201" t="s">
        <v>2027</v>
      </c>
      <c r="G71" s="214" t="s">
        <v>2406</v>
      </c>
      <c r="H71" s="255" t="s">
        <v>2027</v>
      </c>
      <c r="I71" s="184" t="s">
        <v>2417</v>
      </c>
      <c r="J71" s="63" t="s">
        <v>2067</v>
      </c>
      <c r="K71" s="184" t="s">
        <v>635</v>
      </c>
      <c r="L71" s="184" t="s">
        <v>2397</v>
      </c>
      <c r="M71" s="255" t="s">
        <v>2398</v>
      </c>
      <c r="N71" s="184" t="s">
        <v>2416</v>
      </c>
      <c r="O71" s="184" t="s">
        <v>2399</v>
      </c>
      <c r="P71" s="184" t="s">
        <v>2027</v>
      </c>
      <c r="Q71" s="184" t="s">
        <v>2418</v>
      </c>
      <c r="R71" s="184" t="s">
        <v>206</v>
      </c>
      <c r="S71" s="206" t="s">
        <v>2400</v>
      </c>
      <c r="T71" s="255" t="s">
        <v>2700</v>
      </c>
      <c r="U71" s="255">
        <v>2018</v>
      </c>
      <c r="V71" s="256" t="s">
        <v>2402</v>
      </c>
      <c r="W71" s="188" t="s">
        <v>34</v>
      </c>
      <c r="X71" s="184" t="s">
        <v>2027</v>
      </c>
      <c r="Y71" s="187">
        <v>2019</v>
      </c>
    </row>
    <row r="72" spans="1:25" s="29" customFormat="1" ht="96" customHeight="1" x14ac:dyDescent="0.3">
      <c r="A72" s="250" t="s">
        <v>2387</v>
      </c>
      <c r="B72" s="251" t="s">
        <v>176</v>
      </c>
      <c r="C72" s="251" t="s">
        <v>176</v>
      </c>
      <c r="D72" s="184" t="s">
        <v>2403</v>
      </c>
      <c r="E72" s="253" t="s">
        <v>464</v>
      </c>
      <c r="F72" s="201" t="s">
        <v>2027</v>
      </c>
      <c r="G72" s="214" t="s">
        <v>2406</v>
      </c>
      <c r="H72" s="255" t="s">
        <v>2027</v>
      </c>
      <c r="I72" s="184" t="s">
        <v>2407</v>
      </c>
      <c r="J72" s="63" t="s">
        <v>2067</v>
      </c>
      <c r="K72" s="184" t="s">
        <v>635</v>
      </c>
      <c r="L72" s="184" t="s">
        <v>2397</v>
      </c>
      <c r="M72" s="255" t="s">
        <v>2398</v>
      </c>
      <c r="N72" s="184" t="s">
        <v>2416</v>
      </c>
      <c r="O72" s="184" t="s">
        <v>2399</v>
      </c>
      <c r="P72" s="184" t="s">
        <v>2027</v>
      </c>
      <c r="Q72" s="184" t="s">
        <v>2418</v>
      </c>
      <c r="R72" s="184" t="s">
        <v>206</v>
      </c>
      <c r="S72" s="206" t="s">
        <v>2400</v>
      </c>
      <c r="T72" s="255" t="s">
        <v>2700</v>
      </c>
      <c r="U72" s="255">
        <v>2018</v>
      </c>
      <c r="V72" s="256" t="s">
        <v>2402</v>
      </c>
      <c r="W72" s="188" t="s">
        <v>34</v>
      </c>
      <c r="X72" s="184" t="s">
        <v>2027</v>
      </c>
      <c r="Y72" s="187">
        <v>2019</v>
      </c>
    </row>
    <row r="73" spans="1:25" s="29" customFormat="1" ht="107.25" customHeight="1" x14ac:dyDescent="0.3">
      <c r="A73" s="250" t="s">
        <v>2388</v>
      </c>
      <c r="B73" s="251" t="s">
        <v>176</v>
      </c>
      <c r="C73" s="251" t="s">
        <v>176</v>
      </c>
      <c r="D73" s="184" t="s">
        <v>2405</v>
      </c>
      <c r="E73" s="253" t="s">
        <v>464</v>
      </c>
      <c r="F73" s="201" t="s">
        <v>2027</v>
      </c>
      <c r="G73" s="214" t="s">
        <v>328</v>
      </c>
      <c r="H73" s="255" t="s">
        <v>2027</v>
      </c>
      <c r="I73" s="184" t="s">
        <v>2408</v>
      </c>
      <c r="J73" s="63" t="s">
        <v>2067</v>
      </c>
      <c r="K73" s="184" t="s">
        <v>635</v>
      </c>
      <c r="L73" s="184" t="s">
        <v>2397</v>
      </c>
      <c r="M73" s="255" t="s">
        <v>2398</v>
      </c>
      <c r="N73" s="184" t="s">
        <v>2416</v>
      </c>
      <c r="O73" s="184" t="s">
        <v>2399</v>
      </c>
      <c r="P73" s="184" t="s">
        <v>2027</v>
      </c>
      <c r="Q73" s="184" t="s">
        <v>2418</v>
      </c>
      <c r="R73" s="184" t="s">
        <v>206</v>
      </c>
      <c r="S73" s="206" t="s">
        <v>2400</v>
      </c>
      <c r="T73" s="255" t="s">
        <v>2700</v>
      </c>
      <c r="U73" s="255">
        <v>2018</v>
      </c>
      <c r="V73" s="256" t="s">
        <v>2402</v>
      </c>
      <c r="W73" s="188" t="s">
        <v>34</v>
      </c>
      <c r="X73" s="184" t="s">
        <v>2027</v>
      </c>
      <c r="Y73" s="187">
        <v>2019</v>
      </c>
    </row>
    <row r="74" spans="1:25" s="29" customFormat="1" ht="126" customHeight="1" x14ac:dyDescent="0.3">
      <c r="A74" s="250" t="s">
        <v>2389</v>
      </c>
      <c r="B74" s="251" t="s">
        <v>176</v>
      </c>
      <c r="C74" s="251" t="s">
        <v>176</v>
      </c>
      <c r="D74" s="184" t="s">
        <v>2404</v>
      </c>
      <c r="E74" s="253" t="s">
        <v>464</v>
      </c>
      <c r="F74" s="201" t="s">
        <v>2027</v>
      </c>
      <c r="G74" s="214" t="s">
        <v>2406</v>
      </c>
      <c r="H74" s="255" t="s">
        <v>2027</v>
      </c>
      <c r="I74" s="184" t="s">
        <v>2409</v>
      </c>
      <c r="J74" s="63" t="s">
        <v>2067</v>
      </c>
      <c r="K74" s="184" t="s">
        <v>635</v>
      </c>
      <c r="L74" s="184" t="s">
        <v>2397</v>
      </c>
      <c r="M74" s="255" t="s">
        <v>2398</v>
      </c>
      <c r="N74" s="184" t="s">
        <v>2416</v>
      </c>
      <c r="O74" s="184" t="s">
        <v>2399</v>
      </c>
      <c r="P74" s="184" t="s">
        <v>2027</v>
      </c>
      <c r="Q74" s="184" t="s">
        <v>2418</v>
      </c>
      <c r="R74" s="184" t="s">
        <v>206</v>
      </c>
      <c r="S74" s="206" t="s">
        <v>2400</v>
      </c>
      <c r="T74" s="255" t="s">
        <v>2700</v>
      </c>
      <c r="U74" s="255">
        <v>2018</v>
      </c>
      <c r="V74" s="256" t="s">
        <v>2402</v>
      </c>
      <c r="W74" s="188" t="s">
        <v>34</v>
      </c>
      <c r="X74" s="184" t="s">
        <v>2027</v>
      </c>
      <c r="Y74" s="187">
        <v>2019</v>
      </c>
    </row>
    <row r="75" spans="1:25" s="29" customFormat="1" ht="120.75" customHeight="1" x14ac:dyDescent="0.3">
      <c r="A75" s="250" t="s">
        <v>2390</v>
      </c>
      <c r="B75" s="251" t="s">
        <v>176</v>
      </c>
      <c r="C75" s="251" t="s">
        <v>176</v>
      </c>
      <c r="D75" s="184" t="s">
        <v>2464</v>
      </c>
      <c r="E75" s="253" t="s">
        <v>464</v>
      </c>
      <c r="F75" s="201" t="s">
        <v>2027</v>
      </c>
      <c r="G75" s="214" t="s">
        <v>2406</v>
      </c>
      <c r="H75" s="255" t="s">
        <v>2027</v>
      </c>
      <c r="I75" s="184" t="s">
        <v>2410</v>
      </c>
      <c r="J75" s="63" t="s">
        <v>2067</v>
      </c>
      <c r="K75" s="184" t="s">
        <v>635</v>
      </c>
      <c r="L75" s="184" t="s">
        <v>2397</v>
      </c>
      <c r="M75" s="255" t="s">
        <v>2398</v>
      </c>
      <c r="N75" s="184" t="s">
        <v>2416</v>
      </c>
      <c r="O75" s="184" t="s">
        <v>2399</v>
      </c>
      <c r="P75" s="184" t="s">
        <v>2027</v>
      </c>
      <c r="Q75" s="184" t="s">
        <v>2418</v>
      </c>
      <c r="R75" s="184" t="s">
        <v>206</v>
      </c>
      <c r="S75" s="206" t="s">
        <v>2400</v>
      </c>
      <c r="T75" s="255" t="s">
        <v>2700</v>
      </c>
      <c r="U75" s="255">
        <v>2018</v>
      </c>
      <c r="V75" s="256" t="s">
        <v>2402</v>
      </c>
      <c r="W75" s="188" t="s">
        <v>34</v>
      </c>
      <c r="X75" s="184" t="s">
        <v>2027</v>
      </c>
      <c r="Y75" s="187">
        <v>2019</v>
      </c>
    </row>
    <row r="76" spans="1:25" s="29" customFormat="1" ht="114" customHeight="1" x14ac:dyDescent="0.3">
      <c r="A76" s="250" t="s">
        <v>2391</v>
      </c>
      <c r="B76" s="251" t="s">
        <v>176</v>
      </c>
      <c r="C76" s="251" t="s">
        <v>176</v>
      </c>
      <c r="D76" s="184" t="s">
        <v>2465</v>
      </c>
      <c r="E76" s="253" t="s">
        <v>464</v>
      </c>
      <c r="F76" s="201" t="s">
        <v>2027</v>
      </c>
      <c r="G76" s="214" t="s">
        <v>2406</v>
      </c>
      <c r="H76" s="255" t="s">
        <v>2027</v>
      </c>
      <c r="I76" s="184" t="s">
        <v>2411</v>
      </c>
      <c r="J76" s="63" t="s">
        <v>2067</v>
      </c>
      <c r="K76" s="184" t="s">
        <v>635</v>
      </c>
      <c r="L76" s="184" t="s">
        <v>2397</v>
      </c>
      <c r="M76" s="255" t="s">
        <v>2398</v>
      </c>
      <c r="N76" s="184" t="s">
        <v>2416</v>
      </c>
      <c r="O76" s="184" t="s">
        <v>2399</v>
      </c>
      <c r="P76" s="184" t="s">
        <v>2027</v>
      </c>
      <c r="Q76" s="184" t="s">
        <v>2418</v>
      </c>
      <c r="R76" s="184" t="s">
        <v>206</v>
      </c>
      <c r="S76" s="206" t="s">
        <v>2400</v>
      </c>
      <c r="T76" s="255" t="s">
        <v>2700</v>
      </c>
      <c r="U76" s="255">
        <v>2018</v>
      </c>
      <c r="V76" s="256" t="s">
        <v>2402</v>
      </c>
      <c r="W76" s="188" t="s">
        <v>34</v>
      </c>
      <c r="X76" s="184" t="s">
        <v>2027</v>
      </c>
      <c r="Y76" s="187">
        <v>2019</v>
      </c>
    </row>
    <row r="77" spans="1:25" s="29" customFormat="1" ht="158.25" customHeight="1" x14ac:dyDescent="0.3">
      <c r="A77" s="250" t="s">
        <v>2392</v>
      </c>
      <c r="B77" s="251" t="s">
        <v>176</v>
      </c>
      <c r="C77" s="251" t="s">
        <v>176</v>
      </c>
      <c r="D77" s="184" t="s">
        <v>2466</v>
      </c>
      <c r="E77" s="253" t="s">
        <v>464</v>
      </c>
      <c r="F77" s="201" t="s">
        <v>2027</v>
      </c>
      <c r="G77" s="214" t="s">
        <v>2406</v>
      </c>
      <c r="H77" s="255" t="s">
        <v>2027</v>
      </c>
      <c r="I77" s="184" t="s">
        <v>2412</v>
      </c>
      <c r="J77" s="63" t="s">
        <v>2067</v>
      </c>
      <c r="K77" s="184" t="s">
        <v>635</v>
      </c>
      <c r="L77" s="184" t="s">
        <v>2397</v>
      </c>
      <c r="M77" s="255" t="s">
        <v>2398</v>
      </c>
      <c r="N77" s="184" t="s">
        <v>2416</v>
      </c>
      <c r="O77" s="184" t="s">
        <v>2399</v>
      </c>
      <c r="P77" s="184" t="s">
        <v>2027</v>
      </c>
      <c r="Q77" s="184" t="s">
        <v>2418</v>
      </c>
      <c r="R77" s="184" t="s">
        <v>206</v>
      </c>
      <c r="S77" s="206" t="s">
        <v>2400</v>
      </c>
      <c r="T77" s="255" t="s">
        <v>2700</v>
      </c>
      <c r="U77" s="255">
        <v>2018</v>
      </c>
      <c r="V77" s="256" t="s">
        <v>2402</v>
      </c>
      <c r="W77" s="188" t="s">
        <v>34</v>
      </c>
      <c r="X77" s="184" t="s">
        <v>2027</v>
      </c>
      <c r="Y77" s="187">
        <v>2019</v>
      </c>
    </row>
    <row r="78" spans="1:25" s="29" customFormat="1" ht="102.75" customHeight="1" x14ac:dyDescent="0.3">
      <c r="A78" s="250" t="s">
        <v>2393</v>
      </c>
      <c r="B78" s="251" t="s">
        <v>176</v>
      </c>
      <c r="C78" s="251" t="s">
        <v>176</v>
      </c>
      <c r="D78" s="184" t="s">
        <v>2469</v>
      </c>
      <c r="E78" s="253" t="s">
        <v>464</v>
      </c>
      <c r="F78" s="201" t="s">
        <v>2027</v>
      </c>
      <c r="G78" s="214" t="s">
        <v>2406</v>
      </c>
      <c r="H78" s="255" t="s">
        <v>2027</v>
      </c>
      <c r="I78" s="184" t="s">
        <v>2413</v>
      </c>
      <c r="J78" s="63" t="s">
        <v>2067</v>
      </c>
      <c r="K78" s="184" t="s">
        <v>635</v>
      </c>
      <c r="L78" s="184" t="s">
        <v>2397</v>
      </c>
      <c r="M78" s="255" t="s">
        <v>2398</v>
      </c>
      <c r="N78" s="184" t="s">
        <v>2416</v>
      </c>
      <c r="O78" s="184" t="s">
        <v>2399</v>
      </c>
      <c r="P78" s="184" t="s">
        <v>2027</v>
      </c>
      <c r="Q78" s="184" t="s">
        <v>2418</v>
      </c>
      <c r="R78" s="184" t="s">
        <v>206</v>
      </c>
      <c r="S78" s="206" t="s">
        <v>2400</v>
      </c>
      <c r="T78" s="255" t="s">
        <v>2700</v>
      </c>
      <c r="U78" s="255">
        <v>2018</v>
      </c>
      <c r="V78" s="256" t="s">
        <v>2402</v>
      </c>
      <c r="W78" s="188" t="s">
        <v>34</v>
      </c>
      <c r="X78" s="184" t="s">
        <v>2027</v>
      </c>
      <c r="Y78" s="187">
        <v>2019</v>
      </c>
    </row>
    <row r="79" spans="1:25" s="29" customFormat="1" ht="103.5" customHeight="1" x14ac:dyDescent="0.3">
      <c r="A79" s="250" t="s">
        <v>2394</v>
      </c>
      <c r="B79" s="251" t="s">
        <v>176</v>
      </c>
      <c r="C79" s="251" t="s">
        <v>176</v>
      </c>
      <c r="D79" s="184" t="s">
        <v>2467</v>
      </c>
      <c r="E79" s="253" t="s">
        <v>464</v>
      </c>
      <c r="F79" s="201" t="s">
        <v>2027</v>
      </c>
      <c r="G79" s="214" t="s">
        <v>2406</v>
      </c>
      <c r="H79" s="255" t="s">
        <v>2027</v>
      </c>
      <c r="I79" s="184" t="s">
        <v>2414</v>
      </c>
      <c r="J79" s="63" t="s">
        <v>2067</v>
      </c>
      <c r="K79" s="184" t="s">
        <v>635</v>
      </c>
      <c r="L79" s="184" t="s">
        <v>2397</v>
      </c>
      <c r="M79" s="255" t="s">
        <v>2398</v>
      </c>
      <c r="N79" s="184" t="s">
        <v>2416</v>
      </c>
      <c r="O79" s="184" t="s">
        <v>2399</v>
      </c>
      <c r="P79" s="184" t="s">
        <v>2027</v>
      </c>
      <c r="Q79" s="184" t="s">
        <v>2418</v>
      </c>
      <c r="R79" s="184" t="s">
        <v>206</v>
      </c>
      <c r="S79" s="206" t="s">
        <v>2400</v>
      </c>
      <c r="T79" s="255" t="s">
        <v>2700</v>
      </c>
      <c r="U79" s="255">
        <v>2018</v>
      </c>
      <c r="V79" s="256" t="s">
        <v>2402</v>
      </c>
      <c r="W79" s="188" t="s">
        <v>34</v>
      </c>
      <c r="X79" s="184" t="s">
        <v>2027</v>
      </c>
      <c r="Y79" s="187">
        <v>2019</v>
      </c>
    </row>
    <row r="80" spans="1:25" s="29" customFormat="1" ht="103.5" customHeight="1" x14ac:dyDescent="0.3">
      <c r="A80" s="250" t="s">
        <v>2395</v>
      </c>
      <c r="B80" s="251" t="s">
        <v>176</v>
      </c>
      <c r="C80" s="251" t="s">
        <v>176</v>
      </c>
      <c r="D80" s="184" t="s">
        <v>2468</v>
      </c>
      <c r="E80" s="253" t="s">
        <v>464</v>
      </c>
      <c r="F80" s="201" t="s">
        <v>2027</v>
      </c>
      <c r="G80" s="214" t="s">
        <v>2406</v>
      </c>
      <c r="H80" s="255" t="s">
        <v>2027</v>
      </c>
      <c r="I80" s="184" t="s">
        <v>2415</v>
      </c>
      <c r="J80" s="63" t="s">
        <v>2067</v>
      </c>
      <c r="K80" s="184" t="s">
        <v>635</v>
      </c>
      <c r="L80" s="184" t="s">
        <v>2397</v>
      </c>
      <c r="M80" s="255" t="s">
        <v>2398</v>
      </c>
      <c r="N80" s="184" t="s">
        <v>2416</v>
      </c>
      <c r="O80" s="184" t="s">
        <v>2399</v>
      </c>
      <c r="P80" s="184" t="s">
        <v>2027</v>
      </c>
      <c r="Q80" s="184" t="s">
        <v>2418</v>
      </c>
      <c r="R80" s="184" t="s">
        <v>206</v>
      </c>
      <c r="S80" s="206" t="s">
        <v>2400</v>
      </c>
      <c r="T80" s="255" t="s">
        <v>2700</v>
      </c>
      <c r="U80" s="255">
        <v>2018</v>
      </c>
      <c r="V80" s="256" t="s">
        <v>2402</v>
      </c>
      <c r="W80" s="188" t="s">
        <v>34</v>
      </c>
      <c r="X80" s="184" t="s">
        <v>2027</v>
      </c>
      <c r="Y80" s="187">
        <v>2019</v>
      </c>
    </row>
    <row r="81" spans="1:25" s="29" customFormat="1" ht="189.75" customHeight="1" x14ac:dyDescent="0.3">
      <c r="A81" s="250" t="s">
        <v>2423</v>
      </c>
      <c r="B81" s="251" t="s">
        <v>176</v>
      </c>
      <c r="C81" s="251" t="s">
        <v>176</v>
      </c>
      <c r="D81" s="184" t="s">
        <v>2590</v>
      </c>
      <c r="E81" s="253" t="s">
        <v>464</v>
      </c>
      <c r="F81" s="201" t="s">
        <v>2027</v>
      </c>
      <c r="G81" s="257" t="s">
        <v>2027</v>
      </c>
      <c r="H81" s="208" t="s">
        <v>2591</v>
      </c>
      <c r="I81" s="184" t="s">
        <v>2420</v>
      </c>
      <c r="J81" s="63" t="s">
        <v>2067</v>
      </c>
      <c r="K81" s="184" t="s">
        <v>2419</v>
      </c>
      <c r="L81" s="184" t="s">
        <v>2421</v>
      </c>
      <c r="M81" s="255" t="s">
        <v>2422</v>
      </c>
      <c r="N81" s="184" t="s">
        <v>2713</v>
      </c>
      <c r="O81" s="184" t="s">
        <v>23</v>
      </c>
      <c r="P81" s="184" t="s">
        <v>619</v>
      </c>
      <c r="Q81" s="184" t="s">
        <v>560</v>
      </c>
      <c r="R81" s="184" t="s">
        <v>35</v>
      </c>
      <c r="S81" s="206" t="s">
        <v>2424</v>
      </c>
      <c r="T81" s="255" t="s">
        <v>32</v>
      </c>
      <c r="U81" s="255">
        <v>2015</v>
      </c>
      <c r="V81" s="256" t="s">
        <v>2425</v>
      </c>
      <c r="W81" s="188" t="s">
        <v>1943</v>
      </c>
      <c r="X81" s="184" t="s">
        <v>2027</v>
      </c>
      <c r="Y81" s="187">
        <v>2019</v>
      </c>
    </row>
    <row r="82" spans="1:25" ht="110.4" x14ac:dyDescent="0.3">
      <c r="A82" s="250" t="s">
        <v>2475</v>
      </c>
      <c r="B82" s="251" t="s">
        <v>2476</v>
      </c>
      <c r="C82" s="202" t="s">
        <v>2477</v>
      </c>
      <c r="D82" s="184" t="s">
        <v>2478</v>
      </c>
      <c r="E82" s="253" t="s">
        <v>464</v>
      </c>
      <c r="F82" s="254">
        <v>1.06</v>
      </c>
      <c r="G82" s="257" t="s">
        <v>2027</v>
      </c>
      <c r="H82" s="255" t="s">
        <v>2027</v>
      </c>
      <c r="I82" s="254" t="s">
        <v>2479</v>
      </c>
      <c r="J82" s="184" t="s">
        <v>58</v>
      </c>
      <c r="K82" s="254" t="s">
        <v>2480</v>
      </c>
      <c r="L82" s="254" t="s">
        <v>2481</v>
      </c>
      <c r="M82" s="254" t="s">
        <v>2254</v>
      </c>
      <c r="N82" s="254" t="s">
        <v>2482</v>
      </c>
      <c r="O82" s="254" t="s">
        <v>280</v>
      </c>
      <c r="P82" s="184" t="s">
        <v>2027</v>
      </c>
      <c r="Q82" s="255" t="s">
        <v>2483</v>
      </c>
      <c r="R82" s="187" t="s">
        <v>206</v>
      </c>
      <c r="S82" s="190">
        <v>0.05</v>
      </c>
      <c r="T82" s="255" t="s">
        <v>300</v>
      </c>
      <c r="U82" s="184">
        <v>2003</v>
      </c>
      <c r="V82" s="256" t="s">
        <v>2484</v>
      </c>
      <c r="W82" s="261" t="s">
        <v>2210</v>
      </c>
      <c r="X82" s="184" t="s">
        <v>2027</v>
      </c>
      <c r="Y82" s="187">
        <v>2019</v>
      </c>
    </row>
    <row r="83" spans="1:25" ht="124.2" x14ac:dyDescent="0.3">
      <c r="A83" s="250" t="s">
        <v>2488</v>
      </c>
      <c r="B83" s="251" t="s">
        <v>2476</v>
      </c>
      <c r="C83" s="202" t="s">
        <v>2477</v>
      </c>
      <c r="D83" s="184" t="s">
        <v>2485</v>
      </c>
      <c r="E83" s="253" t="s">
        <v>464</v>
      </c>
      <c r="F83" s="184">
        <v>167</v>
      </c>
      <c r="G83" s="257" t="s">
        <v>2027</v>
      </c>
      <c r="H83" s="255" t="s">
        <v>2027</v>
      </c>
      <c r="I83" s="184" t="s">
        <v>2694</v>
      </c>
      <c r="J83" s="184" t="s">
        <v>58</v>
      </c>
      <c r="K83" s="184" t="s">
        <v>2480</v>
      </c>
      <c r="L83" s="184" t="s">
        <v>642</v>
      </c>
      <c r="M83" s="184" t="s">
        <v>2254</v>
      </c>
      <c r="N83" s="184" t="s">
        <v>2486</v>
      </c>
      <c r="O83" s="184" t="s">
        <v>2487</v>
      </c>
      <c r="P83" s="184" t="s">
        <v>2027</v>
      </c>
      <c r="Q83" s="255" t="s">
        <v>2276</v>
      </c>
      <c r="R83" s="187" t="s">
        <v>206</v>
      </c>
      <c r="S83" s="190">
        <v>0.05</v>
      </c>
      <c r="T83" s="255" t="s">
        <v>300</v>
      </c>
      <c r="U83" s="184">
        <v>2003</v>
      </c>
      <c r="V83" s="256" t="s">
        <v>2484</v>
      </c>
      <c r="W83" s="261" t="s">
        <v>2210</v>
      </c>
      <c r="X83" s="184" t="s">
        <v>2027</v>
      </c>
      <c r="Y83" s="187">
        <v>2019</v>
      </c>
    </row>
    <row r="84" spans="1:25" ht="165.6" x14ac:dyDescent="0.3">
      <c r="A84" s="250" t="s">
        <v>2489</v>
      </c>
      <c r="B84" s="251" t="s">
        <v>176</v>
      </c>
      <c r="C84" s="202" t="s">
        <v>176</v>
      </c>
      <c r="D84" s="184" t="s">
        <v>2490</v>
      </c>
      <c r="E84" s="253" t="s">
        <v>464</v>
      </c>
      <c r="F84" s="184" t="s">
        <v>2693</v>
      </c>
      <c r="G84" s="257" t="s">
        <v>2027</v>
      </c>
      <c r="H84" s="255" t="s">
        <v>2027</v>
      </c>
      <c r="I84" s="184" t="s">
        <v>2491</v>
      </c>
      <c r="J84" s="184" t="s">
        <v>58</v>
      </c>
      <c r="K84" s="184" t="s">
        <v>2252</v>
      </c>
      <c r="L84" s="184" t="s">
        <v>2492</v>
      </c>
      <c r="M84" s="184" t="s">
        <v>2493</v>
      </c>
      <c r="N84" s="184" t="s">
        <v>2494</v>
      </c>
      <c r="O84" s="184" t="s">
        <v>245</v>
      </c>
      <c r="P84" s="184" t="s">
        <v>2027</v>
      </c>
      <c r="Q84" s="255" t="s">
        <v>2495</v>
      </c>
      <c r="R84" s="187" t="s">
        <v>2496</v>
      </c>
      <c r="S84" s="190">
        <v>0.03</v>
      </c>
      <c r="T84" s="255" t="s">
        <v>776</v>
      </c>
      <c r="U84" s="184">
        <v>2013</v>
      </c>
      <c r="V84" s="256" t="s">
        <v>2497</v>
      </c>
      <c r="W84" s="261" t="s">
        <v>2210</v>
      </c>
      <c r="X84" s="184" t="s">
        <v>2027</v>
      </c>
      <c r="Y84" s="187">
        <v>2019</v>
      </c>
    </row>
    <row r="85" spans="1:25" ht="138" x14ac:dyDescent="0.3">
      <c r="A85" s="250" t="s">
        <v>2543</v>
      </c>
      <c r="B85" s="265" t="s">
        <v>176</v>
      </c>
      <c r="C85" s="266" t="s">
        <v>176</v>
      </c>
      <c r="D85" s="255" t="s">
        <v>2536</v>
      </c>
      <c r="E85" s="253" t="s">
        <v>464</v>
      </c>
      <c r="F85" s="201" t="s">
        <v>2027</v>
      </c>
      <c r="G85" s="257" t="s">
        <v>2027</v>
      </c>
      <c r="H85" s="255" t="s">
        <v>2537</v>
      </c>
      <c r="I85" s="255" t="s">
        <v>2538</v>
      </c>
      <c r="J85" s="184" t="s">
        <v>58</v>
      </c>
      <c r="K85" s="255" t="s">
        <v>2252</v>
      </c>
      <c r="L85" s="184" t="s">
        <v>2539</v>
      </c>
      <c r="M85" s="184" t="s">
        <v>2254</v>
      </c>
      <c r="N85" s="255" t="s">
        <v>2756</v>
      </c>
      <c r="O85" s="184" t="s">
        <v>52</v>
      </c>
      <c r="P85" s="184" t="s">
        <v>2027</v>
      </c>
      <c r="Q85" s="255" t="s">
        <v>2540</v>
      </c>
      <c r="R85" s="258" t="s">
        <v>173</v>
      </c>
      <c r="S85" s="259">
        <v>0.03</v>
      </c>
      <c r="T85" s="255" t="s">
        <v>2541</v>
      </c>
      <c r="U85" s="255">
        <v>2001</v>
      </c>
      <c r="V85" s="201" t="s">
        <v>2542</v>
      </c>
      <c r="W85" s="261" t="s">
        <v>2210</v>
      </c>
      <c r="X85" s="184" t="s">
        <v>2027</v>
      </c>
      <c r="Y85" s="187">
        <v>2019</v>
      </c>
    </row>
    <row r="86" spans="1:25" ht="138" x14ac:dyDescent="0.3">
      <c r="A86" s="250" t="s">
        <v>2572</v>
      </c>
      <c r="B86" s="265" t="s">
        <v>176</v>
      </c>
      <c r="C86" s="266" t="s">
        <v>176</v>
      </c>
      <c r="D86" s="255" t="s">
        <v>2536</v>
      </c>
      <c r="E86" s="253" t="s">
        <v>464</v>
      </c>
      <c r="F86" s="201" t="s">
        <v>2027</v>
      </c>
      <c r="G86" s="257" t="s">
        <v>2027</v>
      </c>
      <c r="H86" s="255" t="s">
        <v>2537</v>
      </c>
      <c r="I86" s="255" t="s">
        <v>2538</v>
      </c>
      <c r="J86" s="184" t="s">
        <v>58</v>
      </c>
      <c r="K86" s="255" t="s">
        <v>2252</v>
      </c>
      <c r="L86" s="184" t="s">
        <v>2539</v>
      </c>
      <c r="M86" s="184" t="s">
        <v>2254</v>
      </c>
      <c r="N86" s="255" t="s">
        <v>2756</v>
      </c>
      <c r="O86" s="184" t="s">
        <v>52</v>
      </c>
      <c r="P86" s="184" t="s">
        <v>2027</v>
      </c>
      <c r="Q86" s="255" t="s">
        <v>2540</v>
      </c>
      <c r="R86" s="258" t="s">
        <v>173</v>
      </c>
      <c r="S86" s="259">
        <v>0.03</v>
      </c>
      <c r="T86" s="255" t="s">
        <v>2541</v>
      </c>
      <c r="U86" s="255">
        <v>2001</v>
      </c>
      <c r="V86" s="201" t="s">
        <v>2542</v>
      </c>
      <c r="W86" s="261" t="s">
        <v>2210</v>
      </c>
      <c r="X86" s="184" t="s">
        <v>2027</v>
      </c>
      <c r="Y86" s="187">
        <v>2019</v>
      </c>
    </row>
    <row r="87" spans="1:25" ht="276" x14ac:dyDescent="0.3">
      <c r="A87" s="250" t="s">
        <v>2589</v>
      </c>
      <c r="B87" s="251" t="s">
        <v>176</v>
      </c>
      <c r="C87" s="251" t="s">
        <v>176</v>
      </c>
      <c r="D87" s="184" t="s">
        <v>2585</v>
      </c>
      <c r="E87" s="253" t="s">
        <v>464</v>
      </c>
      <c r="F87" s="184">
        <v>5.4</v>
      </c>
      <c r="G87" s="257" t="s">
        <v>2027</v>
      </c>
      <c r="H87" s="255" t="s">
        <v>2027</v>
      </c>
      <c r="I87" s="184" t="s">
        <v>2690</v>
      </c>
      <c r="J87" s="184" t="s">
        <v>2586</v>
      </c>
      <c r="K87" s="184" t="s">
        <v>2252</v>
      </c>
      <c r="L87" s="184" t="s">
        <v>2587</v>
      </c>
      <c r="M87" s="184" t="s">
        <v>2254</v>
      </c>
      <c r="N87" s="255" t="s">
        <v>2701</v>
      </c>
      <c r="O87" s="184" t="s">
        <v>133</v>
      </c>
      <c r="P87" s="184" t="s">
        <v>2027</v>
      </c>
      <c r="Q87" s="255" t="s">
        <v>2276</v>
      </c>
      <c r="R87" s="187" t="s">
        <v>173</v>
      </c>
      <c r="S87" s="190">
        <v>0.03</v>
      </c>
      <c r="T87" s="255" t="s">
        <v>2588</v>
      </c>
      <c r="U87" s="184">
        <v>2002</v>
      </c>
      <c r="V87" s="256" t="s">
        <v>2702</v>
      </c>
      <c r="W87" s="261" t="s">
        <v>2210</v>
      </c>
      <c r="X87" s="184" t="s">
        <v>2027</v>
      </c>
      <c r="Y87" s="187">
        <v>2019</v>
      </c>
    </row>
    <row r="88" spans="1:25" s="27" customFormat="1" ht="276" x14ac:dyDescent="0.3">
      <c r="A88" s="250" t="s">
        <v>1075</v>
      </c>
      <c r="B88" s="251" t="s">
        <v>724</v>
      </c>
      <c r="C88" s="251" t="s">
        <v>911</v>
      </c>
      <c r="D88" s="63" t="s">
        <v>654</v>
      </c>
      <c r="E88" s="253" t="s">
        <v>464</v>
      </c>
      <c r="F88" s="184" t="s">
        <v>2027</v>
      </c>
      <c r="G88" s="82">
        <v>878</v>
      </c>
      <c r="H88" s="184" t="s">
        <v>2027</v>
      </c>
      <c r="I88" s="63" t="s">
        <v>1342</v>
      </c>
      <c r="J88" s="63" t="s">
        <v>51</v>
      </c>
      <c r="K88" s="63" t="s">
        <v>635</v>
      </c>
      <c r="L88" s="63" t="s">
        <v>652</v>
      </c>
      <c r="M88" s="63" t="s">
        <v>26</v>
      </c>
      <c r="N88" s="63" t="s">
        <v>1814</v>
      </c>
      <c r="O88" s="63" t="s">
        <v>133</v>
      </c>
      <c r="P88" s="187" t="s">
        <v>2027</v>
      </c>
      <c r="Q88" s="63" t="s">
        <v>596</v>
      </c>
      <c r="R88" s="63" t="s">
        <v>35</v>
      </c>
      <c r="S88" s="65">
        <v>3.5000000000000003E-2</v>
      </c>
      <c r="T88" s="64" t="s">
        <v>32</v>
      </c>
      <c r="U88" s="63">
        <v>2010</v>
      </c>
      <c r="V88" s="63" t="s">
        <v>1183</v>
      </c>
      <c r="W88" s="271" t="s">
        <v>34</v>
      </c>
      <c r="X88" s="220" t="s">
        <v>1400</v>
      </c>
      <c r="Y88" s="270" t="s">
        <v>1954</v>
      </c>
    </row>
    <row r="89" spans="1:25" s="27" customFormat="1" ht="276" x14ac:dyDescent="0.3">
      <c r="A89" s="250" t="s">
        <v>1076</v>
      </c>
      <c r="B89" s="251" t="s">
        <v>724</v>
      </c>
      <c r="C89" s="251" t="s">
        <v>911</v>
      </c>
      <c r="D89" s="63" t="s">
        <v>656</v>
      </c>
      <c r="E89" s="253" t="s">
        <v>464</v>
      </c>
      <c r="F89" s="184" t="s">
        <v>2027</v>
      </c>
      <c r="G89" s="63" t="s">
        <v>255</v>
      </c>
      <c r="H89" s="184" t="s">
        <v>2027</v>
      </c>
      <c r="I89" s="63" t="s">
        <v>1343</v>
      </c>
      <c r="J89" s="63" t="s">
        <v>51</v>
      </c>
      <c r="K89" s="63" t="s">
        <v>734</v>
      </c>
      <c r="L89" s="63" t="s">
        <v>652</v>
      </c>
      <c r="M89" s="63" t="s">
        <v>26</v>
      </c>
      <c r="N89" s="63" t="s">
        <v>1815</v>
      </c>
      <c r="O89" s="63" t="s">
        <v>133</v>
      </c>
      <c r="P89" s="187" t="s">
        <v>2027</v>
      </c>
      <c r="Q89" s="63" t="s">
        <v>596</v>
      </c>
      <c r="R89" s="63" t="s">
        <v>35</v>
      </c>
      <c r="S89" s="65">
        <v>3.5000000000000003E-2</v>
      </c>
      <c r="T89" s="64" t="s">
        <v>32</v>
      </c>
      <c r="U89" s="63">
        <v>2010</v>
      </c>
      <c r="V89" s="63" t="s">
        <v>1183</v>
      </c>
      <c r="W89" s="271" t="s">
        <v>34</v>
      </c>
      <c r="X89" s="220" t="s">
        <v>1400</v>
      </c>
      <c r="Y89" s="270" t="s">
        <v>1954</v>
      </c>
    </row>
    <row r="90" spans="1:25" s="27" customFormat="1" ht="276" x14ac:dyDescent="0.3">
      <c r="A90" s="250" t="s">
        <v>598</v>
      </c>
      <c r="B90" s="251" t="s">
        <v>724</v>
      </c>
      <c r="C90" s="251" t="s">
        <v>911</v>
      </c>
      <c r="D90" s="63" t="s">
        <v>658</v>
      </c>
      <c r="E90" s="253" t="s">
        <v>464</v>
      </c>
      <c r="F90" s="184" t="s">
        <v>2027</v>
      </c>
      <c r="G90" s="63" t="s">
        <v>255</v>
      </c>
      <c r="H90" s="184" t="s">
        <v>2027</v>
      </c>
      <c r="I90" s="63" t="s">
        <v>1415</v>
      </c>
      <c r="J90" s="63" t="s">
        <v>51</v>
      </c>
      <c r="K90" s="63" t="s">
        <v>734</v>
      </c>
      <c r="L90" s="63" t="s">
        <v>652</v>
      </c>
      <c r="M90" s="63" t="s">
        <v>26</v>
      </c>
      <c r="N90" s="63" t="s">
        <v>1816</v>
      </c>
      <c r="O90" s="63" t="s">
        <v>133</v>
      </c>
      <c r="P90" s="187" t="s">
        <v>2027</v>
      </c>
      <c r="Q90" s="63" t="s">
        <v>596</v>
      </c>
      <c r="R90" s="63" t="s">
        <v>35</v>
      </c>
      <c r="S90" s="65">
        <v>3.5000000000000003E-2</v>
      </c>
      <c r="T90" s="64" t="s">
        <v>32</v>
      </c>
      <c r="U90" s="63">
        <v>2010</v>
      </c>
      <c r="V90" s="63" t="s">
        <v>1183</v>
      </c>
      <c r="W90" s="271" t="s">
        <v>34</v>
      </c>
      <c r="X90" s="220" t="s">
        <v>1400</v>
      </c>
      <c r="Y90" s="270" t="s">
        <v>1954</v>
      </c>
    </row>
    <row r="91" spans="1:25" s="27" customFormat="1" ht="165.6" x14ac:dyDescent="0.3">
      <c r="A91" s="250" t="s">
        <v>599</v>
      </c>
      <c r="B91" s="251" t="s">
        <v>724</v>
      </c>
      <c r="C91" s="251" t="s">
        <v>912</v>
      </c>
      <c r="D91" s="199" t="s">
        <v>861</v>
      </c>
      <c r="E91" s="253" t="s">
        <v>464</v>
      </c>
      <c r="F91" s="184" t="s">
        <v>2027</v>
      </c>
      <c r="G91" s="105">
        <v>599</v>
      </c>
      <c r="H91" s="184" t="s">
        <v>2027</v>
      </c>
      <c r="I91" s="63" t="s">
        <v>863</v>
      </c>
      <c r="J91" s="184" t="s">
        <v>51</v>
      </c>
      <c r="K91" s="184" t="s">
        <v>396</v>
      </c>
      <c r="L91" s="63" t="s">
        <v>864</v>
      </c>
      <c r="M91" s="184" t="s">
        <v>865</v>
      </c>
      <c r="N91" s="63" t="s">
        <v>866</v>
      </c>
      <c r="O91" s="184" t="s">
        <v>2027</v>
      </c>
      <c r="P91" s="184" t="s">
        <v>595</v>
      </c>
      <c r="Q91" s="255" t="s">
        <v>739</v>
      </c>
      <c r="R91" s="187" t="s">
        <v>35</v>
      </c>
      <c r="S91" s="203">
        <v>3.5000000000000003E-2</v>
      </c>
      <c r="T91" s="184" t="s">
        <v>554</v>
      </c>
      <c r="U91" s="184">
        <v>2009</v>
      </c>
      <c r="V91" s="256" t="s">
        <v>1205</v>
      </c>
      <c r="W91" s="188" t="s">
        <v>34</v>
      </c>
      <c r="X91" s="184" t="s">
        <v>2027</v>
      </c>
      <c r="Y91" s="270" t="s">
        <v>1954</v>
      </c>
    </row>
    <row r="92" spans="1:25" s="27" customFormat="1" ht="151.80000000000001" x14ac:dyDescent="0.3">
      <c r="A92" s="250" t="s">
        <v>601</v>
      </c>
      <c r="B92" s="251" t="s">
        <v>724</v>
      </c>
      <c r="C92" s="251" t="s">
        <v>631</v>
      </c>
      <c r="D92" s="63" t="s">
        <v>630</v>
      </c>
      <c r="E92" s="253" t="s">
        <v>464</v>
      </c>
      <c r="F92" s="82" t="s">
        <v>1044</v>
      </c>
      <c r="G92" s="186" t="s">
        <v>2027</v>
      </c>
      <c r="H92" s="184" t="s">
        <v>2027</v>
      </c>
      <c r="I92" s="63" t="s">
        <v>632</v>
      </c>
      <c r="J92" s="255" t="s">
        <v>2027</v>
      </c>
      <c r="K92" s="184" t="s">
        <v>2027</v>
      </c>
      <c r="L92" s="184" t="s">
        <v>2027</v>
      </c>
      <c r="M92" s="194" t="s">
        <v>2027</v>
      </c>
      <c r="N92" s="63" t="s">
        <v>1335</v>
      </c>
      <c r="O92" s="63" t="s">
        <v>133</v>
      </c>
      <c r="P92" s="187" t="s">
        <v>2027</v>
      </c>
      <c r="Q92" s="63" t="s">
        <v>596</v>
      </c>
      <c r="R92" s="187" t="s">
        <v>2027</v>
      </c>
      <c r="S92" s="65">
        <v>3.5000000000000003E-2</v>
      </c>
      <c r="T92" s="63" t="s">
        <v>775</v>
      </c>
      <c r="U92" s="63">
        <v>2007</v>
      </c>
      <c r="V92" s="63" t="s">
        <v>1181</v>
      </c>
      <c r="W92" s="271" t="s">
        <v>34</v>
      </c>
      <c r="X92" s="220" t="s">
        <v>1407</v>
      </c>
      <c r="Y92" s="270" t="s">
        <v>1954</v>
      </c>
    </row>
    <row r="93" spans="1:25" s="27" customFormat="1" ht="110.4" x14ac:dyDescent="0.3">
      <c r="A93" s="250" t="s">
        <v>603</v>
      </c>
      <c r="B93" s="251" t="s">
        <v>724</v>
      </c>
      <c r="C93" s="251" t="s">
        <v>631</v>
      </c>
      <c r="D93" s="63" t="s">
        <v>634</v>
      </c>
      <c r="E93" s="253" t="s">
        <v>464</v>
      </c>
      <c r="F93" s="184" t="s">
        <v>2027</v>
      </c>
      <c r="G93" s="82">
        <v>10445</v>
      </c>
      <c r="H93" s="184" t="s">
        <v>2027</v>
      </c>
      <c r="I93" s="63" t="s">
        <v>1336</v>
      </c>
      <c r="J93" s="63" t="s">
        <v>51</v>
      </c>
      <c r="K93" s="63" t="s">
        <v>635</v>
      </c>
      <c r="L93" s="63" t="s">
        <v>636</v>
      </c>
      <c r="M93" s="63" t="s">
        <v>26</v>
      </c>
      <c r="N93" s="63" t="s">
        <v>1817</v>
      </c>
      <c r="O93" s="63" t="s">
        <v>133</v>
      </c>
      <c r="P93" s="187" t="s">
        <v>2027</v>
      </c>
      <c r="Q93" s="63" t="s">
        <v>596</v>
      </c>
      <c r="R93" s="187" t="s">
        <v>2027</v>
      </c>
      <c r="S93" s="65">
        <v>3.5000000000000003E-2</v>
      </c>
      <c r="T93" s="63" t="s">
        <v>32</v>
      </c>
      <c r="U93" s="63">
        <v>2007</v>
      </c>
      <c r="V93" s="63" t="s">
        <v>1181</v>
      </c>
      <c r="W93" s="271" t="s">
        <v>34</v>
      </c>
      <c r="X93" s="220" t="s">
        <v>1407</v>
      </c>
      <c r="Y93" s="270" t="s">
        <v>1954</v>
      </c>
    </row>
    <row r="94" spans="1:25" s="27" customFormat="1" ht="151.80000000000001" x14ac:dyDescent="0.3">
      <c r="A94" s="250" t="s">
        <v>605</v>
      </c>
      <c r="B94" s="251" t="s">
        <v>724</v>
      </c>
      <c r="C94" s="251" t="s">
        <v>913</v>
      </c>
      <c r="D94" s="199" t="s">
        <v>858</v>
      </c>
      <c r="E94" s="253" t="s">
        <v>464</v>
      </c>
      <c r="F94" s="184" t="s">
        <v>2027</v>
      </c>
      <c r="G94" s="186" t="s">
        <v>2027</v>
      </c>
      <c r="H94" s="105">
        <v>-3290</v>
      </c>
      <c r="I94" s="63" t="s">
        <v>860</v>
      </c>
      <c r="J94" s="184" t="s">
        <v>51</v>
      </c>
      <c r="K94" s="184" t="s">
        <v>396</v>
      </c>
      <c r="L94" s="184" t="s">
        <v>2027</v>
      </c>
      <c r="M94" s="184" t="s">
        <v>26</v>
      </c>
      <c r="N94" s="63" t="s">
        <v>859</v>
      </c>
      <c r="O94" s="184" t="s">
        <v>2027</v>
      </c>
      <c r="P94" s="184" t="s">
        <v>595</v>
      </c>
      <c r="Q94" s="255" t="s">
        <v>739</v>
      </c>
      <c r="R94" s="187" t="s">
        <v>35</v>
      </c>
      <c r="S94" s="203">
        <v>3.5000000000000003E-2</v>
      </c>
      <c r="T94" s="184" t="s">
        <v>554</v>
      </c>
      <c r="U94" s="184">
        <v>2009</v>
      </c>
      <c r="V94" s="256" t="s">
        <v>1205</v>
      </c>
      <c r="W94" s="188" t="s">
        <v>34</v>
      </c>
      <c r="X94" s="184" t="s">
        <v>2027</v>
      </c>
      <c r="Y94" s="270" t="s">
        <v>1954</v>
      </c>
    </row>
    <row r="95" spans="1:25" s="27" customFormat="1" ht="165.6" x14ac:dyDescent="0.3">
      <c r="A95" s="250" t="s">
        <v>608</v>
      </c>
      <c r="B95" s="251" t="s">
        <v>724</v>
      </c>
      <c r="C95" s="251" t="s">
        <v>699</v>
      </c>
      <c r="D95" s="63" t="s">
        <v>920</v>
      </c>
      <c r="E95" s="253" t="s">
        <v>464</v>
      </c>
      <c r="F95" s="216" t="s">
        <v>1061</v>
      </c>
      <c r="G95" s="216" t="s">
        <v>593</v>
      </c>
      <c r="H95" s="184" t="s">
        <v>2027</v>
      </c>
      <c r="I95" s="63" t="s">
        <v>921</v>
      </c>
      <c r="J95" s="63" t="s">
        <v>51</v>
      </c>
      <c r="K95" s="63" t="s">
        <v>734</v>
      </c>
      <c r="L95" s="63" t="s">
        <v>594</v>
      </c>
      <c r="M95" s="63" t="s">
        <v>748</v>
      </c>
      <c r="N95" s="63" t="s">
        <v>745</v>
      </c>
      <c r="O95" s="63" t="s">
        <v>133</v>
      </c>
      <c r="P95" s="63" t="s">
        <v>595</v>
      </c>
      <c r="Q95" s="63" t="s">
        <v>596</v>
      </c>
      <c r="R95" s="63" t="s">
        <v>35</v>
      </c>
      <c r="S95" s="65">
        <v>3.5000000000000003E-2</v>
      </c>
      <c r="T95" s="63" t="s">
        <v>774</v>
      </c>
      <c r="U95" s="63">
        <v>2012</v>
      </c>
      <c r="V95" s="63" t="s">
        <v>1195</v>
      </c>
      <c r="W95" s="271" t="s">
        <v>34</v>
      </c>
      <c r="X95" s="220" t="s">
        <v>1401</v>
      </c>
      <c r="Y95" s="270" t="s">
        <v>1954</v>
      </c>
    </row>
    <row r="96" spans="1:25" s="27" customFormat="1" ht="193.2" x14ac:dyDescent="0.3">
      <c r="A96" s="250" t="s">
        <v>615</v>
      </c>
      <c r="B96" s="251" t="s">
        <v>724</v>
      </c>
      <c r="C96" s="251" t="s">
        <v>699</v>
      </c>
      <c r="D96" s="63" t="s">
        <v>920</v>
      </c>
      <c r="E96" s="253" t="s">
        <v>464</v>
      </c>
      <c r="F96" s="184" t="s">
        <v>2027</v>
      </c>
      <c r="G96" s="63" t="s">
        <v>597</v>
      </c>
      <c r="H96" s="184" t="s">
        <v>2027</v>
      </c>
      <c r="I96" s="63" t="s">
        <v>1330</v>
      </c>
      <c r="J96" s="63" t="s">
        <v>51</v>
      </c>
      <c r="K96" s="63" t="s">
        <v>734</v>
      </c>
      <c r="L96" s="63" t="s">
        <v>594</v>
      </c>
      <c r="M96" s="63" t="s">
        <v>748</v>
      </c>
      <c r="N96" s="63" t="s">
        <v>746</v>
      </c>
      <c r="O96" s="63" t="s">
        <v>133</v>
      </c>
      <c r="P96" s="63" t="s">
        <v>595</v>
      </c>
      <c r="Q96" s="63" t="s">
        <v>596</v>
      </c>
      <c r="R96" s="63" t="s">
        <v>35</v>
      </c>
      <c r="S96" s="65">
        <v>3.5000000000000003E-2</v>
      </c>
      <c r="T96" s="63" t="s">
        <v>774</v>
      </c>
      <c r="U96" s="63">
        <v>2012</v>
      </c>
      <c r="V96" s="63" t="s">
        <v>1195</v>
      </c>
      <c r="W96" s="271" t="s">
        <v>34</v>
      </c>
      <c r="X96" s="220" t="s">
        <v>1401</v>
      </c>
      <c r="Y96" s="270" t="s">
        <v>1954</v>
      </c>
    </row>
    <row r="97" spans="1:25" s="27" customFormat="1" ht="248.4" x14ac:dyDescent="0.3">
      <c r="A97" s="250" t="s">
        <v>617</v>
      </c>
      <c r="B97" s="251" t="s">
        <v>724</v>
      </c>
      <c r="C97" s="251" t="s">
        <v>699</v>
      </c>
      <c r="D97" s="63" t="s">
        <v>920</v>
      </c>
      <c r="E97" s="253" t="s">
        <v>464</v>
      </c>
      <c r="F97" s="63" t="s">
        <v>1050</v>
      </c>
      <c r="G97" s="82">
        <v>900</v>
      </c>
      <c r="H97" s="184" t="s">
        <v>2027</v>
      </c>
      <c r="I97" s="63" t="s">
        <v>922</v>
      </c>
      <c r="J97" s="63" t="s">
        <v>51</v>
      </c>
      <c r="K97" s="63" t="s">
        <v>734</v>
      </c>
      <c r="L97" s="63" t="s">
        <v>594</v>
      </c>
      <c r="M97" s="63" t="s">
        <v>748</v>
      </c>
      <c r="N97" s="63" t="s">
        <v>2714</v>
      </c>
      <c r="O97" s="63" t="s">
        <v>133</v>
      </c>
      <c r="P97" s="63" t="s">
        <v>595</v>
      </c>
      <c r="Q97" s="63" t="s">
        <v>596</v>
      </c>
      <c r="R97" s="63" t="s">
        <v>35</v>
      </c>
      <c r="S97" s="65">
        <v>3.5000000000000003E-2</v>
      </c>
      <c r="T97" s="63" t="s">
        <v>774</v>
      </c>
      <c r="U97" s="63">
        <v>2012</v>
      </c>
      <c r="V97" s="63" t="s">
        <v>1195</v>
      </c>
      <c r="W97" s="271" t="s">
        <v>34</v>
      </c>
      <c r="X97" s="220" t="s">
        <v>1401</v>
      </c>
      <c r="Y97" s="270" t="s">
        <v>1954</v>
      </c>
    </row>
    <row r="98" spans="1:25" s="27" customFormat="1" ht="151.80000000000001" x14ac:dyDescent="0.3">
      <c r="A98" s="250" t="s">
        <v>621</v>
      </c>
      <c r="B98" s="251" t="s">
        <v>724</v>
      </c>
      <c r="C98" s="251" t="s">
        <v>699</v>
      </c>
      <c r="D98" s="63" t="s">
        <v>920</v>
      </c>
      <c r="E98" s="253" t="s">
        <v>464</v>
      </c>
      <c r="F98" s="63" t="s">
        <v>1051</v>
      </c>
      <c r="G98" s="82">
        <v>5000</v>
      </c>
      <c r="H98" s="184" t="s">
        <v>2027</v>
      </c>
      <c r="I98" s="63" t="s">
        <v>923</v>
      </c>
      <c r="J98" s="63" t="s">
        <v>51</v>
      </c>
      <c r="K98" s="63" t="s">
        <v>734</v>
      </c>
      <c r="L98" s="63" t="s">
        <v>600</v>
      </c>
      <c r="M98" s="63" t="s">
        <v>748</v>
      </c>
      <c r="N98" s="63" t="s">
        <v>747</v>
      </c>
      <c r="O98" s="63" t="s">
        <v>133</v>
      </c>
      <c r="P98" s="63" t="s">
        <v>595</v>
      </c>
      <c r="Q98" s="63" t="s">
        <v>596</v>
      </c>
      <c r="R98" s="63" t="s">
        <v>35</v>
      </c>
      <c r="S98" s="65">
        <v>3.5000000000000003E-2</v>
      </c>
      <c r="T98" s="63" t="s">
        <v>774</v>
      </c>
      <c r="U98" s="63">
        <v>2012</v>
      </c>
      <c r="V98" s="63" t="s">
        <v>1195</v>
      </c>
      <c r="W98" s="271" t="s">
        <v>34</v>
      </c>
      <c r="X98" s="220" t="s">
        <v>1401</v>
      </c>
      <c r="Y98" s="270" t="s">
        <v>1954</v>
      </c>
    </row>
    <row r="99" spans="1:25" s="27" customFormat="1" ht="151.80000000000001" x14ac:dyDescent="0.3">
      <c r="A99" s="250" t="s">
        <v>625</v>
      </c>
      <c r="B99" s="251" t="s">
        <v>724</v>
      </c>
      <c r="C99" s="251" t="s">
        <v>699</v>
      </c>
      <c r="D99" s="63" t="s">
        <v>920</v>
      </c>
      <c r="E99" s="253" t="s">
        <v>464</v>
      </c>
      <c r="F99" s="63" t="s">
        <v>1064</v>
      </c>
      <c r="G99" s="63" t="s">
        <v>602</v>
      </c>
      <c r="H99" s="184" t="s">
        <v>2027</v>
      </c>
      <c r="I99" s="63" t="s">
        <v>2715</v>
      </c>
      <c r="J99" s="63" t="s">
        <v>51</v>
      </c>
      <c r="K99" s="63" t="s">
        <v>734</v>
      </c>
      <c r="L99" s="63" t="s">
        <v>594</v>
      </c>
      <c r="M99" s="63" t="s">
        <v>748</v>
      </c>
      <c r="N99" s="63" t="s">
        <v>2716</v>
      </c>
      <c r="O99" s="63" t="s">
        <v>133</v>
      </c>
      <c r="P99" s="63" t="s">
        <v>595</v>
      </c>
      <c r="Q99" s="63" t="s">
        <v>596</v>
      </c>
      <c r="R99" s="63" t="s">
        <v>35</v>
      </c>
      <c r="S99" s="65">
        <v>3.5000000000000003E-2</v>
      </c>
      <c r="T99" s="63" t="s">
        <v>32</v>
      </c>
      <c r="U99" s="63">
        <v>2012</v>
      </c>
      <c r="V99" s="63" t="s">
        <v>1195</v>
      </c>
      <c r="W99" s="271" t="s">
        <v>34</v>
      </c>
      <c r="X99" s="220" t="s">
        <v>1401</v>
      </c>
      <c r="Y99" s="270" t="s">
        <v>1954</v>
      </c>
    </row>
    <row r="100" spans="1:25" s="27" customFormat="1" ht="151.80000000000001" x14ac:dyDescent="0.3">
      <c r="A100" s="250" t="s">
        <v>626</v>
      </c>
      <c r="B100" s="251" t="s">
        <v>724</v>
      </c>
      <c r="C100" s="251" t="s">
        <v>699</v>
      </c>
      <c r="D100" s="63" t="s">
        <v>920</v>
      </c>
      <c r="E100" s="253" t="s">
        <v>464</v>
      </c>
      <c r="F100" s="184" t="s">
        <v>2027</v>
      </c>
      <c r="G100" s="82">
        <v>2700</v>
      </c>
      <c r="H100" s="184" t="s">
        <v>2027</v>
      </c>
      <c r="I100" s="63" t="s">
        <v>604</v>
      </c>
      <c r="J100" s="63" t="s">
        <v>51</v>
      </c>
      <c r="K100" s="63" t="s">
        <v>734</v>
      </c>
      <c r="L100" s="63" t="s">
        <v>594</v>
      </c>
      <c r="M100" s="63" t="s">
        <v>748</v>
      </c>
      <c r="N100" s="63" t="s">
        <v>1331</v>
      </c>
      <c r="O100" s="63" t="s">
        <v>133</v>
      </c>
      <c r="P100" s="187" t="s">
        <v>2027</v>
      </c>
      <c r="Q100" s="63" t="s">
        <v>596</v>
      </c>
      <c r="R100" s="63" t="s">
        <v>35</v>
      </c>
      <c r="S100" s="65">
        <v>3.5000000000000003E-2</v>
      </c>
      <c r="T100" s="64" t="s">
        <v>32</v>
      </c>
      <c r="U100" s="63">
        <v>2012</v>
      </c>
      <c r="V100" s="63" t="s">
        <v>1195</v>
      </c>
      <c r="W100" s="271" t="s">
        <v>34</v>
      </c>
      <c r="X100" s="220" t="s">
        <v>1401</v>
      </c>
      <c r="Y100" s="270" t="s">
        <v>1954</v>
      </c>
    </row>
    <row r="101" spans="1:25" s="27" customFormat="1" ht="262.2" x14ac:dyDescent="0.3">
      <c r="A101" s="250" t="s">
        <v>1077</v>
      </c>
      <c r="B101" s="251" t="s">
        <v>724</v>
      </c>
      <c r="C101" s="251" t="s">
        <v>699</v>
      </c>
      <c r="D101" s="63" t="s">
        <v>920</v>
      </c>
      <c r="E101" s="253" t="s">
        <v>464</v>
      </c>
      <c r="F101" s="184" t="s">
        <v>2027</v>
      </c>
      <c r="G101" s="63" t="s">
        <v>606</v>
      </c>
      <c r="H101" s="184" t="s">
        <v>2027</v>
      </c>
      <c r="I101" s="63" t="s">
        <v>924</v>
      </c>
      <c r="J101" s="63" t="s">
        <v>51</v>
      </c>
      <c r="K101" s="63" t="s">
        <v>734</v>
      </c>
      <c r="L101" s="63" t="s">
        <v>607</v>
      </c>
      <c r="M101" s="63" t="s">
        <v>748</v>
      </c>
      <c r="N101" s="63" t="s">
        <v>792</v>
      </c>
      <c r="O101" s="63" t="s">
        <v>133</v>
      </c>
      <c r="P101" s="187" t="s">
        <v>2027</v>
      </c>
      <c r="Q101" s="63" t="s">
        <v>596</v>
      </c>
      <c r="R101" s="63" t="s">
        <v>35</v>
      </c>
      <c r="S101" s="65">
        <v>3.5000000000000003E-2</v>
      </c>
      <c r="T101" s="64" t="s">
        <v>32</v>
      </c>
      <c r="U101" s="63">
        <v>2012</v>
      </c>
      <c r="V101" s="63" t="s">
        <v>1195</v>
      </c>
      <c r="W101" s="271" t="s">
        <v>34</v>
      </c>
      <c r="X101" s="220" t="s">
        <v>1401</v>
      </c>
      <c r="Y101" s="270" t="s">
        <v>1954</v>
      </c>
    </row>
    <row r="102" spans="1:25" s="27" customFormat="1" ht="165.6" x14ac:dyDescent="0.3">
      <c r="A102" s="250" t="s">
        <v>629</v>
      </c>
      <c r="B102" s="251" t="s">
        <v>724</v>
      </c>
      <c r="C102" s="251" t="s">
        <v>699</v>
      </c>
      <c r="D102" s="63" t="s">
        <v>618</v>
      </c>
      <c r="E102" s="253" t="s">
        <v>464</v>
      </c>
      <c r="F102" s="63" t="s">
        <v>1049</v>
      </c>
      <c r="G102" s="82" t="s">
        <v>793</v>
      </c>
      <c r="H102" s="184" t="s">
        <v>2027</v>
      </c>
      <c r="I102" s="63" t="s">
        <v>794</v>
      </c>
      <c r="J102" s="63" t="s">
        <v>51</v>
      </c>
      <c r="K102" s="63" t="s">
        <v>734</v>
      </c>
      <c r="L102" s="63" t="s">
        <v>771</v>
      </c>
      <c r="M102" s="63" t="s">
        <v>343</v>
      </c>
      <c r="N102" s="63" t="s">
        <v>795</v>
      </c>
      <c r="O102" s="63" t="s">
        <v>133</v>
      </c>
      <c r="P102" s="187" t="s">
        <v>2027</v>
      </c>
      <c r="Q102" s="63" t="s">
        <v>619</v>
      </c>
      <c r="R102" s="63" t="s">
        <v>214</v>
      </c>
      <c r="S102" s="65">
        <v>3.5000000000000003E-2</v>
      </c>
      <c r="T102" s="63" t="s">
        <v>620</v>
      </c>
      <c r="U102" s="63">
        <v>2012</v>
      </c>
      <c r="V102" s="63" t="s">
        <v>1193</v>
      </c>
      <c r="W102" s="271" t="s">
        <v>34</v>
      </c>
      <c r="X102" s="220" t="s">
        <v>1402</v>
      </c>
      <c r="Y102" s="270" t="s">
        <v>1954</v>
      </c>
    </row>
    <row r="103" spans="1:25" s="27" customFormat="1" ht="165.6" x14ac:dyDescent="0.3">
      <c r="A103" s="250" t="s">
        <v>633</v>
      </c>
      <c r="B103" s="251" t="s">
        <v>724</v>
      </c>
      <c r="C103" s="251" t="s">
        <v>699</v>
      </c>
      <c r="D103" s="63" t="s">
        <v>908</v>
      </c>
      <c r="E103" s="253" t="s">
        <v>464</v>
      </c>
      <c r="F103" s="184" t="s">
        <v>2027</v>
      </c>
      <c r="G103" s="82">
        <v>27570</v>
      </c>
      <c r="H103" s="184" t="s">
        <v>2027</v>
      </c>
      <c r="I103" s="63" t="s">
        <v>1337</v>
      </c>
      <c r="J103" s="63" t="s">
        <v>51</v>
      </c>
      <c r="K103" s="63" t="s">
        <v>734</v>
      </c>
      <c r="L103" s="63" t="s">
        <v>638</v>
      </c>
      <c r="M103" s="63" t="s">
        <v>26</v>
      </c>
      <c r="N103" s="63" t="s">
        <v>639</v>
      </c>
      <c r="O103" s="184" t="s">
        <v>2027</v>
      </c>
      <c r="P103" s="187" t="s">
        <v>2027</v>
      </c>
      <c r="Q103" s="187" t="s">
        <v>2027</v>
      </c>
      <c r="R103" s="187" t="s">
        <v>2027</v>
      </c>
      <c r="S103" s="65">
        <v>3.5000000000000003E-2</v>
      </c>
      <c r="T103" s="255" t="s">
        <v>2027</v>
      </c>
      <c r="U103" s="63">
        <v>2008</v>
      </c>
      <c r="V103" s="63" t="s">
        <v>1849</v>
      </c>
      <c r="W103" s="271" t="s">
        <v>34</v>
      </c>
      <c r="X103" s="220" t="s">
        <v>1403</v>
      </c>
      <c r="Y103" s="270" t="s">
        <v>1954</v>
      </c>
    </row>
    <row r="104" spans="1:25" s="27" customFormat="1" ht="207" x14ac:dyDescent="0.3">
      <c r="A104" s="250" t="s">
        <v>637</v>
      </c>
      <c r="B104" s="251" t="s">
        <v>724</v>
      </c>
      <c r="C104" s="251" t="s">
        <v>699</v>
      </c>
      <c r="D104" s="63" t="s">
        <v>622</v>
      </c>
      <c r="E104" s="253" t="s">
        <v>464</v>
      </c>
      <c r="F104" s="184" t="s">
        <v>2027</v>
      </c>
      <c r="G104" s="82">
        <v>76000</v>
      </c>
      <c r="H104" s="184" t="s">
        <v>2027</v>
      </c>
      <c r="I104" s="63" t="s">
        <v>755</v>
      </c>
      <c r="J104" s="63" t="s">
        <v>51</v>
      </c>
      <c r="K104" s="63" t="s">
        <v>734</v>
      </c>
      <c r="L104" s="63" t="s">
        <v>623</v>
      </c>
      <c r="M104" s="63" t="s">
        <v>752</v>
      </c>
      <c r="N104" s="63" t="s">
        <v>756</v>
      </c>
      <c r="O104" s="63" t="s">
        <v>133</v>
      </c>
      <c r="P104" s="187" t="s">
        <v>2027</v>
      </c>
      <c r="Q104" s="63" t="s">
        <v>596</v>
      </c>
      <c r="R104" s="63" t="s">
        <v>35</v>
      </c>
      <c r="S104" s="65">
        <v>1.4999999999999999E-2</v>
      </c>
      <c r="T104" s="63" t="s">
        <v>624</v>
      </c>
      <c r="U104" s="63">
        <v>2015</v>
      </c>
      <c r="V104" s="63" t="s">
        <v>1179</v>
      </c>
      <c r="W104" s="271" t="s">
        <v>34</v>
      </c>
      <c r="X104" s="220" t="s">
        <v>1404</v>
      </c>
      <c r="Y104" s="270" t="s">
        <v>1954</v>
      </c>
    </row>
    <row r="105" spans="1:25" s="27" customFormat="1" ht="165.6" x14ac:dyDescent="0.3">
      <c r="A105" s="250" t="s">
        <v>640</v>
      </c>
      <c r="B105" s="251" t="s">
        <v>724</v>
      </c>
      <c r="C105" s="251" t="s">
        <v>699</v>
      </c>
      <c r="D105" s="63" t="s">
        <v>1397</v>
      </c>
      <c r="E105" s="253" t="s">
        <v>464</v>
      </c>
      <c r="F105" s="184" t="s">
        <v>2027</v>
      </c>
      <c r="G105" s="82">
        <v>40500</v>
      </c>
      <c r="H105" s="184" t="s">
        <v>2027</v>
      </c>
      <c r="I105" s="63" t="s">
        <v>1339</v>
      </c>
      <c r="J105" s="63" t="s">
        <v>51</v>
      </c>
      <c r="K105" s="63" t="s">
        <v>734</v>
      </c>
      <c r="L105" s="63" t="s">
        <v>642</v>
      </c>
      <c r="M105" s="63" t="s">
        <v>26</v>
      </c>
      <c r="N105" s="63" t="s">
        <v>1818</v>
      </c>
      <c r="O105" s="63" t="s">
        <v>133</v>
      </c>
      <c r="P105" s="187" t="s">
        <v>2027</v>
      </c>
      <c r="Q105" s="63" t="s">
        <v>596</v>
      </c>
      <c r="R105" s="63" t="s">
        <v>214</v>
      </c>
      <c r="S105" s="65">
        <v>3.5000000000000003E-2</v>
      </c>
      <c r="T105" s="63" t="s">
        <v>554</v>
      </c>
      <c r="U105" s="63">
        <v>2008</v>
      </c>
      <c r="V105" s="63" t="s">
        <v>1849</v>
      </c>
      <c r="W105" s="271" t="s">
        <v>34</v>
      </c>
      <c r="X105" s="220" t="s">
        <v>1403</v>
      </c>
      <c r="Y105" s="270" t="s">
        <v>1954</v>
      </c>
    </row>
    <row r="106" spans="1:25" s="27" customFormat="1" ht="207" x14ac:dyDescent="0.3">
      <c r="A106" s="250" t="s">
        <v>641</v>
      </c>
      <c r="B106" s="251" t="s">
        <v>724</v>
      </c>
      <c r="C106" s="251" t="s">
        <v>699</v>
      </c>
      <c r="D106" s="63" t="s">
        <v>1396</v>
      </c>
      <c r="E106" s="253" t="s">
        <v>464</v>
      </c>
      <c r="F106" s="184" t="s">
        <v>2027</v>
      </c>
      <c r="G106" s="82">
        <v>4007</v>
      </c>
      <c r="H106" s="184" t="s">
        <v>2027</v>
      </c>
      <c r="I106" s="63" t="s">
        <v>1338</v>
      </c>
      <c r="J106" s="63" t="s">
        <v>51</v>
      </c>
      <c r="K106" s="63" t="s">
        <v>734</v>
      </c>
      <c r="L106" s="63" t="s">
        <v>638</v>
      </c>
      <c r="M106" s="63" t="s">
        <v>26</v>
      </c>
      <c r="N106" s="63" t="s">
        <v>758</v>
      </c>
      <c r="O106" s="63" t="s">
        <v>133</v>
      </c>
      <c r="P106" s="187" t="s">
        <v>2027</v>
      </c>
      <c r="Q106" s="63" t="s">
        <v>596</v>
      </c>
      <c r="R106" s="187" t="s">
        <v>2027</v>
      </c>
      <c r="S106" s="65">
        <v>3.5000000000000003E-2</v>
      </c>
      <c r="T106" s="63" t="s">
        <v>554</v>
      </c>
      <c r="U106" s="63">
        <v>2008</v>
      </c>
      <c r="V106" s="63" t="s">
        <v>1849</v>
      </c>
      <c r="W106" s="271" t="s">
        <v>34</v>
      </c>
      <c r="X106" s="220" t="s">
        <v>1403</v>
      </c>
      <c r="Y106" s="270" t="s">
        <v>1954</v>
      </c>
    </row>
    <row r="107" spans="1:25" s="27" customFormat="1" ht="179.4" x14ac:dyDescent="0.3">
      <c r="A107" s="250" t="s">
        <v>643</v>
      </c>
      <c r="B107" s="251" t="s">
        <v>724</v>
      </c>
      <c r="C107" s="251" t="s">
        <v>699</v>
      </c>
      <c r="D107" s="63" t="s">
        <v>909</v>
      </c>
      <c r="E107" s="253" t="s">
        <v>464</v>
      </c>
      <c r="F107" s="184" t="s">
        <v>2027</v>
      </c>
      <c r="G107" s="82">
        <v>495.5</v>
      </c>
      <c r="H107" s="82" t="s">
        <v>1524</v>
      </c>
      <c r="I107" s="63" t="s">
        <v>1357</v>
      </c>
      <c r="J107" s="63" t="s">
        <v>51</v>
      </c>
      <c r="K107" s="63" t="s">
        <v>734</v>
      </c>
      <c r="L107" s="63" t="s">
        <v>636</v>
      </c>
      <c r="M107" s="63" t="s">
        <v>26</v>
      </c>
      <c r="N107" s="63" t="s">
        <v>1588</v>
      </c>
      <c r="O107" s="63" t="s">
        <v>133</v>
      </c>
      <c r="P107" s="187" t="s">
        <v>2027</v>
      </c>
      <c r="Q107" s="187" t="s">
        <v>2027</v>
      </c>
      <c r="R107" s="63" t="s">
        <v>35</v>
      </c>
      <c r="S107" s="65">
        <v>3.5000000000000003E-2</v>
      </c>
      <c r="T107" s="255" t="s">
        <v>2027</v>
      </c>
      <c r="U107" s="63">
        <v>2008</v>
      </c>
      <c r="V107" s="63" t="s">
        <v>1196</v>
      </c>
      <c r="W107" s="271" t="s">
        <v>34</v>
      </c>
      <c r="X107" s="220" t="s">
        <v>1405</v>
      </c>
      <c r="Y107" s="270" t="s">
        <v>1954</v>
      </c>
    </row>
    <row r="108" spans="1:25" s="27" customFormat="1" ht="179.4" x14ac:dyDescent="0.3">
      <c r="A108" s="250" t="s">
        <v>646</v>
      </c>
      <c r="B108" s="251" t="s">
        <v>724</v>
      </c>
      <c r="C108" s="251" t="s">
        <v>699</v>
      </c>
      <c r="D108" s="63" t="s">
        <v>909</v>
      </c>
      <c r="E108" s="253" t="s">
        <v>464</v>
      </c>
      <c r="F108" s="184" t="s">
        <v>2027</v>
      </c>
      <c r="G108" s="82">
        <v>1234.1099999999999</v>
      </c>
      <c r="H108" s="82" t="s">
        <v>1525</v>
      </c>
      <c r="I108" s="63" t="s">
        <v>1819</v>
      </c>
      <c r="J108" s="63" t="s">
        <v>51</v>
      </c>
      <c r="K108" s="63" t="s">
        <v>734</v>
      </c>
      <c r="L108" s="63" t="s">
        <v>696</v>
      </c>
      <c r="M108" s="63" t="s">
        <v>26</v>
      </c>
      <c r="N108" s="63" t="s">
        <v>1588</v>
      </c>
      <c r="O108" s="63" t="s">
        <v>133</v>
      </c>
      <c r="P108" s="187" t="s">
        <v>2027</v>
      </c>
      <c r="Q108" s="187" t="s">
        <v>2027</v>
      </c>
      <c r="R108" s="63" t="s">
        <v>35</v>
      </c>
      <c r="S108" s="65">
        <v>3.5000000000000003E-2</v>
      </c>
      <c r="T108" s="255" t="s">
        <v>2027</v>
      </c>
      <c r="U108" s="63">
        <v>2008</v>
      </c>
      <c r="V108" s="63" t="s">
        <v>1196</v>
      </c>
      <c r="W108" s="271" t="s">
        <v>34</v>
      </c>
      <c r="X108" s="220" t="s">
        <v>1405</v>
      </c>
      <c r="Y108" s="270" t="s">
        <v>1954</v>
      </c>
    </row>
    <row r="109" spans="1:25" s="27" customFormat="1" ht="179.4" x14ac:dyDescent="0.3">
      <c r="A109" s="250" t="s">
        <v>650</v>
      </c>
      <c r="B109" s="251" t="s">
        <v>724</v>
      </c>
      <c r="C109" s="251" t="s">
        <v>699</v>
      </c>
      <c r="D109" s="63" t="s">
        <v>910</v>
      </c>
      <c r="E109" s="253" t="s">
        <v>464</v>
      </c>
      <c r="F109" s="184" t="s">
        <v>2027</v>
      </c>
      <c r="G109" s="82">
        <v>686.34</v>
      </c>
      <c r="H109" s="82" t="s">
        <v>1526</v>
      </c>
      <c r="I109" s="63" t="s">
        <v>1820</v>
      </c>
      <c r="J109" s="63" t="s">
        <v>51</v>
      </c>
      <c r="K109" s="63" t="s">
        <v>734</v>
      </c>
      <c r="L109" s="63" t="s">
        <v>694</v>
      </c>
      <c r="M109" s="63" t="s">
        <v>26</v>
      </c>
      <c r="N109" s="63" t="s">
        <v>1588</v>
      </c>
      <c r="O109" s="63" t="s">
        <v>133</v>
      </c>
      <c r="P109" s="187" t="s">
        <v>2027</v>
      </c>
      <c r="Q109" s="187" t="s">
        <v>2027</v>
      </c>
      <c r="R109" s="63" t="s">
        <v>35</v>
      </c>
      <c r="S109" s="65">
        <v>3.5000000000000003E-2</v>
      </c>
      <c r="T109" s="255" t="s">
        <v>2027</v>
      </c>
      <c r="U109" s="63">
        <v>2008</v>
      </c>
      <c r="V109" s="63" t="s">
        <v>1196</v>
      </c>
      <c r="W109" s="271" t="s">
        <v>34</v>
      </c>
      <c r="X109" s="220" t="s">
        <v>1405</v>
      </c>
      <c r="Y109" s="270" t="s">
        <v>1954</v>
      </c>
    </row>
    <row r="110" spans="1:25" s="27" customFormat="1" ht="179.4" x14ac:dyDescent="0.3">
      <c r="A110" s="250" t="s">
        <v>653</v>
      </c>
      <c r="B110" s="251" t="s">
        <v>724</v>
      </c>
      <c r="C110" s="251" t="s">
        <v>699</v>
      </c>
      <c r="D110" s="63" t="s">
        <v>698</v>
      </c>
      <c r="E110" s="253" t="s">
        <v>464</v>
      </c>
      <c r="F110" s="63" t="s">
        <v>1045</v>
      </c>
      <c r="G110" s="82">
        <v>1164.5999999999999</v>
      </c>
      <c r="H110" s="184" t="s">
        <v>2027</v>
      </c>
      <c r="I110" s="63" t="s">
        <v>797</v>
      </c>
      <c r="J110" s="184" t="s">
        <v>58</v>
      </c>
      <c r="K110" s="63" t="s">
        <v>700</v>
      </c>
      <c r="L110" s="63" t="s">
        <v>701</v>
      </c>
      <c r="M110" s="194" t="s">
        <v>2027</v>
      </c>
      <c r="N110" s="63" t="s">
        <v>796</v>
      </c>
      <c r="O110" s="63" t="s">
        <v>133</v>
      </c>
      <c r="P110" s="63" t="s">
        <v>764</v>
      </c>
      <c r="Q110" s="63" t="s">
        <v>838</v>
      </c>
      <c r="R110" s="63" t="s">
        <v>35</v>
      </c>
      <c r="S110" s="65">
        <v>3.5000000000000003E-2</v>
      </c>
      <c r="T110" s="63" t="s">
        <v>774</v>
      </c>
      <c r="U110" s="63">
        <v>2011</v>
      </c>
      <c r="V110" s="63" t="s">
        <v>1185</v>
      </c>
      <c r="W110" s="271" t="s">
        <v>34</v>
      </c>
      <c r="X110" s="220" t="s">
        <v>146</v>
      </c>
      <c r="Y110" s="270" t="s">
        <v>1954</v>
      </c>
    </row>
    <row r="111" spans="1:25" s="27" customFormat="1" ht="193.2" x14ac:dyDescent="0.3">
      <c r="A111" s="250" t="s">
        <v>655</v>
      </c>
      <c r="B111" s="251" t="s">
        <v>724</v>
      </c>
      <c r="C111" s="251" t="s">
        <v>699</v>
      </c>
      <c r="D111" s="63" t="s">
        <v>1821</v>
      </c>
      <c r="E111" s="253" t="s">
        <v>464</v>
      </c>
      <c r="F111" s="184" t="s">
        <v>2027</v>
      </c>
      <c r="G111" s="82">
        <v>7300</v>
      </c>
      <c r="H111" s="184" t="s">
        <v>2027</v>
      </c>
      <c r="I111" s="63" t="s">
        <v>1358</v>
      </c>
      <c r="J111" s="63" t="s">
        <v>51</v>
      </c>
      <c r="K111" s="63" t="s">
        <v>397</v>
      </c>
      <c r="L111" s="184" t="s">
        <v>2027</v>
      </c>
      <c r="M111" s="63" t="s">
        <v>906</v>
      </c>
      <c r="N111" s="63" t="s">
        <v>1359</v>
      </c>
      <c r="O111" s="63" t="s">
        <v>163</v>
      </c>
      <c r="P111" s="187" t="s">
        <v>2027</v>
      </c>
      <c r="Q111" s="63" t="s">
        <v>907</v>
      </c>
      <c r="R111" s="63" t="s">
        <v>35</v>
      </c>
      <c r="S111" s="187" t="s">
        <v>2027</v>
      </c>
      <c r="T111" s="63" t="s">
        <v>32</v>
      </c>
      <c r="U111" s="63">
        <v>2008</v>
      </c>
      <c r="V111" s="63" t="s">
        <v>1187</v>
      </c>
      <c r="W111" s="271" t="s">
        <v>34</v>
      </c>
      <c r="X111" s="184" t="s">
        <v>2027</v>
      </c>
      <c r="Y111" s="270" t="s">
        <v>1954</v>
      </c>
    </row>
    <row r="112" spans="1:25" s="27" customFormat="1" ht="193.2" x14ac:dyDescent="0.3">
      <c r="A112" s="250" t="s">
        <v>657</v>
      </c>
      <c r="B112" s="251" t="s">
        <v>724</v>
      </c>
      <c r="C112" s="251" t="s">
        <v>699</v>
      </c>
      <c r="D112" s="63" t="s">
        <v>1822</v>
      </c>
      <c r="E112" s="253" t="s">
        <v>464</v>
      </c>
      <c r="F112" s="184" t="s">
        <v>2027</v>
      </c>
      <c r="G112" s="82">
        <v>12100</v>
      </c>
      <c r="H112" s="184" t="s">
        <v>2027</v>
      </c>
      <c r="I112" s="63" t="s">
        <v>1360</v>
      </c>
      <c r="J112" s="63" t="s">
        <v>51</v>
      </c>
      <c r="K112" s="63" t="s">
        <v>397</v>
      </c>
      <c r="L112" s="184" t="s">
        <v>2027</v>
      </c>
      <c r="M112" s="63" t="s">
        <v>906</v>
      </c>
      <c r="N112" s="63" t="s">
        <v>1359</v>
      </c>
      <c r="O112" s="63" t="s">
        <v>163</v>
      </c>
      <c r="P112" s="187" t="s">
        <v>2027</v>
      </c>
      <c r="Q112" s="63" t="s">
        <v>907</v>
      </c>
      <c r="R112" s="63" t="s">
        <v>35</v>
      </c>
      <c r="S112" s="187" t="s">
        <v>2027</v>
      </c>
      <c r="T112" s="63" t="s">
        <v>32</v>
      </c>
      <c r="U112" s="63">
        <v>2008</v>
      </c>
      <c r="V112" s="63" t="s">
        <v>1187</v>
      </c>
      <c r="W112" s="271" t="s">
        <v>34</v>
      </c>
      <c r="X112" s="184" t="s">
        <v>2027</v>
      </c>
      <c r="Y112" s="270" t="s">
        <v>1954</v>
      </c>
    </row>
    <row r="113" spans="1:25" s="27" customFormat="1" ht="193.2" x14ac:dyDescent="0.3">
      <c r="A113" s="250" t="s">
        <v>659</v>
      </c>
      <c r="B113" s="251" t="s">
        <v>724</v>
      </c>
      <c r="C113" s="251" t="s">
        <v>699</v>
      </c>
      <c r="D113" s="63" t="s">
        <v>706</v>
      </c>
      <c r="E113" s="253" t="s">
        <v>464</v>
      </c>
      <c r="F113" s="184" t="s">
        <v>2027</v>
      </c>
      <c r="G113" s="63" t="s">
        <v>707</v>
      </c>
      <c r="H113" s="184" t="s">
        <v>2027</v>
      </c>
      <c r="I113" s="63" t="s">
        <v>903</v>
      </c>
      <c r="J113" s="63" t="s">
        <v>51</v>
      </c>
      <c r="K113" s="63" t="s">
        <v>708</v>
      </c>
      <c r="L113" s="184" t="s">
        <v>2027</v>
      </c>
      <c r="M113" s="63" t="s">
        <v>749</v>
      </c>
      <c r="N113" s="63" t="s">
        <v>902</v>
      </c>
      <c r="O113" s="63" t="s">
        <v>163</v>
      </c>
      <c r="P113" s="187" t="s">
        <v>2027</v>
      </c>
      <c r="Q113" s="63" t="s">
        <v>125</v>
      </c>
      <c r="R113" s="63" t="s">
        <v>35</v>
      </c>
      <c r="S113" s="187" t="s">
        <v>2027</v>
      </c>
      <c r="T113" s="63" t="s">
        <v>32</v>
      </c>
      <c r="U113" s="63">
        <v>2008</v>
      </c>
      <c r="V113" s="63" t="s">
        <v>1187</v>
      </c>
      <c r="W113" s="271" t="s">
        <v>34</v>
      </c>
      <c r="X113" s="184" t="s">
        <v>2027</v>
      </c>
      <c r="Y113" s="270" t="s">
        <v>1954</v>
      </c>
    </row>
    <row r="114" spans="1:25" s="27" customFormat="1" ht="248.4" x14ac:dyDescent="0.3">
      <c r="A114" s="250" t="s">
        <v>663</v>
      </c>
      <c r="B114" s="251" t="s">
        <v>724</v>
      </c>
      <c r="C114" s="251" t="s">
        <v>699</v>
      </c>
      <c r="D114" s="63" t="s">
        <v>722</v>
      </c>
      <c r="E114" s="253" t="s">
        <v>464</v>
      </c>
      <c r="F114" s="184" t="s">
        <v>2027</v>
      </c>
      <c r="G114" s="186" t="s">
        <v>2027</v>
      </c>
      <c r="H114" s="82">
        <v>308000</v>
      </c>
      <c r="I114" s="63" t="s">
        <v>811</v>
      </c>
      <c r="J114" s="184" t="s">
        <v>58</v>
      </c>
      <c r="K114" s="256" t="s">
        <v>267</v>
      </c>
      <c r="L114" s="63" t="s">
        <v>723</v>
      </c>
      <c r="M114" s="194" t="s">
        <v>2027</v>
      </c>
      <c r="N114" s="63" t="s">
        <v>812</v>
      </c>
      <c r="O114" s="63" t="s">
        <v>23</v>
      </c>
      <c r="P114" s="63" t="s">
        <v>619</v>
      </c>
      <c r="Q114" s="63" t="s">
        <v>619</v>
      </c>
      <c r="R114" s="63" t="s">
        <v>35</v>
      </c>
      <c r="S114" s="187" t="s">
        <v>2027</v>
      </c>
      <c r="T114" s="63" t="s">
        <v>32</v>
      </c>
      <c r="U114" s="63">
        <v>2016</v>
      </c>
      <c r="V114" s="63" t="s">
        <v>1114</v>
      </c>
      <c r="W114" s="271" t="s">
        <v>34</v>
      </c>
      <c r="X114" s="184" t="s">
        <v>2027</v>
      </c>
      <c r="Y114" s="270" t="s">
        <v>1954</v>
      </c>
    </row>
    <row r="115" spans="1:25" s="27" customFormat="1" ht="179.4" x14ac:dyDescent="0.3">
      <c r="A115" s="250" t="s">
        <v>667</v>
      </c>
      <c r="B115" s="251" t="s">
        <v>724</v>
      </c>
      <c r="C115" s="251" t="s">
        <v>699</v>
      </c>
      <c r="D115" s="199" t="s">
        <v>862</v>
      </c>
      <c r="E115" s="253" t="s">
        <v>464</v>
      </c>
      <c r="F115" s="184" t="s">
        <v>2027</v>
      </c>
      <c r="G115" s="186" t="s">
        <v>2027</v>
      </c>
      <c r="H115" s="105">
        <v>-2151</v>
      </c>
      <c r="I115" s="63" t="s">
        <v>1362</v>
      </c>
      <c r="J115" s="184" t="s">
        <v>51</v>
      </c>
      <c r="K115" s="184" t="s">
        <v>396</v>
      </c>
      <c r="L115" s="63" t="s">
        <v>867</v>
      </c>
      <c r="M115" s="184" t="s">
        <v>868</v>
      </c>
      <c r="N115" s="63" t="s">
        <v>869</v>
      </c>
      <c r="O115" s="184" t="s">
        <v>2027</v>
      </c>
      <c r="P115" s="184" t="s">
        <v>595</v>
      </c>
      <c r="Q115" s="255" t="s">
        <v>739</v>
      </c>
      <c r="R115" s="187" t="s">
        <v>35</v>
      </c>
      <c r="S115" s="203">
        <v>3.5000000000000003E-2</v>
      </c>
      <c r="T115" s="184" t="s">
        <v>554</v>
      </c>
      <c r="U115" s="184">
        <v>2009</v>
      </c>
      <c r="V115" s="256" t="s">
        <v>1205</v>
      </c>
      <c r="W115" s="188" t="s">
        <v>34</v>
      </c>
      <c r="X115" s="184" t="s">
        <v>2027</v>
      </c>
      <c r="Y115" s="270" t="s">
        <v>1954</v>
      </c>
    </row>
    <row r="116" spans="1:25" s="27" customFormat="1" ht="96.6" x14ac:dyDescent="0.3">
      <c r="A116" s="250" t="s">
        <v>669</v>
      </c>
      <c r="B116" s="251" t="s">
        <v>724</v>
      </c>
      <c r="C116" s="251" t="s">
        <v>610</v>
      </c>
      <c r="D116" s="63" t="s">
        <v>609</v>
      </c>
      <c r="E116" s="253" t="s">
        <v>464</v>
      </c>
      <c r="F116" s="184" t="s">
        <v>2027</v>
      </c>
      <c r="G116" s="82">
        <v>6289</v>
      </c>
      <c r="H116" s="184" t="s">
        <v>2027</v>
      </c>
      <c r="I116" s="63" t="s">
        <v>753</v>
      </c>
      <c r="J116" s="63" t="s">
        <v>51</v>
      </c>
      <c r="K116" s="63" t="s">
        <v>734</v>
      </c>
      <c r="L116" s="63" t="s">
        <v>611</v>
      </c>
      <c r="M116" s="63" t="s">
        <v>343</v>
      </c>
      <c r="N116" s="63" t="s">
        <v>612</v>
      </c>
      <c r="O116" s="63" t="s">
        <v>245</v>
      </c>
      <c r="P116" s="187" t="s">
        <v>2027</v>
      </c>
      <c r="Q116" s="63" t="s">
        <v>613</v>
      </c>
      <c r="R116" s="63" t="s">
        <v>214</v>
      </c>
      <c r="S116" s="65" t="s">
        <v>614</v>
      </c>
      <c r="T116" s="63" t="s">
        <v>364</v>
      </c>
      <c r="U116" s="63">
        <v>2006</v>
      </c>
      <c r="V116" s="63" t="s">
        <v>1194</v>
      </c>
      <c r="W116" s="271" t="s">
        <v>34</v>
      </c>
      <c r="X116" s="220" t="s">
        <v>1406</v>
      </c>
      <c r="Y116" s="270" t="s">
        <v>1954</v>
      </c>
    </row>
    <row r="117" spans="1:25" s="27" customFormat="1" ht="96.6" x14ac:dyDescent="0.3">
      <c r="A117" s="250" t="s">
        <v>670</v>
      </c>
      <c r="B117" s="251" t="s">
        <v>724</v>
      </c>
      <c r="C117" s="251" t="s">
        <v>610</v>
      </c>
      <c r="D117" s="63" t="s">
        <v>616</v>
      </c>
      <c r="E117" s="253" t="s">
        <v>464</v>
      </c>
      <c r="F117" s="184" t="s">
        <v>2027</v>
      </c>
      <c r="G117" s="82">
        <v>8527</v>
      </c>
      <c r="H117" s="184" t="s">
        <v>2027</v>
      </c>
      <c r="I117" s="63" t="s">
        <v>754</v>
      </c>
      <c r="J117" s="63" t="s">
        <v>51</v>
      </c>
      <c r="K117" s="63" t="s">
        <v>734</v>
      </c>
      <c r="L117" s="63" t="s">
        <v>611</v>
      </c>
      <c r="M117" s="63" t="s">
        <v>343</v>
      </c>
      <c r="N117" s="63" t="s">
        <v>612</v>
      </c>
      <c r="O117" s="63" t="s">
        <v>245</v>
      </c>
      <c r="P117" s="187" t="s">
        <v>2027</v>
      </c>
      <c r="Q117" s="63" t="s">
        <v>613</v>
      </c>
      <c r="R117" s="63" t="s">
        <v>214</v>
      </c>
      <c r="S117" s="65" t="s">
        <v>614</v>
      </c>
      <c r="T117" s="63" t="s">
        <v>364</v>
      </c>
      <c r="U117" s="63">
        <v>2006</v>
      </c>
      <c r="V117" s="63" t="s">
        <v>1194</v>
      </c>
      <c r="W117" s="271" t="s">
        <v>34</v>
      </c>
      <c r="X117" s="220" t="s">
        <v>1406</v>
      </c>
      <c r="Y117" s="270" t="s">
        <v>1954</v>
      </c>
    </row>
    <row r="118" spans="1:25" s="27" customFormat="1" ht="138" x14ac:dyDescent="0.3">
      <c r="A118" s="250" t="s">
        <v>672</v>
      </c>
      <c r="B118" s="251" t="s">
        <v>724</v>
      </c>
      <c r="C118" s="251" t="s">
        <v>914</v>
      </c>
      <c r="D118" s="63" t="s">
        <v>644</v>
      </c>
      <c r="E118" s="253" t="s">
        <v>464</v>
      </c>
      <c r="F118" s="184" t="s">
        <v>2027</v>
      </c>
      <c r="G118" s="82">
        <v>1665</v>
      </c>
      <c r="H118" s="184" t="s">
        <v>2027</v>
      </c>
      <c r="I118" s="63" t="s">
        <v>1340</v>
      </c>
      <c r="J118" s="63" t="s">
        <v>51</v>
      </c>
      <c r="K118" s="63" t="s">
        <v>635</v>
      </c>
      <c r="L118" s="63" t="s">
        <v>645</v>
      </c>
      <c r="M118" s="194" t="s">
        <v>2027</v>
      </c>
      <c r="N118" s="63" t="s">
        <v>759</v>
      </c>
      <c r="O118" s="63" t="s">
        <v>133</v>
      </c>
      <c r="P118" s="187" t="s">
        <v>2027</v>
      </c>
      <c r="Q118" s="63" t="s">
        <v>596</v>
      </c>
      <c r="R118" s="63" t="s">
        <v>35</v>
      </c>
      <c r="S118" s="65">
        <v>3.5000000000000003E-2</v>
      </c>
      <c r="T118" s="63" t="s">
        <v>571</v>
      </c>
      <c r="U118" s="63">
        <v>2012</v>
      </c>
      <c r="V118" s="63" t="s">
        <v>1182</v>
      </c>
      <c r="W118" s="271" t="s">
        <v>34</v>
      </c>
      <c r="X118" s="220" t="s">
        <v>1408</v>
      </c>
      <c r="Y118" s="270" t="s">
        <v>1954</v>
      </c>
    </row>
    <row r="119" spans="1:25" s="27" customFormat="1" ht="151.80000000000001" x14ac:dyDescent="0.3">
      <c r="A119" s="250" t="s">
        <v>674</v>
      </c>
      <c r="B119" s="251" t="s">
        <v>724</v>
      </c>
      <c r="C119" s="251" t="s">
        <v>717</v>
      </c>
      <c r="D119" s="63" t="s">
        <v>716</v>
      </c>
      <c r="E119" s="253" t="s">
        <v>464</v>
      </c>
      <c r="F119" s="184" t="s">
        <v>2027</v>
      </c>
      <c r="G119" s="186" t="s">
        <v>2027</v>
      </c>
      <c r="H119" s="63" t="s">
        <v>718</v>
      </c>
      <c r="I119" s="63" t="s">
        <v>1361</v>
      </c>
      <c r="J119" s="255" t="s">
        <v>2027</v>
      </c>
      <c r="K119" s="63" t="s">
        <v>719</v>
      </c>
      <c r="L119" s="184" t="s">
        <v>2027</v>
      </c>
      <c r="M119" s="63" t="s">
        <v>751</v>
      </c>
      <c r="N119" s="63" t="s">
        <v>720</v>
      </c>
      <c r="O119" s="184" t="s">
        <v>2027</v>
      </c>
      <c r="P119" s="63" t="s">
        <v>619</v>
      </c>
      <c r="Q119" s="63" t="s">
        <v>619</v>
      </c>
      <c r="R119" s="63" t="s">
        <v>35</v>
      </c>
      <c r="S119" s="187" t="s">
        <v>2027</v>
      </c>
      <c r="T119" s="63" t="s">
        <v>32</v>
      </c>
      <c r="U119" s="63">
        <v>2016</v>
      </c>
      <c r="V119" s="63" t="s">
        <v>1114</v>
      </c>
      <c r="W119" s="271" t="s">
        <v>34</v>
      </c>
      <c r="X119" s="184" t="s">
        <v>2027</v>
      </c>
      <c r="Y119" s="270" t="s">
        <v>1954</v>
      </c>
    </row>
    <row r="120" spans="1:25" s="27" customFormat="1" ht="82.8" x14ac:dyDescent="0.3">
      <c r="A120" s="250" t="s">
        <v>676</v>
      </c>
      <c r="B120" s="251" t="s">
        <v>724</v>
      </c>
      <c r="C120" s="251" t="s">
        <v>1393</v>
      </c>
      <c r="D120" s="63" t="s">
        <v>703</v>
      </c>
      <c r="E120" s="253" t="s">
        <v>464</v>
      </c>
      <c r="F120" s="184" t="s">
        <v>2027</v>
      </c>
      <c r="G120" s="186" t="s">
        <v>2027</v>
      </c>
      <c r="H120" s="184" t="s">
        <v>2027</v>
      </c>
      <c r="I120" s="63" t="s">
        <v>1450</v>
      </c>
      <c r="J120" s="255" t="s">
        <v>2027</v>
      </c>
      <c r="K120" s="184" t="s">
        <v>2027</v>
      </c>
      <c r="L120" s="184" t="s">
        <v>2027</v>
      </c>
      <c r="M120" s="194" t="s">
        <v>2027</v>
      </c>
      <c r="N120" s="63" t="s">
        <v>2761</v>
      </c>
      <c r="O120" s="63" t="s">
        <v>52</v>
      </c>
      <c r="P120" s="187" t="s">
        <v>2027</v>
      </c>
      <c r="Q120" s="187" t="s">
        <v>2027</v>
      </c>
      <c r="R120" s="63" t="s">
        <v>35</v>
      </c>
      <c r="S120" s="187" t="s">
        <v>2027</v>
      </c>
      <c r="T120" s="63" t="s">
        <v>32</v>
      </c>
      <c r="U120" s="63">
        <v>2001</v>
      </c>
      <c r="V120" s="63" t="s">
        <v>1186</v>
      </c>
      <c r="W120" s="271" t="s">
        <v>34</v>
      </c>
      <c r="X120" s="184" t="s">
        <v>2027</v>
      </c>
      <c r="Y120" s="270" t="s">
        <v>1954</v>
      </c>
    </row>
    <row r="121" spans="1:25" s="27" customFormat="1" ht="193.2" x14ac:dyDescent="0.3">
      <c r="A121" s="250" t="s">
        <v>679</v>
      </c>
      <c r="B121" s="251" t="s">
        <v>724</v>
      </c>
      <c r="C121" s="251" t="s">
        <v>661</v>
      </c>
      <c r="D121" s="63" t="s">
        <v>627</v>
      </c>
      <c r="E121" s="253" t="s">
        <v>464</v>
      </c>
      <c r="F121" s="184" t="s">
        <v>2027</v>
      </c>
      <c r="G121" s="82" t="s">
        <v>1070</v>
      </c>
      <c r="H121" s="184" t="s">
        <v>2027</v>
      </c>
      <c r="I121" s="67" t="s">
        <v>1451</v>
      </c>
      <c r="J121" s="63" t="s">
        <v>51</v>
      </c>
      <c r="K121" s="63" t="s">
        <v>734</v>
      </c>
      <c r="L121" s="63" t="s">
        <v>628</v>
      </c>
      <c r="M121" s="63" t="s">
        <v>750</v>
      </c>
      <c r="N121" s="63" t="s">
        <v>757</v>
      </c>
      <c r="O121" s="63" t="s">
        <v>905</v>
      </c>
      <c r="P121" s="187" t="s">
        <v>2027</v>
      </c>
      <c r="Q121" s="187" t="s">
        <v>2027</v>
      </c>
      <c r="R121" s="63" t="s">
        <v>35</v>
      </c>
      <c r="S121" s="65">
        <v>3.5000000000000003E-2</v>
      </c>
      <c r="T121" s="63" t="s">
        <v>32</v>
      </c>
      <c r="U121" s="63">
        <v>2010</v>
      </c>
      <c r="V121" s="63" t="s">
        <v>1180</v>
      </c>
      <c r="W121" s="271" t="s">
        <v>34</v>
      </c>
      <c r="X121" s="220" t="s">
        <v>1409</v>
      </c>
      <c r="Y121" s="270" t="s">
        <v>1954</v>
      </c>
    </row>
    <row r="122" spans="1:25" s="27" customFormat="1" ht="276" x14ac:dyDescent="0.3">
      <c r="A122" s="250" t="s">
        <v>682</v>
      </c>
      <c r="B122" s="251" t="s">
        <v>724</v>
      </c>
      <c r="C122" s="251" t="s">
        <v>661</v>
      </c>
      <c r="D122" s="63" t="s">
        <v>647</v>
      </c>
      <c r="E122" s="253" t="s">
        <v>464</v>
      </c>
      <c r="F122" s="184" t="s">
        <v>2027</v>
      </c>
      <c r="G122" s="82">
        <v>562</v>
      </c>
      <c r="H122" s="184" t="s">
        <v>2027</v>
      </c>
      <c r="I122" s="63" t="s">
        <v>1341</v>
      </c>
      <c r="J122" s="63" t="s">
        <v>51</v>
      </c>
      <c r="K122" s="63" t="s">
        <v>648</v>
      </c>
      <c r="L122" s="63" t="s">
        <v>649</v>
      </c>
      <c r="M122" s="63" t="s">
        <v>26</v>
      </c>
      <c r="N122" s="63" t="s">
        <v>1823</v>
      </c>
      <c r="O122" s="63" t="s">
        <v>133</v>
      </c>
      <c r="P122" s="187" t="s">
        <v>2027</v>
      </c>
      <c r="Q122" s="63" t="s">
        <v>596</v>
      </c>
      <c r="R122" s="63" t="s">
        <v>35</v>
      </c>
      <c r="S122" s="65">
        <v>3.5000000000000003E-2</v>
      </c>
      <c r="T122" s="63" t="s">
        <v>32</v>
      </c>
      <c r="U122" s="63">
        <v>2010</v>
      </c>
      <c r="V122" s="63" t="s">
        <v>1183</v>
      </c>
      <c r="W122" s="271" t="s">
        <v>34</v>
      </c>
      <c r="X122" s="220" t="s">
        <v>1400</v>
      </c>
      <c r="Y122" s="270" t="s">
        <v>1954</v>
      </c>
    </row>
    <row r="123" spans="1:25" s="27" customFormat="1" ht="276" x14ac:dyDescent="0.3">
      <c r="A123" s="250" t="s">
        <v>684</v>
      </c>
      <c r="B123" s="251" t="s">
        <v>724</v>
      </c>
      <c r="C123" s="251" t="s">
        <v>661</v>
      </c>
      <c r="D123" s="63" t="s">
        <v>651</v>
      </c>
      <c r="E123" s="253" t="s">
        <v>464</v>
      </c>
      <c r="F123" s="184" t="s">
        <v>2027</v>
      </c>
      <c r="G123" s="186" t="s">
        <v>2027</v>
      </c>
      <c r="H123" s="63" t="s">
        <v>249</v>
      </c>
      <c r="I123" s="63" t="s">
        <v>1569</v>
      </c>
      <c r="J123" s="63" t="s">
        <v>51</v>
      </c>
      <c r="K123" s="63" t="s">
        <v>635</v>
      </c>
      <c r="L123" s="63" t="s">
        <v>652</v>
      </c>
      <c r="M123" s="63" t="s">
        <v>26</v>
      </c>
      <c r="N123" s="63" t="s">
        <v>901</v>
      </c>
      <c r="O123" s="63" t="s">
        <v>133</v>
      </c>
      <c r="P123" s="187" t="s">
        <v>2027</v>
      </c>
      <c r="Q123" s="63" t="s">
        <v>596</v>
      </c>
      <c r="R123" s="63" t="s">
        <v>35</v>
      </c>
      <c r="S123" s="65">
        <v>3.5000000000000003E-2</v>
      </c>
      <c r="T123" s="64" t="s">
        <v>32</v>
      </c>
      <c r="U123" s="63">
        <v>2010</v>
      </c>
      <c r="V123" s="63" t="s">
        <v>1183</v>
      </c>
      <c r="W123" s="271" t="s">
        <v>34</v>
      </c>
      <c r="X123" s="220" t="s">
        <v>1400</v>
      </c>
      <c r="Y123" s="270" t="s">
        <v>1954</v>
      </c>
    </row>
    <row r="124" spans="1:25" s="27" customFormat="1" ht="151.80000000000001" x14ac:dyDescent="0.3">
      <c r="A124" s="250" t="s">
        <v>686</v>
      </c>
      <c r="B124" s="251" t="s">
        <v>724</v>
      </c>
      <c r="C124" s="251" t="s">
        <v>661</v>
      </c>
      <c r="D124" s="63" t="s">
        <v>660</v>
      </c>
      <c r="E124" s="253" t="s">
        <v>464</v>
      </c>
      <c r="F124" s="184" t="s">
        <v>2027</v>
      </c>
      <c r="G124" s="82">
        <v>102112</v>
      </c>
      <c r="H124" s="184" t="s">
        <v>2027</v>
      </c>
      <c r="I124" s="63" t="s">
        <v>1344</v>
      </c>
      <c r="J124" s="63" t="s">
        <v>51</v>
      </c>
      <c r="K124" s="63" t="s">
        <v>662</v>
      </c>
      <c r="L124" s="184" t="s">
        <v>2027</v>
      </c>
      <c r="M124" s="194" t="s">
        <v>2027</v>
      </c>
      <c r="N124" s="63" t="s">
        <v>1824</v>
      </c>
      <c r="O124" s="63" t="s">
        <v>133</v>
      </c>
      <c r="P124" s="187" t="s">
        <v>2027</v>
      </c>
      <c r="Q124" s="63" t="s">
        <v>596</v>
      </c>
      <c r="R124" s="63" t="s">
        <v>35</v>
      </c>
      <c r="S124" s="65">
        <v>3.5000000000000003E-2</v>
      </c>
      <c r="T124" s="63" t="s">
        <v>571</v>
      </c>
      <c r="U124" s="63">
        <v>2011</v>
      </c>
      <c r="V124" s="63" t="s">
        <v>1184</v>
      </c>
      <c r="W124" s="272" t="s">
        <v>34</v>
      </c>
      <c r="X124" s="184" t="s">
        <v>2027</v>
      </c>
      <c r="Y124" s="270" t="s">
        <v>1954</v>
      </c>
    </row>
    <row r="125" spans="1:25" s="27" customFormat="1" ht="207" x14ac:dyDescent="0.3">
      <c r="A125" s="250" t="s">
        <v>688</v>
      </c>
      <c r="B125" s="251" t="s">
        <v>724</v>
      </c>
      <c r="C125" s="251" t="s">
        <v>661</v>
      </c>
      <c r="D125" s="63" t="s">
        <v>815</v>
      </c>
      <c r="E125" s="253" t="s">
        <v>464</v>
      </c>
      <c r="F125" s="184" t="s">
        <v>2027</v>
      </c>
      <c r="G125" s="63" t="s">
        <v>1345</v>
      </c>
      <c r="H125" s="184" t="s">
        <v>2027</v>
      </c>
      <c r="I125" s="63" t="s">
        <v>1453</v>
      </c>
      <c r="J125" s="63" t="s">
        <v>51</v>
      </c>
      <c r="K125" s="63" t="s">
        <v>662</v>
      </c>
      <c r="L125" s="63" t="s">
        <v>664</v>
      </c>
      <c r="M125" s="63" t="s">
        <v>26</v>
      </c>
      <c r="N125" s="63" t="s">
        <v>665</v>
      </c>
      <c r="O125" s="63" t="s">
        <v>133</v>
      </c>
      <c r="P125" s="187" t="s">
        <v>2027</v>
      </c>
      <c r="Q125" s="63" t="s">
        <v>666</v>
      </c>
      <c r="R125" s="63" t="s">
        <v>35</v>
      </c>
      <c r="S125" s="65">
        <v>3.5000000000000003E-2</v>
      </c>
      <c r="T125" s="63" t="s">
        <v>681</v>
      </c>
      <c r="U125" s="217">
        <v>2013</v>
      </c>
      <c r="V125" s="63" t="s">
        <v>1202</v>
      </c>
      <c r="W125" s="271" t="s">
        <v>34</v>
      </c>
      <c r="X125" s="184" t="s">
        <v>2027</v>
      </c>
      <c r="Y125" s="270" t="s">
        <v>1954</v>
      </c>
    </row>
    <row r="126" spans="1:25" s="27" customFormat="1" ht="151.80000000000001" x14ac:dyDescent="0.3">
      <c r="A126" s="250" t="s">
        <v>690</v>
      </c>
      <c r="B126" s="251" t="s">
        <v>724</v>
      </c>
      <c r="C126" s="251" t="s">
        <v>661</v>
      </c>
      <c r="D126" s="63" t="s">
        <v>742</v>
      </c>
      <c r="E126" s="253" t="s">
        <v>464</v>
      </c>
      <c r="F126" s="184" t="s">
        <v>2027</v>
      </c>
      <c r="G126" s="63" t="s">
        <v>668</v>
      </c>
      <c r="H126" s="184" t="s">
        <v>2027</v>
      </c>
      <c r="I126" s="63" t="s">
        <v>1346</v>
      </c>
      <c r="J126" s="63" t="s">
        <v>51</v>
      </c>
      <c r="K126" s="63" t="s">
        <v>635</v>
      </c>
      <c r="L126" s="63" t="s">
        <v>664</v>
      </c>
      <c r="M126" s="63" t="s">
        <v>26</v>
      </c>
      <c r="N126" s="63" t="s">
        <v>1387</v>
      </c>
      <c r="O126" s="63" t="s">
        <v>133</v>
      </c>
      <c r="P126" s="187" t="s">
        <v>2027</v>
      </c>
      <c r="Q126" s="63" t="s">
        <v>666</v>
      </c>
      <c r="R126" s="63" t="s">
        <v>35</v>
      </c>
      <c r="S126" s="65">
        <v>3.5000000000000003E-2</v>
      </c>
      <c r="T126" s="63" t="s">
        <v>681</v>
      </c>
      <c r="U126" s="217">
        <v>2013</v>
      </c>
      <c r="V126" s="63" t="s">
        <v>1386</v>
      </c>
      <c r="W126" s="271" t="s">
        <v>34</v>
      </c>
      <c r="X126" s="220" t="s">
        <v>1410</v>
      </c>
      <c r="Y126" s="270" t="s">
        <v>1954</v>
      </c>
    </row>
    <row r="127" spans="1:25" s="27" customFormat="1" ht="151.80000000000001" x14ac:dyDescent="0.3">
      <c r="A127" s="250" t="s">
        <v>692</v>
      </c>
      <c r="B127" s="251" t="s">
        <v>724</v>
      </c>
      <c r="C127" s="251" t="s">
        <v>661</v>
      </c>
      <c r="D127" s="63" t="s">
        <v>743</v>
      </c>
      <c r="E127" s="253" t="s">
        <v>464</v>
      </c>
      <c r="F127" s="184" t="s">
        <v>2027</v>
      </c>
      <c r="G127" s="63" t="s">
        <v>671</v>
      </c>
      <c r="H127" s="184" t="s">
        <v>2027</v>
      </c>
      <c r="I127" s="63" t="s">
        <v>2717</v>
      </c>
      <c r="J127" s="63" t="s">
        <v>51</v>
      </c>
      <c r="K127" s="63" t="s">
        <v>635</v>
      </c>
      <c r="L127" s="63" t="s">
        <v>664</v>
      </c>
      <c r="M127" s="63" t="s">
        <v>26</v>
      </c>
      <c r="N127" s="63" t="s">
        <v>1387</v>
      </c>
      <c r="O127" s="63" t="s">
        <v>133</v>
      </c>
      <c r="P127" s="187" t="s">
        <v>2027</v>
      </c>
      <c r="Q127" s="63" t="s">
        <v>666</v>
      </c>
      <c r="R127" s="63" t="s">
        <v>35</v>
      </c>
      <c r="S127" s="65">
        <v>3.5000000000000003E-2</v>
      </c>
      <c r="T127" s="63" t="s">
        <v>681</v>
      </c>
      <c r="U127" s="217">
        <v>2013</v>
      </c>
      <c r="V127" s="63" t="s">
        <v>1386</v>
      </c>
      <c r="W127" s="271" t="s">
        <v>34</v>
      </c>
      <c r="X127" s="220" t="s">
        <v>1411</v>
      </c>
      <c r="Y127" s="270" t="s">
        <v>1954</v>
      </c>
    </row>
    <row r="128" spans="1:25" s="27" customFormat="1" ht="151.80000000000001" x14ac:dyDescent="0.3">
      <c r="A128" s="250" t="s">
        <v>693</v>
      </c>
      <c r="B128" s="251" t="s">
        <v>724</v>
      </c>
      <c r="C128" s="251" t="s">
        <v>661</v>
      </c>
      <c r="D128" s="63" t="s">
        <v>673</v>
      </c>
      <c r="E128" s="253" t="s">
        <v>464</v>
      </c>
      <c r="F128" s="184" t="s">
        <v>2027</v>
      </c>
      <c r="G128" s="63" t="s">
        <v>1068</v>
      </c>
      <c r="H128" s="184" t="s">
        <v>2027</v>
      </c>
      <c r="I128" s="63" t="s">
        <v>1390</v>
      </c>
      <c r="J128" s="63" t="s">
        <v>51</v>
      </c>
      <c r="K128" s="63" t="s">
        <v>635</v>
      </c>
      <c r="L128" s="63" t="s">
        <v>664</v>
      </c>
      <c r="M128" s="63" t="s">
        <v>26</v>
      </c>
      <c r="N128" s="63" t="s">
        <v>1387</v>
      </c>
      <c r="O128" s="63" t="s">
        <v>133</v>
      </c>
      <c r="P128" s="187" t="s">
        <v>2027</v>
      </c>
      <c r="Q128" s="63" t="s">
        <v>666</v>
      </c>
      <c r="R128" s="63" t="s">
        <v>35</v>
      </c>
      <c r="S128" s="65">
        <v>3.5000000000000003E-2</v>
      </c>
      <c r="T128" s="63" t="s">
        <v>681</v>
      </c>
      <c r="U128" s="217">
        <v>2013</v>
      </c>
      <c r="V128" s="63" t="s">
        <v>1386</v>
      </c>
      <c r="W128" s="271" t="s">
        <v>34</v>
      </c>
      <c r="X128" s="220" t="s">
        <v>1411</v>
      </c>
      <c r="Y128" s="270" t="s">
        <v>1954</v>
      </c>
    </row>
    <row r="129" spans="1:25" s="27" customFormat="1" ht="151.80000000000001" x14ac:dyDescent="0.3">
      <c r="A129" s="250" t="s">
        <v>695</v>
      </c>
      <c r="B129" s="251" t="s">
        <v>724</v>
      </c>
      <c r="C129" s="251" t="s">
        <v>661</v>
      </c>
      <c r="D129" s="63" t="s">
        <v>675</v>
      </c>
      <c r="E129" s="253" t="s">
        <v>464</v>
      </c>
      <c r="F129" s="184" t="s">
        <v>2027</v>
      </c>
      <c r="G129" s="63" t="s">
        <v>1071</v>
      </c>
      <c r="H129" s="184" t="s">
        <v>2027</v>
      </c>
      <c r="I129" s="63" t="s">
        <v>1388</v>
      </c>
      <c r="J129" s="63" t="s">
        <v>51</v>
      </c>
      <c r="K129" s="63" t="s">
        <v>635</v>
      </c>
      <c r="L129" s="63" t="s">
        <v>664</v>
      </c>
      <c r="M129" s="63" t="s">
        <v>26</v>
      </c>
      <c r="N129" s="63" t="s">
        <v>1387</v>
      </c>
      <c r="O129" s="63" t="s">
        <v>133</v>
      </c>
      <c r="P129" s="187" t="s">
        <v>2027</v>
      </c>
      <c r="Q129" s="63" t="s">
        <v>666</v>
      </c>
      <c r="R129" s="63" t="s">
        <v>35</v>
      </c>
      <c r="S129" s="65">
        <v>3.5000000000000003E-2</v>
      </c>
      <c r="T129" s="63" t="s">
        <v>681</v>
      </c>
      <c r="U129" s="217">
        <v>2013</v>
      </c>
      <c r="V129" s="63" t="s">
        <v>1386</v>
      </c>
      <c r="W129" s="271" t="s">
        <v>34</v>
      </c>
      <c r="X129" s="220" t="s">
        <v>1411</v>
      </c>
      <c r="Y129" s="270" t="s">
        <v>1954</v>
      </c>
    </row>
    <row r="130" spans="1:25" s="27" customFormat="1" ht="151.80000000000001" x14ac:dyDescent="0.3">
      <c r="A130" s="250" t="s">
        <v>697</v>
      </c>
      <c r="B130" s="251" t="s">
        <v>724</v>
      </c>
      <c r="C130" s="251" t="s">
        <v>661</v>
      </c>
      <c r="D130" s="63" t="s">
        <v>677</v>
      </c>
      <c r="E130" s="253" t="s">
        <v>464</v>
      </c>
      <c r="F130" s="184" t="s">
        <v>2027</v>
      </c>
      <c r="G130" s="63" t="s">
        <v>678</v>
      </c>
      <c r="H130" s="184" t="s">
        <v>2027</v>
      </c>
      <c r="I130" s="63" t="s">
        <v>1389</v>
      </c>
      <c r="J130" s="63" t="s">
        <v>51</v>
      </c>
      <c r="K130" s="63" t="s">
        <v>635</v>
      </c>
      <c r="L130" s="63" t="s">
        <v>664</v>
      </c>
      <c r="M130" s="63" t="s">
        <v>26</v>
      </c>
      <c r="N130" s="63" t="s">
        <v>1387</v>
      </c>
      <c r="O130" s="63" t="s">
        <v>133</v>
      </c>
      <c r="P130" s="187" t="s">
        <v>2027</v>
      </c>
      <c r="Q130" s="63" t="s">
        <v>666</v>
      </c>
      <c r="R130" s="63" t="s">
        <v>35</v>
      </c>
      <c r="S130" s="65">
        <v>3.5000000000000003E-2</v>
      </c>
      <c r="T130" s="63" t="s">
        <v>681</v>
      </c>
      <c r="U130" s="217">
        <v>2013</v>
      </c>
      <c r="V130" s="63" t="s">
        <v>1386</v>
      </c>
      <c r="W130" s="271" t="s">
        <v>34</v>
      </c>
      <c r="X130" s="220" t="s">
        <v>1411</v>
      </c>
      <c r="Y130" s="270" t="s">
        <v>1954</v>
      </c>
    </row>
    <row r="131" spans="1:25" s="27" customFormat="1" ht="248.4" x14ac:dyDescent="0.3">
      <c r="A131" s="250" t="s">
        <v>702</v>
      </c>
      <c r="B131" s="251" t="s">
        <v>724</v>
      </c>
      <c r="C131" s="251" t="s">
        <v>661</v>
      </c>
      <c r="D131" s="63" t="s">
        <v>816</v>
      </c>
      <c r="E131" s="253" t="s">
        <v>464</v>
      </c>
      <c r="F131" s="184" t="s">
        <v>2027</v>
      </c>
      <c r="G131" s="63" t="s">
        <v>231</v>
      </c>
      <c r="H131" s="184" t="s">
        <v>2027</v>
      </c>
      <c r="I131" s="63" t="s">
        <v>900</v>
      </c>
      <c r="J131" s="63" t="s">
        <v>51</v>
      </c>
      <c r="K131" s="63" t="s">
        <v>635</v>
      </c>
      <c r="L131" s="63" t="s">
        <v>680</v>
      </c>
      <c r="M131" s="63" t="s">
        <v>26</v>
      </c>
      <c r="N131" s="63" t="s">
        <v>817</v>
      </c>
      <c r="O131" s="63" t="s">
        <v>133</v>
      </c>
      <c r="P131" s="187" t="s">
        <v>2027</v>
      </c>
      <c r="Q131" s="63" t="s">
        <v>666</v>
      </c>
      <c r="R131" s="63" t="s">
        <v>35</v>
      </c>
      <c r="S131" s="65">
        <v>3.5000000000000003E-2</v>
      </c>
      <c r="T131" s="63" t="s">
        <v>681</v>
      </c>
      <c r="U131" s="217">
        <v>2013</v>
      </c>
      <c r="V131" s="63" t="s">
        <v>1386</v>
      </c>
      <c r="W131" s="271" t="s">
        <v>34</v>
      </c>
      <c r="X131" s="220" t="s">
        <v>1410</v>
      </c>
      <c r="Y131" s="270" t="s">
        <v>1954</v>
      </c>
    </row>
    <row r="132" spans="1:25" s="27" customFormat="1" ht="151.80000000000001" x14ac:dyDescent="0.3">
      <c r="A132" s="250" t="s">
        <v>704</v>
      </c>
      <c r="B132" s="251" t="s">
        <v>724</v>
      </c>
      <c r="C132" s="251" t="s">
        <v>661</v>
      </c>
      <c r="D132" s="63" t="s">
        <v>744</v>
      </c>
      <c r="E132" s="253" t="s">
        <v>464</v>
      </c>
      <c r="F132" s="184" t="s">
        <v>2027</v>
      </c>
      <c r="G132" s="63" t="s">
        <v>683</v>
      </c>
      <c r="H132" s="184" t="s">
        <v>2027</v>
      </c>
      <c r="I132" s="63" t="s">
        <v>1347</v>
      </c>
      <c r="J132" s="63" t="s">
        <v>51</v>
      </c>
      <c r="K132" s="63" t="s">
        <v>635</v>
      </c>
      <c r="L132" s="63" t="s">
        <v>680</v>
      </c>
      <c r="M132" s="63" t="s">
        <v>26</v>
      </c>
      <c r="N132" s="63" t="s">
        <v>1348</v>
      </c>
      <c r="O132" s="63" t="s">
        <v>133</v>
      </c>
      <c r="P132" s="187" t="s">
        <v>2027</v>
      </c>
      <c r="Q132" s="187" t="s">
        <v>2027</v>
      </c>
      <c r="R132" s="63" t="s">
        <v>35</v>
      </c>
      <c r="S132" s="65">
        <v>3.5000000000000003E-2</v>
      </c>
      <c r="T132" s="64" t="s">
        <v>681</v>
      </c>
      <c r="U132" s="218">
        <v>2013</v>
      </c>
      <c r="V132" s="63" t="s">
        <v>1386</v>
      </c>
      <c r="W132" s="271" t="s">
        <v>34</v>
      </c>
      <c r="X132" s="220" t="s">
        <v>1410</v>
      </c>
      <c r="Y132" s="270" t="s">
        <v>1954</v>
      </c>
    </row>
    <row r="133" spans="1:25" s="27" customFormat="1" ht="151.80000000000001" x14ac:dyDescent="0.3">
      <c r="A133" s="250" t="s">
        <v>705</v>
      </c>
      <c r="B133" s="251" t="s">
        <v>724</v>
      </c>
      <c r="C133" s="251" t="s">
        <v>661</v>
      </c>
      <c r="D133" s="63" t="s">
        <v>744</v>
      </c>
      <c r="E133" s="253" t="s">
        <v>464</v>
      </c>
      <c r="F133" s="184" t="s">
        <v>2027</v>
      </c>
      <c r="G133" s="63" t="s">
        <v>685</v>
      </c>
      <c r="H133" s="184" t="s">
        <v>2027</v>
      </c>
      <c r="I133" s="63" t="s">
        <v>1349</v>
      </c>
      <c r="J133" s="63" t="s">
        <v>51</v>
      </c>
      <c r="K133" s="63" t="s">
        <v>635</v>
      </c>
      <c r="L133" s="63" t="s">
        <v>680</v>
      </c>
      <c r="M133" s="63" t="s">
        <v>26</v>
      </c>
      <c r="N133" s="63" t="s">
        <v>1350</v>
      </c>
      <c r="O133" s="63" t="s">
        <v>133</v>
      </c>
      <c r="P133" s="187" t="s">
        <v>2027</v>
      </c>
      <c r="Q133" s="187" t="s">
        <v>2027</v>
      </c>
      <c r="R133" s="63" t="s">
        <v>35</v>
      </c>
      <c r="S133" s="65">
        <v>3.5000000000000003E-2</v>
      </c>
      <c r="T133" s="64" t="s">
        <v>681</v>
      </c>
      <c r="U133" s="218">
        <v>2013</v>
      </c>
      <c r="V133" s="63" t="s">
        <v>1386</v>
      </c>
      <c r="W133" s="271" t="s">
        <v>34</v>
      </c>
      <c r="X133" s="220" t="s">
        <v>1410</v>
      </c>
      <c r="Y133" s="270" t="s">
        <v>1954</v>
      </c>
    </row>
    <row r="134" spans="1:25" s="27" customFormat="1" ht="151.80000000000001" x14ac:dyDescent="0.3">
      <c r="A134" s="250" t="s">
        <v>709</v>
      </c>
      <c r="B134" s="251" t="s">
        <v>724</v>
      </c>
      <c r="C134" s="251" t="s">
        <v>661</v>
      </c>
      <c r="D134" s="63" t="s">
        <v>744</v>
      </c>
      <c r="E134" s="253" t="s">
        <v>464</v>
      </c>
      <c r="F134" s="184" t="s">
        <v>2027</v>
      </c>
      <c r="G134" s="63" t="s">
        <v>687</v>
      </c>
      <c r="H134" s="184" t="s">
        <v>2027</v>
      </c>
      <c r="I134" s="63" t="s">
        <v>1352</v>
      </c>
      <c r="J134" s="63" t="s">
        <v>51</v>
      </c>
      <c r="K134" s="63" t="s">
        <v>635</v>
      </c>
      <c r="L134" s="63" t="s">
        <v>680</v>
      </c>
      <c r="M134" s="63" t="s">
        <v>26</v>
      </c>
      <c r="N134" s="63" t="s">
        <v>1351</v>
      </c>
      <c r="O134" s="63" t="s">
        <v>133</v>
      </c>
      <c r="P134" s="187" t="s">
        <v>2027</v>
      </c>
      <c r="Q134" s="187" t="s">
        <v>2027</v>
      </c>
      <c r="R134" s="63" t="s">
        <v>35</v>
      </c>
      <c r="S134" s="65">
        <v>3.5000000000000003E-2</v>
      </c>
      <c r="T134" s="64" t="s">
        <v>681</v>
      </c>
      <c r="U134" s="218">
        <v>2013</v>
      </c>
      <c r="V134" s="63" t="s">
        <v>1386</v>
      </c>
      <c r="W134" s="271" t="s">
        <v>34</v>
      </c>
      <c r="X134" s="220" t="s">
        <v>1410</v>
      </c>
      <c r="Y134" s="270" t="s">
        <v>1954</v>
      </c>
    </row>
    <row r="135" spans="1:25" s="27" customFormat="1" ht="151.80000000000001" x14ac:dyDescent="0.3">
      <c r="A135" s="250" t="s">
        <v>710</v>
      </c>
      <c r="B135" s="251" t="s">
        <v>724</v>
      </c>
      <c r="C135" s="251" t="s">
        <v>661</v>
      </c>
      <c r="D135" s="63" t="s">
        <v>744</v>
      </c>
      <c r="E135" s="253" t="s">
        <v>464</v>
      </c>
      <c r="F135" s="184" t="s">
        <v>2027</v>
      </c>
      <c r="G135" s="63" t="s">
        <v>689</v>
      </c>
      <c r="H135" s="184" t="s">
        <v>2027</v>
      </c>
      <c r="I135" s="63" t="s">
        <v>1353</v>
      </c>
      <c r="J135" s="63" t="s">
        <v>51</v>
      </c>
      <c r="K135" s="63" t="s">
        <v>635</v>
      </c>
      <c r="L135" s="63" t="s">
        <v>680</v>
      </c>
      <c r="M135" s="63" t="s">
        <v>26</v>
      </c>
      <c r="N135" s="252" t="s">
        <v>1573</v>
      </c>
      <c r="O135" s="63" t="s">
        <v>133</v>
      </c>
      <c r="P135" s="187" t="s">
        <v>2027</v>
      </c>
      <c r="Q135" s="187" t="s">
        <v>2027</v>
      </c>
      <c r="R135" s="63" t="s">
        <v>35</v>
      </c>
      <c r="S135" s="65">
        <v>3.5000000000000003E-2</v>
      </c>
      <c r="T135" s="64" t="s">
        <v>681</v>
      </c>
      <c r="U135" s="218">
        <v>2013</v>
      </c>
      <c r="V135" s="63" t="s">
        <v>1386</v>
      </c>
      <c r="W135" s="271" t="s">
        <v>34</v>
      </c>
      <c r="X135" s="220" t="s">
        <v>1410</v>
      </c>
      <c r="Y135" s="270" t="s">
        <v>1954</v>
      </c>
    </row>
    <row r="136" spans="1:25" s="27" customFormat="1" ht="151.80000000000001" x14ac:dyDescent="0.3">
      <c r="A136" s="250" t="s">
        <v>715</v>
      </c>
      <c r="B136" s="251" t="s">
        <v>724</v>
      </c>
      <c r="C136" s="251" t="s">
        <v>661</v>
      </c>
      <c r="D136" s="63" t="s">
        <v>1355</v>
      </c>
      <c r="E136" s="253" t="s">
        <v>464</v>
      </c>
      <c r="F136" s="184" t="s">
        <v>2027</v>
      </c>
      <c r="G136" s="63" t="s">
        <v>691</v>
      </c>
      <c r="H136" s="184" t="s">
        <v>2027</v>
      </c>
      <c r="I136" s="63" t="s">
        <v>1356</v>
      </c>
      <c r="J136" s="63" t="s">
        <v>51</v>
      </c>
      <c r="K136" s="63" t="s">
        <v>635</v>
      </c>
      <c r="L136" s="63" t="s">
        <v>680</v>
      </c>
      <c r="M136" s="63" t="s">
        <v>26</v>
      </c>
      <c r="N136" s="63" t="s">
        <v>1354</v>
      </c>
      <c r="O136" s="63" t="s">
        <v>133</v>
      </c>
      <c r="P136" s="187" t="s">
        <v>2027</v>
      </c>
      <c r="Q136" s="187" t="s">
        <v>2027</v>
      </c>
      <c r="R136" s="63" t="s">
        <v>35</v>
      </c>
      <c r="S136" s="65">
        <v>3.5000000000000003E-2</v>
      </c>
      <c r="T136" s="64" t="s">
        <v>681</v>
      </c>
      <c r="U136" s="218">
        <v>2013</v>
      </c>
      <c r="V136" s="63" t="s">
        <v>1386</v>
      </c>
      <c r="W136" s="271" t="s">
        <v>34</v>
      </c>
      <c r="X136" s="220" t="s">
        <v>1410</v>
      </c>
      <c r="Y136" s="270" t="s">
        <v>1954</v>
      </c>
    </row>
    <row r="137" spans="1:25" s="27" customFormat="1" ht="124.2" x14ac:dyDescent="0.3">
      <c r="A137" s="250" t="s">
        <v>721</v>
      </c>
      <c r="B137" s="251" t="s">
        <v>724</v>
      </c>
      <c r="C137" s="251" t="s">
        <v>661</v>
      </c>
      <c r="D137" s="63" t="s">
        <v>1385</v>
      </c>
      <c r="E137" s="253" t="s">
        <v>464</v>
      </c>
      <c r="F137" s="184" t="s">
        <v>2027</v>
      </c>
      <c r="G137" s="186" t="s">
        <v>2027</v>
      </c>
      <c r="H137" s="63" t="s">
        <v>711</v>
      </c>
      <c r="I137" s="63" t="s">
        <v>1825</v>
      </c>
      <c r="J137" s="255" t="s">
        <v>2027</v>
      </c>
      <c r="K137" s="256" t="s">
        <v>267</v>
      </c>
      <c r="L137" s="63" t="s">
        <v>712</v>
      </c>
      <c r="M137" s="63" t="s">
        <v>713</v>
      </c>
      <c r="N137" s="63" t="s">
        <v>2784</v>
      </c>
      <c r="O137" s="63" t="s">
        <v>147</v>
      </c>
      <c r="P137" s="63" t="s">
        <v>764</v>
      </c>
      <c r="Q137" s="63" t="s">
        <v>835</v>
      </c>
      <c r="R137" s="63" t="s">
        <v>35</v>
      </c>
      <c r="S137" s="187" t="s">
        <v>2027</v>
      </c>
      <c r="T137" s="63" t="s">
        <v>714</v>
      </c>
      <c r="U137" s="63">
        <v>2016</v>
      </c>
      <c r="V137" s="63" t="s">
        <v>1114</v>
      </c>
      <c r="W137" s="271" t="s">
        <v>34</v>
      </c>
      <c r="X137" s="184" t="s">
        <v>2027</v>
      </c>
      <c r="Y137" s="270" t="s">
        <v>1954</v>
      </c>
    </row>
    <row r="138" spans="1:25" s="30" customFormat="1" ht="276" x14ac:dyDescent="0.3">
      <c r="A138" s="250" t="s">
        <v>857</v>
      </c>
      <c r="B138" s="251" t="s">
        <v>724</v>
      </c>
      <c r="C138" s="251" t="s">
        <v>661</v>
      </c>
      <c r="D138" s="184" t="s">
        <v>1375</v>
      </c>
      <c r="E138" s="253" t="s">
        <v>464</v>
      </c>
      <c r="F138" s="184" t="s">
        <v>2027</v>
      </c>
      <c r="G138" s="254" t="s">
        <v>1580</v>
      </c>
      <c r="H138" s="254" t="s">
        <v>328</v>
      </c>
      <c r="I138" s="220" t="s">
        <v>1581</v>
      </c>
      <c r="J138" s="184" t="s">
        <v>1378</v>
      </c>
      <c r="K138" s="184" t="s">
        <v>397</v>
      </c>
      <c r="L138" s="184" t="s">
        <v>1374</v>
      </c>
      <c r="M138" s="184" t="s">
        <v>1373</v>
      </c>
      <c r="N138" s="220" t="s">
        <v>1377</v>
      </c>
      <c r="O138" s="184" t="s">
        <v>1376</v>
      </c>
      <c r="P138" s="221" t="s">
        <v>595</v>
      </c>
      <c r="Q138" s="220" t="s">
        <v>125</v>
      </c>
      <c r="R138" s="184" t="s">
        <v>214</v>
      </c>
      <c r="S138" s="190">
        <v>3.5000000000000003E-2</v>
      </c>
      <c r="T138" s="184" t="s">
        <v>32</v>
      </c>
      <c r="U138" s="184">
        <v>2017</v>
      </c>
      <c r="V138" s="252" t="s">
        <v>1372</v>
      </c>
      <c r="W138" s="245" t="s">
        <v>34</v>
      </c>
      <c r="X138" s="184" t="s">
        <v>2027</v>
      </c>
      <c r="Y138" s="270" t="s">
        <v>1954</v>
      </c>
    </row>
    <row r="139" spans="1:25" ht="209.25" customHeight="1" x14ac:dyDescent="0.3">
      <c r="A139" s="250" t="s">
        <v>2084</v>
      </c>
      <c r="B139" s="251" t="s">
        <v>724</v>
      </c>
      <c r="C139" s="251" t="s">
        <v>661</v>
      </c>
      <c r="D139" s="63" t="s">
        <v>2089</v>
      </c>
      <c r="E139" s="253" t="s">
        <v>464</v>
      </c>
      <c r="F139" s="201" t="s">
        <v>2027</v>
      </c>
      <c r="G139" s="234">
        <v>2379</v>
      </c>
      <c r="H139" s="255" t="s">
        <v>2027</v>
      </c>
      <c r="I139" s="220" t="s">
        <v>2100</v>
      </c>
      <c r="J139" s="184" t="s">
        <v>2644</v>
      </c>
      <c r="K139" s="184" t="s">
        <v>635</v>
      </c>
      <c r="L139" s="184" t="s">
        <v>2642</v>
      </c>
      <c r="M139" s="184" t="s">
        <v>26</v>
      </c>
      <c r="N139" s="220" t="s">
        <v>2643</v>
      </c>
      <c r="O139" s="184" t="s">
        <v>41</v>
      </c>
      <c r="P139" s="221" t="s">
        <v>619</v>
      </c>
      <c r="Q139" s="220" t="s">
        <v>2094</v>
      </c>
      <c r="R139" s="184" t="s">
        <v>214</v>
      </c>
      <c r="S139" s="248" t="s">
        <v>2102</v>
      </c>
      <c r="T139" s="184" t="s">
        <v>32</v>
      </c>
      <c r="U139" s="184">
        <v>2018</v>
      </c>
      <c r="V139" s="252" t="s">
        <v>2085</v>
      </c>
      <c r="W139" s="245" t="s">
        <v>34</v>
      </c>
      <c r="X139" s="240" t="s">
        <v>2103</v>
      </c>
      <c r="Y139" s="187">
        <v>2019</v>
      </c>
    </row>
    <row r="140" spans="1:25" ht="202.5" customHeight="1" x14ac:dyDescent="0.3">
      <c r="A140" s="250" t="s">
        <v>2091</v>
      </c>
      <c r="B140" s="251" t="s">
        <v>724</v>
      </c>
      <c r="C140" s="251" t="s">
        <v>661</v>
      </c>
      <c r="D140" s="63" t="s">
        <v>2090</v>
      </c>
      <c r="E140" s="253" t="s">
        <v>464</v>
      </c>
      <c r="F140" s="201" t="s">
        <v>2027</v>
      </c>
      <c r="G140" s="273">
        <v>3726</v>
      </c>
      <c r="H140" s="255" t="s">
        <v>2027</v>
      </c>
      <c r="I140" s="220" t="s">
        <v>2099</v>
      </c>
      <c r="J140" s="184" t="s">
        <v>2644</v>
      </c>
      <c r="K140" s="184" t="s">
        <v>635</v>
      </c>
      <c r="L140" s="184" t="s">
        <v>2642</v>
      </c>
      <c r="M140" s="184" t="s">
        <v>26</v>
      </c>
      <c r="N140" s="220" t="s">
        <v>2643</v>
      </c>
      <c r="O140" s="184" t="s">
        <v>41</v>
      </c>
      <c r="P140" s="221" t="s">
        <v>619</v>
      </c>
      <c r="Q140" s="220" t="s">
        <v>2094</v>
      </c>
      <c r="R140" s="184" t="s">
        <v>214</v>
      </c>
      <c r="S140" s="248" t="s">
        <v>2102</v>
      </c>
      <c r="T140" s="184" t="s">
        <v>32</v>
      </c>
      <c r="U140" s="184">
        <v>2018</v>
      </c>
      <c r="V140" s="252" t="s">
        <v>2085</v>
      </c>
      <c r="W140" s="245" t="s">
        <v>34</v>
      </c>
      <c r="X140" s="240" t="s">
        <v>2103</v>
      </c>
      <c r="Y140" s="187">
        <v>2019</v>
      </c>
    </row>
    <row r="141" spans="1:25" ht="204" customHeight="1" x14ac:dyDescent="0.3">
      <c r="A141" s="250" t="s">
        <v>2092</v>
      </c>
      <c r="B141" s="251" t="s">
        <v>724</v>
      </c>
      <c r="C141" s="251" t="s">
        <v>661</v>
      </c>
      <c r="D141" s="63" t="s">
        <v>2088</v>
      </c>
      <c r="E141" s="253" t="s">
        <v>464</v>
      </c>
      <c r="F141" s="201" t="s">
        <v>2027</v>
      </c>
      <c r="G141" s="273">
        <v>33354</v>
      </c>
      <c r="H141" s="255" t="s">
        <v>2027</v>
      </c>
      <c r="I141" s="220" t="s">
        <v>2098</v>
      </c>
      <c r="J141" s="184" t="s">
        <v>2644</v>
      </c>
      <c r="K141" s="184" t="s">
        <v>635</v>
      </c>
      <c r="L141" s="184" t="s">
        <v>2642</v>
      </c>
      <c r="M141" s="184" t="s">
        <v>26</v>
      </c>
      <c r="N141" s="220" t="s">
        <v>2643</v>
      </c>
      <c r="O141" s="184" t="s">
        <v>41</v>
      </c>
      <c r="P141" s="221" t="s">
        <v>619</v>
      </c>
      <c r="Q141" s="220" t="s">
        <v>2094</v>
      </c>
      <c r="R141" s="184" t="s">
        <v>214</v>
      </c>
      <c r="S141" s="248" t="s">
        <v>2102</v>
      </c>
      <c r="T141" s="184" t="s">
        <v>32</v>
      </c>
      <c r="U141" s="184">
        <v>2018</v>
      </c>
      <c r="V141" s="252" t="s">
        <v>2085</v>
      </c>
      <c r="W141" s="245" t="s">
        <v>34</v>
      </c>
      <c r="X141" s="240" t="s">
        <v>2103</v>
      </c>
      <c r="Y141" s="187">
        <v>2019</v>
      </c>
    </row>
    <row r="142" spans="1:25" ht="180" customHeight="1" x14ac:dyDescent="0.3">
      <c r="A142" s="250" t="s">
        <v>2093</v>
      </c>
      <c r="B142" s="251" t="s">
        <v>724</v>
      </c>
      <c r="C142" s="251" t="s">
        <v>661</v>
      </c>
      <c r="D142" s="63" t="s">
        <v>2086</v>
      </c>
      <c r="E142" s="253" t="s">
        <v>464</v>
      </c>
      <c r="F142" s="201" t="s">
        <v>2027</v>
      </c>
      <c r="G142" s="274">
        <v>14207</v>
      </c>
      <c r="H142" s="255" t="s">
        <v>2027</v>
      </c>
      <c r="I142" s="220" t="s">
        <v>2097</v>
      </c>
      <c r="J142" s="184" t="s">
        <v>2644</v>
      </c>
      <c r="K142" s="184" t="s">
        <v>635</v>
      </c>
      <c r="L142" s="184" t="s">
        <v>2642</v>
      </c>
      <c r="M142" s="184" t="s">
        <v>26</v>
      </c>
      <c r="N142" s="220" t="s">
        <v>2643</v>
      </c>
      <c r="O142" s="184" t="s">
        <v>41</v>
      </c>
      <c r="P142" s="221" t="s">
        <v>619</v>
      </c>
      <c r="Q142" s="220" t="s">
        <v>2094</v>
      </c>
      <c r="R142" s="184" t="s">
        <v>214</v>
      </c>
      <c r="S142" s="248" t="s">
        <v>2102</v>
      </c>
      <c r="T142" s="184" t="s">
        <v>32</v>
      </c>
      <c r="U142" s="184">
        <v>2018</v>
      </c>
      <c r="V142" s="252" t="s">
        <v>2085</v>
      </c>
      <c r="W142" s="245" t="s">
        <v>34</v>
      </c>
      <c r="X142" s="240" t="s">
        <v>2103</v>
      </c>
      <c r="Y142" s="187">
        <v>2019</v>
      </c>
    </row>
    <row r="143" spans="1:25" ht="200.25" customHeight="1" x14ac:dyDescent="0.3">
      <c r="A143" s="250" t="s">
        <v>2189</v>
      </c>
      <c r="B143" s="251" t="s">
        <v>724</v>
      </c>
      <c r="C143" s="251" t="s">
        <v>661</v>
      </c>
      <c r="D143" s="63" t="s">
        <v>2087</v>
      </c>
      <c r="E143" s="253" t="s">
        <v>464</v>
      </c>
      <c r="F143" s="201" t="s">
        <v>2027</v>
      </c>
      <c r="G143" s="275">
        <v>6649.56</v>
      </c>
      <c r="H143" s="255" t="s">
        <v>2027</v>
      </c>
      <c r="I143" s="220" t="s">
        <v>2096</v>
      </c>
      <c r="J143" s="184" t="s">
        <v>1945</v>
      </c>
      <c r="K143" s="184" t="s">
        <v>635</v>
      </c>
      <c r="L143" s="184" t="s">
        <v>2642</v>
      </c>
      <c r="M143" s="184" t="s">
        <v>26</v>
      </c>
      <c r="N143" s="220" t="s">
        <v>2643</v>
      </c>
      <c r="O143" s="184" t="s">
        <v>41</v>
      </c>
      <c r="P143" s="221" t="s">
        <v>619</v>
      </c>
      <c r="Q143" s="221" t="s">
        <v>2095</v>
      </c>
      <c r="R143" s="184" t="s">
        <v>214</v>
      </c>
      <c r="S143" s="248" t="s">
        <v>2101</v>
      </c>
      <c r="T143" s="184" t="s">
        <v>32</v>
      </c>
      <c r="U143" s="184">
        <v>2018</v>
      </c>
      <c r="V143" s="252" t="s">
        <v>2085</v>
      </c>
      <c r="W143" s="245" t="s">
        <v>34</v>
      </c>
      <c r="X143" s="240" t="s">
        <v>2103</v>
      </c>
      <c r="Y143" s="187">
        <v>2019</v>
      </c>
    </row>
    <row r="144" spans="1:25" ht="297.75" customHeight="1" x14ac:dyDescent="0.3">
      <c r="A144" s="250" t="s">
        <v>2196</v>
      </c>
      <c r="B144" s="251" t="s">
        <v>724</v>
      </c>
      <c r="C144" s="251" t="s">
        <v>661</v>
      </c>
      <c r="D144" s="63" t="s">
        <v>2190</v>
      </c>
      <c r="E144" s="253" t="s">
        <v>464</v>
      </c>
      <c r="F144" s="201" t="s">
        <v>2027</v>
      </c>
      <c r="G144" s="275" t="s">
        <v>249</v>
      </c>
      <c r="H144" s="255" t="s">
        <v>2027</v>
      </c>
      <c r="I144" s="220" t="s">
        <v>2193</v>
      </c>
      <c r="J144" s="184" t="s">
        <v>36</v>
      </c>
      <c r="K144" s="184" t="s">
        <v>635</v>
      </c>
      <c r="L144" s="184" t="s">
        <v>2645</v>
      </c>
      <c r="M144" s="184" t="s">
        <v>2192</v>
      </c>
      <c r="N144" s="220" t="s">
        <v>2739</v>
      </c>
      <c r="O144" s="184" t="s">
        <v>245</v>
      </c>
      <c r="P144" s="221" t="s">
        <v>619</v>
      </c>
      <c r="Q144" s="221" t="s">
        <v>2191</v>
      </c>
      <c r="R144" s="184" t="s">
        <v>35</v>
      </c>
      <c r="S144" s="203" t="s">
        <v>2101</v>
      </c>
      <c r="T144" s="184" t="s">
        <v>32</v>
      </c>
      <c r="U144" s="184">
        <v>2019</v>
      </c>
      <c r="V144" s="252" t="s">
        <v>2027</v>
      </c>
      <c r="W144" s="245" t="s">
        <v>34</v>
      </c>
      <c r="X144" s="240" t="s">
        <v>2027</v>
      </c>
      <c r="Y144" s="187">
        <v>2019</v>
      </c>
    </row>
    <row r="145" spans="1:25" ht="297.75" customHeight="1" x14ac:dyDescent="0.3">
      <c r="A145" s="250" t="s">
        <v>2304</v>
      </c>
      <c r="B145" s="251" t="s">
        <v>724</v>
      </c>
      <c r="C145" s="251" t="s">
        <v>661</v>
      </c>
      <c r="D145" s="63" t="s">
        <v>2194</v>
      </c>
      <c r="E145" s="253" t="s">
        <v>464</v>
      </c>
      <c r="F145" s="201" t="s">
        <v>2027</v>
      </c>
      <c r="G145" s="274">
        <v>2810</v>
      </c>
      <c r="H145" s="255" t="s">
        <v>2027</v>
      </c>
      <c r="I145" s="220" t="s">
        <v>2647</v>
      </c>
      <c r="J145" s="184" t="s">
        <v>2195</v>
      </c>
      <c r="K145" s="184" t="s">
        <v>635</v>
      </c>
      <c r="L145" s="184" t="s">
        <v>2197</v>
      </c>
      <c r="M145" s="184" t="s">
        <v>2646</v>
      </c>
      <c r="N145" s="220" t="s">
        <v>2198</v>
      </c>
      <c r="O145" s="184" t="s">
        <v>1990</v>
      </c>
      <c r="P145" s="184" t="s">
        <v>2027</v>
      </c>
      <c r="Q145" s="221" t="s">
        <v>2199</v>
      </c>
      <c r="R145" s="184" t="s">
        <v>332</v>
      </c>
      <c r="S145" s="203" t="s">
        <v>1908</v>
      </c>
      <c r="T145" s="184" t="s">
        <v>32</v>
      </c>
      <c r="U145" s="184">
        <v>2015</v>
      </c>
      <c r="V145" s="252" t="s">
        <v>2027</v>
      </c>
      <c r="W145" s="245" t="s">
        <v>34</v>
      </c>
      <c r="X145" s="240" t="s">
        <v>2027</v>
      </c>
      <c r="Y145" s="187">
        <v>2019</v>
      </c>
    </row>
    <row r="146" spans="1:25" ht="82.8" x14ac:dyDescent="0.3">
      <c r="A146" s="250" t="s">
        <v>2319</v>
      </c>
      <c r="B146" s="251" t="s">
        <v>724</v>
      </c>
      <c r="C146" s="251" t="s">
        <v>699</v>
      </c>
      <c r="D146" s="63" t="s">
        <v>2298</v>
      </c>
      <c r="E146" s="253" t="s">
        <v>464</v>
      </c>
      <c r="F146" s="220" t="s">
        <v>2299</v>
      </c>
      <c r="G146" s="257" t="s">
        <v>2027</v>
      </c>
      <c r="H146" s="255" t="s">
        <v>2027</v>
      </c>
      <c r="I146" s="220" t="s">
        <v>2300</v>
      </c>
      <c r="J146" s="184" t="s">
        <v>58</v>
      </c>
      <c r="K146" s="220" t="s">
        <v>2252</v>
      </c>
      <c r="L146" s="220" t="s">
        <v>2687</v>
      </c>
      <c r="M146" s="220" t="s">
        <v>26</v>
      </c>
      <c r="N146" s="220" t="s">
        <v>2301</v>
      </c>
      <c r="O146" s="220" t="s">
        <v>27</v>
      </c>
      <c r="P146" s="184" t="s">
        <v>2027</v>
      </c>
      <c r="Q146" s="220" t="s">
        <v>2276</v>
      </c>
      <c r="R146" s="220" t="s">
        <v>173</v>
      </c>
      <c r="S146" s="220">
        <v>0.03</v>
      </c>
      <c r="T146" s="220" t="s">
        <v>2302</v>
      </c>
      <c r="U146" s="220">
        <v>2010</v>
      </c>
      <c r="V146" s="220" t="s">
        <v>2303</v>
      </c>
      <c r="W146" s="245" t="s">
        <v>34</v>
      </c>
      <c r="X146" s="184" t="s">
        <v>2027</v>
      </c>
      <c r="Y146" s="187">
        <v>2019</v>
      </c>
    </row>
    <row r="147" spans="1:25" ht="151.80000000000001" x14ac:dyDescent="0.3">
      <c r="A147" s="250" t="s">
        <v>2357</v>
      </c>
      <c r="B147" s="251" t="s">
        <v>724</v>
      </c>
      <c r="C147" s="251" t="s">
        <v>912</v>
      </c>
      <c r="D147" s="63" t="s">
        <v>2312</v>
      </c>
      <c r="E147" s="253" t="s">
        <v>464</v>
      </c>
      <c r="F147" s="184" t="s">
        <v>2313</v>
      </c>
      <c r="G147" s="257" t="s">
        <v>2027</v>
      </c>
      <c r="H147" s="255" t="s">
        <v>2027</v>
      </c>
      <c r="I147" s="184" t="s">
        <v>2314</v>
      </c>
      <c r="J147" s="184" t="s">
        <v>58</v>
      </c>
      <c r="K147" s="184" t="s">
        <v>2252</v>
      </c>
      <c r="L147" s="184" t="s">
        <v>2315</v>
      </c>
      <c r="M147" s="184" t="s">
        <v>2688</v>
      </c>
      <c r="N147" s="184" t="s">
        <v>2316</v>
      </c>
      <c r="O147" s="184" t="s">
        <v>52</v>
      </c>
      <c r="P147" s="184" t="s">
        <v>2027</v>
      </c>
      <c r="Q147" s="255" t="s">
        <v>2276</v>
      </c>
      <c r="R147" s="187" t="s">
        <v>173</v>
      </c>
      <c r="S147" s="190" t="s">
        <v>2317</v>
      </c>
      <c r="T147" s="184" t="s">
        <v>779</v>
      </c>
      <c r="U147" s="184">
        <v>2013</v>
      </c>
      <c r="V147" s="256" t="s">
        <v>2318</v>
      </c>
      <c r="W147" s="261" t="s">
        <v>34</v>
      </c>
      <c r="X147" s="184" t="s">
        <v>2027</v>
      </c>
      <c r="Y147" s="187">
        <v>2019</v>
      </c>
    </row>
    <row r="148" spans="1:25" ht="248.4" x14ac:dyDescent="0.3">
      <c r="A148" s="250" t="s">
        <v>2364</v>
      </c>
      <c r="B148" s="251" t="s">
        <v>724</v>
      </c>
      <c r="C148" s="251" t="s">
        <v>912</v>
      </c>
      <c r="D148" s="63" t="s">
        <v>2358</v>
      </c>
      <c r="E148" s="253" t="s">
        <v>464</v>
      </c>
      <c r="F148" s="184" t="s">
        <v>2359</v>
      </c>
      <c r="G148" s="257" t="s">
        <v>2027</v>
      </c>
      <c r="H148" s="255" t="s">
        <v>2027</v>
      </c>
      <c r="I148" s="184" t="s">
        <v>2360</v>
      </c>
      <c r="J148" s="184" t="s">
        <v>58</v>
      </c>
      <c r="K148" s="184" t="s">
        <v>2252</v>
      </c>
      <c r="L148" s="184" t="s">
        <v>2689</v>
      </c>
      <c r="M148" s="184" t="s">
        <v>2220</v>
      </c>
      <c r="N148" s="184" t="s">
        <v>2361</v>
      </c>
      <c r="O148" s="184" t="s">
        <v>52</v>
      </c>
      <c r="P148" s="184" t="s">
        <v>2027</v>
      </c>
      <c r="Q148" s="255" t="s">
        <v>2362</v>
      </c>
      <c r="R148" s="187" t="s">
        <v>173</v>
      </c>
      <c r="S148" s="190" t="s">
        <v>2317</v>
      </c>
      <c r="T148" s="184" t="s">
        <v>779</v>
      </c>
      <c r="U148" s="184">
        <v>2014</v>
      </c>
      <c r="V148" s="256" t="s">
        <v>2363</v>
      </c>
      <c r="W148" s="261" t="s">
        <v>34</v>
      </c>
      <c r="X148" s="184" t="s">
        <v>2027</v>
      </c>
      <c r="Y148" s="187">
        <v>2019</v>
      </c>
    </row>
    <row r="149" spans="1:25" ht="165.6" x14ac:dyDescent="0.3">
      <c r="A149" s="250" t="s">
        <v>2371</v>
      </c>
      <c r="B149" s="251" t="s">
        <v>724</v>
      </c>
      <c r="C149" s="251" t="s">
        <v>912</v>
      </c>
      <c r="D149" s="63" t="s">
        <v>2350</v>
      </c>
      <c r="E149" s="253" t="s">
        <v>464</v>
      </c>
      <c r="F149" s="184" t="s">
        <v>2351</v>
      </c>
      <c r="G149" s="257" t="s">
        <v>2027</v>
      </c>
      <c r="H149" s="255" t="s">
        <v>2027</v>
      </c>
      <c r="I149" s="184" t="s">
        <v>2352</v>
      </c>
      <c r="J149" s="184" t="s">
        <v>58</v>
      </c>
      <c r="K149" s="184" t="s">
        <v>2252</v>
      </c>
      <c r="L149" s="262" t="s">
        <v>2718</v>
      </c>
      <c r="M149" s="184" t="s">
        <v>2254</v>
      </c>
      <c r="N149" s="184" t="s">
        <v>2353</v>
      </c>
      <c r="O149" s="184" t="s">
        <v>52</v>
      </c>
      <c r="P149" s="184" t="s">
        <v>2027</v>
      </c>
      <c r="Q149" s="255" t="s">
        <v>2354</v>
      </c>
      <c r="R149" s="187" t="s">
        <v>173</v>
      </c>
      <c r="S149" s="190" t="s">
        <v>2229</v>
      </c>
      <c r="T149" s="184" t="s">
        <v>2355</v>
      </c>
      <c r="U149" s="184">
        <v>2005</v>
      </c>
      <c r="V149" s="256" t="s">
        <v>2356</v>
      </c>
      <c r="W149" s="261" t="s">
        <v>34</v>
      </c>
      <c r="X149" s="184" t="s">
        <v>2027</v>
      </c>
      <c r="Y149" s="187">
        <v>2019</v>
      </c>
    </row>
    <row r="150" spans="1:25" ht="165.6" x14ac:dyDescent="0.3">
      <c r="A150" s="250" t="s">
        <v>2516</v>
      </c>
      <c r="B150" s="251" t="s">
        <v>724</v>
      </c>
      <c r="C150" s="251" t="s">
        <v>699</v>
      </c>
      <c r="D150" s="184" t="s">
        <v>2365</v>
      </c>
      <c r="E150" s="253" t="s">
        <v>464</v>
      </c>
      <c r="F150" s="184" t="s">
        <v>2366</v>
      </c>
      <c r="G150" s="257" t="s">
        <v>2027</v>
      </c>
      <c r="H150" s="255" t="s">
        <v>2027</v>
      </c>
      <c r="I150" s="184" t="s">
        <v>2719</v>
      </c>
      <c r="J150" s="184" t="s">
        <v>58</v>
      </c>
      <c r="K150" s="184" t="s">
        <v>2252</v>
      </c>
      <c r="L150" s="184" t="s">
        <v>2367</v>
      </c>
      <c r="M150" s="184" t="s">
        <v>26</v>
      </c>
      <c r="N150" s="184" t="s">
        <v>2368</v>
      </c>
      <c r="O150" s="184" t="s">
        <v>27</v>
      </c>
      <c r="P150" s="184" t="s">
        <v>2027</v>
      </c>
      <c r="Q150" s="255" t="s">
        <v>2369</v>
      </c>
      <c r="R150" s="187" t="s">
        <v>173</v>
      </c>
      <c r="S150" s="263" t="s">
        <v>2317</v>
      </c>
      <c r="T150" s="184" t="s">
        <v>2370</v>
      </c>
      <c r="U150" s="184">
        <v>2005</v>
      </c>
      <c r="V150" s="256" t="s">
        <v>2740</v>
      </c>
      <c r="W150" s="261" t="s">
        <v>34</v>
      </c>
      <c r="X150" s="184" t="s">
        <v>2027</v>
      </c>
      <c r="Y150" s="187">
        <v>2019</v>
      </c>
    </row>
    <row r="151" spans="1:25" ht="220.8" x14ac:dyDescent="0.3">
      <c r="A151" s="250" t="s">
        <v>2521</v>
      </c>
      <c r="B151" s="251" t="s">
        <v>724</v>
      </c>
      <c r="C151" s="251" t="s">
        <v>911</v>
      </c>
      <c r="D151" s="184" t="s">
        <v>2507</v>
      </c>
      <c r="E151" s="253" t="s">
        <v>464</v>
      </c>
      <c r="F151" s="184" t="s">
        <v>2508</v>
      </c>
      <c r="G151" s="257" t="s">
        <v>2027</v>
      </c>
      <c r="H151" s="255" t="s">
        <v>2027</v>
      </c>
      <c r="I151" s="184" t="s">
        <v>2509</v>
      </c>
      <c r="J151" s="184" t="s">
        <v>58</v>
      </c>
      <c r="K151" s="184" t="s">
        <v>2252</v>
      </c>
      <c r="L151" s="184" t="s">
        <v>2510</v>
      </c>
      <c r="M151" s="184" t="s">
        <v>2511</v>
      </c>
      <c r="N151" s="255" t="s">
        <v>2512</v>
      </c>
      <c r="O151" s="184" t="s">
        <v>27</v>
      </c>
      <c r="P151" s="184" t="s">
        <v>2027</v>
      </c>
      <c r="Q151" s="255" t="s">
        <v>2513</v>
      </c>
      <c r="R151" s="187" t="s">
        <v>173</v>
      </c>
      <c r="S151" s="190">
        <v>0.03</v>
      </c>
      <c r="T151" s="259" t="s">
        <v>1033</v>
      </c>
      <c r="U151" s="184">
        <v>2015</v>
      </c>
      <c r="V151" s="256" t="s">
        <v>2514</v>
      </c>
      <c r="W151" s="261" t="s">
        <v>2210</v>
      </c>
      <c r="X151" s="261" t="s">
        <v>2515</v>
      </c>
      <c r="Y151" s="187">
        <v>2019</v>
      </c>
    </row>
    <row r="152" spans="1:25" ht="179.4" x14ac:dyDescent="0.3">
      <c r="A152" s="250" t="s">
        <v>2768</v>
      </c>
      <c r="B152" s="251" t="s">
        <v>724</v>
      </c>
      <c r="C152" s="251" t="s">
        <v>911</v>
      </c>
      <c r="D152" s="184" t="s">
        <v>2517</v>
      </c>
      <c r="E152" s="253" t="s">
        <v>464</v>
      </c>
      <c r="F152" s="255" t="s">
        <v>2518</v>
      </c>
      <c r="G152" s="257" t="s">
        <v>2027</v>
      </c>
      <c r="H152" s="255" t="s">
        <v>2027</v>
      </c>
      <c r="I152" s="184" t="s">
        <v>2519</v>
      </c>
      <c r="J152" s="184" t="s">
        <v>58</v>
      </c>
      <c r="K152" s="184" t="s">
        <v>2252</v>
      </c>
      <c r="L152" s="184" t="s">
        <v>2510</v>
      </c>
      <c r="M152" s="184" t="s">
        <v>2511</v>
      </c>
      <c r="N152" s="255" t="s">
        <v>2753</v>
      </c>
      <c r="O152" s="184" t="s">
        <v>27</v>
      </c>
      <c r="P152" s="184" t="s">
        <v>2027</v>
      </c>
      <c r="Q152" s="255" t="s">
        <v>2513</v>
      </c>
      <c r="R152" s="258" t="s">
        <v>173</v>
      </c>
      <c r="S152" s="190">
        <v>0.03</v>
      </c>
      <c r="T152" s="259" t="s">
        <v>1033</v>
      </c>
      <c r="U152" s="255">
        <v>2015</v>
      </c>
      <c r="V152" s="256" t="s">
        <v>2514</v>
      </c>
      <c r="W152" s="261" t="s">
        <v>2210</v>
      </c>
      <c r="X152" s="261" t="s">
        <v>2520</v>
      </c>
      <c r="Y152" s="187">
        <v>2019</v>
      </c>
    </row>
    <row r="153" spans="1:25" s="29" customFormat="1" ht="138" x14ac:dyDescent="0.3">
      <c r="A153" s="250" t="s">
        <v>126</v>
      </c>
      <c r="B153" s="251" t="s">
        <v>1484</v>
      </c>
      <c r="C153" s="251" t="s">
        <v>991</v>
      </c>
      <c r="D153" s="199" t="s">
        <v>730</v>
      </c>
      <c r="E153" s="253" t="s">
        <v>464</v>
      </c>
      <c r="F153" s="201" t="s">
        <v>1055</v>
      </c>
      <c r="G153" s="189">
        <v>18230</v>
      </c>
      <c r="H153" s="184" t="s">
        <v>2027</v>
      </c>
      <c r="I153" s="256" t="s">
        <v>1227</v>
      </c>
      <c r="J153" s="256" t="s">
        <v>731</v>
      </c>
      <c r="K153" s="254" t="s">
        <v>397</v>
      </c>
      <c r="L153" s="256" t="s">
        <v>123</v>
      </c>
      <c r="M153" s="256" t="s">
        <v>519</v>
      </c>
      <c r="N153" s="193" t="s">
        <v>520</v>
      </c>
      <c r="O153" s="199" t="s">
        <v>52</v>
      </c>
      <c r="P153" s="199" t="s">
        <v>595</v>
      </c>
      <c r="Q153" s="199" t="s">
        <v>124</v>
      </c>
      <c r="R153" s="207" t="s">
        <v>35</v>
      </c>
      <c r="S153" s="193" t="s">
        <v>331</v>
      </c>
      <c r="T153" s="199" t="s">
        <v>521</v>
      </c>
      <c r="U153" s="199">
        <v>2005</v>
      </c>
      <c r="V153" s="256" t="s">
        <v>1142</v>
      </c>
      <c r="W153" s="188" t="s">
        <v>34</v>
      </c>
      <c r="X153" s="184" t="s">
        <v>2027</v>
      </c>
      <c r="Y153" s="270" t="s">
        <v>1954</v>
      </c>
    </row>
    <row r="154" spans="1:25" s="29" customFormat="1" ht="220.8" x14ac:dyDescent="0.3">
      <c r="A154" s="250" t="s">
        <v>127</v>
      </c>
      <c r="B154" s="251" t="s">
        <v>1484</v>
      </c>
      <c r="C154" s="251" t="s">
        <v>991</v>
      </c>
      <c r="D154" s="199" t="s">
        <v>730</v>
      </c>
      <c r="E154" s="253" t="s">
        <v>464</v>
      </c>
      <c r="F154" s="184" t="s">
        <v>2027</v>
      </c>
      <c r="G154" s="222" t="s">
        <v>291</v>
      </c>
      <c r="H154" s="184" t="s">
        <v>2027</v>
      </c>
      <c r="I154" s="254" t="s">
        <v>1226</v>
      </c>
      <c r="J154" s="255" t="s">
        <v>2027</v>
      </c>
      <c r="K154" s="254" t="s">
        <v>397</v>
      </c>
      <c r="L154" s="184" t="s">
        <v>2027</v>
      </c>
      <c r="M154" s="256" t="s">
        <v>26</v>
      </c>
      <c r="N154" s="184" t="s">
        <v>1225</v>
      </c>
      <c r="O154" s="184" t="s">
        <v>2027</v>
      </c>
      <c r="P154" s="199" t="s">
        <v>595</v>
      </c>
      <c r="Q154" s="199" t="s">
        <v>125</v>
      </c>
      <c r="R154" s="207" t="s">
        <v>206</v>
      </c>
      <c r="S154" s="187" t="s">
        <v>2027</v>
      </c>
      <c r="T154" s="199" t="s">
        <v>300</v>
      </c>
      <c r="U154" s="199">
        <v>2011</v>
      </c>
      <c r="V154" s="256" t="s">
        <v>1143</v>
      </c>
      <c r="W154" s="188" t="s">
        <v>34</v>
      </c>
      <c r="X154" s="220" t="s">
        <v>732</v>
      </c>
      <c r="Y154" s="270" t="s">
        <v>1954</v>
      </c>
    </row>
    <row r="155" spans="1:25" s="29" customFormat="1" ht="193.2" x14ac:dyDescent="0.3">
      <c r="A155" s="250" t="s">
        <v>128</v>
      </c>
      <c r="B155" s="251" t="s">
        <v>1484</v>
      </c>
      <c r="C155" s="251" t="s">
        <v>991</v>
      </c>
      <c r="D155" s="199" t="s">
        <v>730</v>
      </c>
      <c r="E155" s="253" t="s">
        <v>464</v>
      </c>
      <c r="F155" s="184" t="s">
        <v>2027</v>
      </c>
      <c r="G155" s="223" t="s">
        <v>993</v>
      </c>
      <c r="H155" s="184" t="s">
        <v>2027</v>
      </c>
      <c r="I155" s="184" t="s">
        <v>1826</v>
      </c>
      <c r="J155" s="255" t="s">
        <v>2027</v>
      </c>
      <c r="K155" s="184" t="s">
        <v>734</v>
      </c>
      <c r="L155" s="184" t="s">
        <v>2027</v>
      </c>
      <c r="M155" s="199" t="s">
        <v>258</v>
      </c>
      <c r="N155" s="254" t="s">
        <v>733</v>
      </c>
      <c r="O155" s="184" t="s">
        <v>2027</v>
      </c>
      <c r="P155" s="199" t="s">
        <v>595</v>
      </c>
      <c r="Q155" s="187" t="s">
        <v>2027</v>
      </c>
      <c r="R155" s="207" t="s">
        <v>35</v>
      </c>
      <c r="S155" s="187" t="s">
        <v>2027</v>
      </c>
      <c r="T155" s="199" t="s">
        <v>32</v>
      </c>
      <c r="U155" s="199">
        <v>2014</v>
      </c>
      <c r="V155" s="254" t="s">
        <v>1188</v>
      </c>
      <c r="W155" s="276" t="s">
        <v>34</v>
      </c>
      <c r="X155" s="184" t="s">
        <v>2027</v>
      </c>
      <c r="Y155" s="270" t="s">
        <v>1954</v>
      </c>
    </row>
    <row r="156" spans="1:25" s="29" customFormat="1" ht="179.4" x14ac:dyDescent="0.3">
      <c r="A156" s="250" t="s">
        <v>129</v>
      </c>
      <c r="B156" s="251" t="s">
        <v>1484</v>
      </c>
      <c r="C156" s="251" t="s">
        <v>991</v>
      </c>
      <c r="D156" s="199" t="s">
        <v>730</v>
      </c>
      <c r="E156" s="253" t="s">
        <v>464</v>
      </c>
      <c r="F156" s="184" t="s">
        <v>2027</v>
      </c>
      <c r="G156" s="186" t="s">
        <v>2027</v>
      </c>
      <c r="H156" s="256" t="s">
        <v>328</v>
      </c>
      <c r="I156" s="184" t="s">
        <v>1827</v>
      </c>
      <c r="J156" s="255" t="s">
        <v>2027</v>
      </c>
      <c r="K156" s="184" t="s">
        <v>734</v>
      </c>
      <c r="L156" s="199" t="s">
        <v>1471</v>
      </c>
      <c r="M156" s="199" t="s">
        <v>1460</v>
      </c>
      <c r="N156" s="255" t="s">
        <v>2027</v>
      </c>
      <c r="O156" s="199" t="s">
        <v>245</v>
      </c>
      <c r="P156" s="199" t="s">
        <v>595</v>
      </c>
      <c r="Q156" s="199" t="s">
        <v>287</v>
      </c>
      <c r="R156" s="199" t="s">
        <v>332</v>
      </c>
      <c r="S156" s="224">
        <v>3.5000000000000003E-2</v>
      </c>
      <c r="T156" s="199" t="s">
        <v>32</v>
      </c>
      <c r="U156" s="199">
        <v>2011</v>
      </c>
      <c r="V156" s="254" t="s">
        <v>1454</v>
      </c>
      <c r="W156" s="276" t="s">
        <v>34</v>
      </c>
      <c r="X156" s="184" t="s">
        <v>2027</v>
      </c>
      <c r="Y156" s="270" t="s">
        <v>1954</v>
      </c>
    </row>
    <row r="157" spans="1:25" s="29" customFormat="1" ht="179.4" x14ac:dyDescent="0.3">
      <c r="A157" s="250" t="s">
        <v>130</v>
      </c>
      <c r="B157" s="251" t="s">
        <v>1484</v>
      </c>
      <c r="C157" s="251" t="s">
        <v>991</v>
      </c>
      <c r="D157" s="199" t="s">
        <v>730</v>
      </c>
      <c r="E157" s="253" t="s">
        <v>464</v>
      </c>
      <c r="F157" s="184" t="s">
        <v>2027</v>
      </c>
      <c r="G157" s="186" t="s">
        <v>2027</v>
      </c>
      <c r="H157" s="256" t="s">
        <v>328</v>
      </c>
      <c r="I157" s="184" t="s">
        <v>1472</v>
      </c>
      <c r="J157" s="255" t="s">
        <v>2027</v>
      </c>
      <c r="K157" s="184" t="s">
        <v>734</v>
      </c>
      <c r="L157" s="199" t="s">
        <v>1471</v>
      </c>
      <c r="M157" s="199" t="s">
        <v>1460</v>
      </c>
      <c r="N157" s="255" t="s">
        <v>2027</v>
      </c>
      <c r="O157" s="199" t="s">
        <v>245</v>
      </c>
      <c r="P157" s="199" t="s">
        <v>595</v>
      </c>
      <c r="Q157" s="199" t="s">
        <v>287</v>
      </c>
      <c r="R157" s="199" t="s">
        <v>332</v>
      </c>
      <c r="S157" s="224">
        <v>3.5000000000000003E-2</v>
      </c>
      <c r="T157" s="199" t="s">
        <v>32</v>
      </c>
      <c r="U157" s="199">
        <v>2011</v>
      </c>
      <c r="V157" s="254" t="s">
        <v>1454</v>
      </c>
      <c r="W157" s="276" t="s">
        <v>34</v>
      </c>
      <c r="X157" s="184" t="s">
        <v>2027</v>
      </c>
      <c r="Y157" s="270" t="s">
        <v>1954</v>
      </c>
    </row>
    <row r="158" spans="1:25" s="29" customFormat="1" ht="220.8" x14ac:dyDescent="0.3">
      <c r="A158" s="250" t="s">
        <v>131</v>
      </c>
      <c r="B158" s="251" t="s">
        <v>1484</v>
      </c>
      <c r="C158" s="251" t="s">
        <v>116</v>
      </c>
      <c r="D158" s="199" t="s">
        <v>1480</v>
      </c>
      <c r="E158" s="253" t="s">
        <v>464</v>
      </c>
      <c r="F158" s="184" t="s">
        <v>2027</v>
      </c>
      <c r="G158" s="223" t="s">
        <v>1479</v>
      </c>
      <c r="H158" s="184" t="s">
        <v>2027</v>
      </c>
      <c r="I158" s="254" t="s">
        <v>1474</v>
      </c>
      <c r="J158" s="255" t="s">
        <v>2027</v>
      </c>
      <c r="K158" s="184" t="s">
        <v>2027</v>
      </c>
      <c r="L158" s="184" t="s">
        <v>2027</v>
      </c>
      <c r="M158" s="194" t="s">
        <v>2027</v>
      </c>
      <c r="N158" s="254" t="s">
        <v>1478</v>
      </c>
      <c r="O158" s="184" t="s">
        <v>2027</v>
      </c>
      <c r="P158" s="199" t="s">
        <v>595</v>
      </c>
      <c r="Q158" s="199" t="s">
        <v>1475</v>
      </c>
      <c r="R158" s="207" t="s">
        <v>1476</v>
      </c>
      <c r="S158" s="225">
        <v>0.03</v>
      </c>
      <c r="T158" s="199" t="s">
        <v>1477</v>
      </c>
      <c r="U158" s="199">
        <v>2007</v>
      </c>
      <c r="V158" s="254" t="s">
        <v>1473</v>
      </c>
      <c r="W158" s="276" t="s">
        <v>34</v>
      </c>
      <c r="X158" s="184" t="s">
        <v>2027</v>
      </c>
      <c r="Y158" s="270" t="s">
        <v>1954</v>
      </c>
    </row>
    <row r="159" spans="1:25" s="29" customFormat="1" ht="179.4" x14ac:dyDescent="0.3">
      <c r="A159" s="250" t="s">
        <v>143</v>
      </c>
      <c r="B159" s="251" t="s">
        <v>1484</v>
      </c>
      <c r="C159" s="251" t="s">
        <v>991</v>
      </c>
      <c r="D159" s="199" t="s">
        <v>730</v>
      </c>
      <c r="E159" s="253" t="s">
        <v>464</v>
      </c>
      <c r="F159" s="184" t="s">
        <v>2027</v>
      </c>
      <c r="G159" s="226">
        <v>5043</v>
      </c>
      <c r="H159" s="184" t="s">
        <v>2027</v>
      </c>
      <c r="I159" s="184" t="s">
        <v>1828</v>
      </c>
      <c r="J159" s="199" t="s">
        <v>51</v>
      </c>
      <c r="K159" s="184" t="s">
        <v>734</v>
      </c>
      <c r="L159" s="199" t="s">
        <v>1456</v>
      </c>
      <c r="M159" s="199" t="s">
        <v>987</v>
      </c>
      <c r="N159" s="254" t="s">
        <v>1455</v>
      </c>
      <c r="O159" s="199" t="s">
        <v>52</v>
      </c>
      <c r="P159" s="199" t="s">
        <v>595</v>
      </c>
      <c r="Q159" s="199" t="s">
        <v>125</v>
      </c>
      <c r="R159" s="207" t="s">
        <v>35</v>
      </c>
      <c r="S159" s="193" t="s">
        <v>331</v>
      </c>
      <c r="T159" s="199" t="s">
        <v>32</v>
      </c>
      <c r="U159" s="199">
        <v>2011</v>
      </c>
      <c r="V159" s="254" t="s">
        <v>1454</v>
      </c>
      <c r="W159" s="276" t="s">
        <v>34</v>
      </c>
      <c r="X159" s="184" t="s">
        <v>2027</v>
      </c>
      <c r="Y159" s="270" t="s">
        <v>1954</v>
      </c>
    </row>
    <row r="160" spans="1:25" s="29" customFormat="1" ht="138" x14ac:dyDescent="0.3">
      <c r="A160" s="250" t="s">
        <v>144</v>
      </c>
      <c r="B160" s="251" t="s">
        <v>1484</v>
      </c>
      <c r="C160" s="251" t="s">
        <v>991</v>
      </c>
      <c r="D160" s="199" t="s">
        <v>992</v>
      </c>
      <c r="E160" s="253" t="s">
        <v>464</v>
      </c>
      <c r="F160" s="201" t="s">
        <v>1056</v>
      </c>
      <c r="G160" s="186" t="s">
        <v>2027</v>
      </c>
      <c r="H160" s="184" t="s">
        <v>2027</v>
      </c>
      <c r="I160" s="201" t="s">
        <v>1228</v>
      </c>
      <c r="J160" s="184" t="s">
        <v>58</v>
      </c>
      <c r="K160" s="184" t="s">
        <v>397</v>
      </c>
      <c r="L160" s="199" t="s">
        <v>123</v>
      </c>
      <c r="M160" s="199" t="s">
        <v>26</v>
      </c>
      <c r="N160" s="193" t="s">
        <v>522</v>
      </c>
      <c r="O160" s="199" t="s">
        <v>52</v>
      </c>
      <c r="P160" s="199" t="s">
        <v>595</v>
      </c>
      <c r="Q160" s="199" t="s">
        <v>124</v>
      </c>
      <c r="R160" s="207" t="s">
        <v>35</v>
      </c>
      <c r="S160" s="193" t="s">
        <v>331</v>
      </c>
      <c r="T160" s="199" t="s">
        <v>521</v>
      </c>
      <c r="U160" s="199">
        <v>2005</v>
      </c>
      <c r="V160" s="256" t="s">
        <v>1142</v>
      </c>
      <c r="W160" s="188" t="s">
        <v>34</v>
      </c>
      <c r="X160" s="184" t="s">
        <v>2027</v>
      </c>
      <c r="Y160" s="270" t="s">
        <v>1954</v>
      </c>
    </row>
    <row r="161" spans="1:25" s="29" customFormat="1" ht="179.4" x14ac:dyDescent="0.3">
      <c r="A161" s="250" t="s">
        <v>150</v>
      </c>
      <c r="B161" s="251" t="s">
        <v>1484</v>
      </c>
      <c r="C161" s="251" t="s">
        <v>991</v>
      </c>
      <c r="D161" s="199" t="s">
        <v>730</v>
      </c>
      <c r="E161" s="253" t="s">
        <v>464</v>
      </c>
      <c r="F161" s="184" t="s">
        <v>2027</v>
      </c>
      <c r="G161" s="226">
        <v>5395</v>
      </c>
      <c r="H161" s="184" t="s">
        <v>2027</v>
      </c>
      <c r="I161" s="184" t="s">
        <v>1457</v>
      </c>
      <c r="J161" s="199" t="s">
        <v>51</v>
      </c>
      <c r="K161" s="184" t="s">
        <v>734</v>
      </c>
      <c r="L161" s="199" t="s">
        <v>1456</v>
      </c>
      <c r="M161" s="199" t="s">
        <v>987</v>
      </c>
      <c r="N161" s="254" t="s">
        <v>1455</v>
      </c>
      <c r="O161" s="199" t="s">
        <v>52</v>
      </c>
      <c r="P161" s="199" t="s">
        <v>595</v>
      </c>
      <c r="Q161" s="199" t="s">
        <v>125</v>
      </c>
      <c r="R161" s="207" t="s">
        <v>35</v>
      </c>
      <c r="S161" s="193" t="s">
        <v>331</v>
      </c>
      <c r="T161" s="199" t="s">
        <v>32</v>
      </c>
      <c r="U161" s="199">
        <v>2011</v>
      </c>
      <c r="V161" s="254" t="s">
        <v>1454</v>
      </c>
      <c r="W161" s="276" t="s">
        <v>34</v>
      </c>
      <c r="X161" s="184" t="s">
        <v>2027</v>
      </c>
      <c r="Y161" s="270" t="s">
        <v>1954</v>
      </c>
    </row>
    <row r="162" spans="1:25" s="31" customFormat="1" ht="220.8" x14ac:dyDescent="0.3">
      <c r="A162" s="250" t="s">
        <v>151</v>
      </c>
      <c r="B162" s="251" t="s">
        <v>1484</v>
      </c>
      <c r="C162" s="251" t="s">
        <v>116</v>
      </c>
      <c r="D162" s="199" t="s">
        <v>1072</v>
      </c>
      <c r="E162" s="253" t="s">
        <v>464</v>
      </c>
      <c r="F162" s="256" t="s">
        <v>1057</v>
      </c>
      <c r="G162" s="186" t="s">
        <v>2027</v>
      </c>
      <c r="H162" s="256" t="s">
        <v>328</v>
      </c>
      <c r="I162" s="255" t="s">
        <v>1230</v>
      </c>
      <c r="J162" s="255" t="s">
        <v>2027</v>
      </c>
      <c r="K162" s="256" t="s">
        <v>267</v>
      </c>
      <c r="L162" s="184" t="s">
        <v>2027</v>
      </c>
      <c r="M162" s="194" t="s">
        <v>2027</v>
      </c>
      <c r="N162" s="201" t="s">
        <v>1229</v>
      </c>
      <c r="O162" s="184" t="s">
        <v>2027</v>
      </c>
      <c r="P162" s="201" t="s">
        <v>595</v>
      </c>
      <c r="Q162" s="255" t="s">
        <v>117</v>
      </c>
      <c r="R162" s="227" t="s">
        <v>35</v>
      </c>
      <c r="S162" s="187" t="s">
        <v>2027</v>
      </c>
      <c r="T162" s="201" t="s">
        <v>32</v>
      </c>
      <c r="U162" s="199">
        <v>2016</v>
      </c>
      <c r="V162" s="254" t="s">
        <v>1114</v>
      </c>
      <c r="W162" s="188" t="s">
        <v>34</v>
      </c>
      <c r="X162" s="184" t="s">
        <v>2027</v>
      </c>
      <c r="Y162" s="270" t="s">
        <v>1954</v>
      </c>
    </row>
    <row r="163" spans="1:25" s="31" customFormat="1" ht="207" x14ac:dyDescent="0.3">
      <c r="A163" s="250" t="s">
        <v>152</v>
      </c>
      <c r="B163" s="251" t="s">
        <v>1484</v>
      </c>
      <c r="C163" s="251" t="s">
        <v>116</v>
      </c>
      <c r="D163" s="199" t="s">
        <v>1072</v>
      </c>
      <c r="E163" s="253" t="s">
        <v>464</v>
      </c>
      <c r="F163" s="228" t="s">
        <v>1458</v>
      </c>
      <c r="G163" s="186" t="s">
        <v>2027</v>
      </c>
      <c r="H163" s="256" t="s">
        <v>328</v>
      </c>
      <c r="I163" s="255" t="s">
        <v>1459</v>
      </c>
      <c r="J163" s="184" t="s">
        <v>58</v>
      </c>
      <c r="K163" s="256" t="s">
        <v>1464</v>
      </c>
      <c r="L163" s="201" t="s">
        <v>1465</v>
      </c>
      <c r="M163" s="196" t="s">
        <v>1460</v>
      </c>
      <c r="N163" s="201" t="s">
        <v>1462</v>
      </c>
      <c r="O163" s="201" t="s">
        <v>1463</v>
      </c>
      <c r="P163" s="201" t="s">
        <v>595</v>
      </c>
      <c r="Q163" s="255" t="s">
        <v>117</v>
      </c>
      <c r="R163" s="227" t="s">
        <v>35</v>
      </c>
      <c r="S163" s="187" t="s">
        <v>2027</v>
      </c>
      <c r="T163" s="201" t="s">
        <v>32</v>
      </c>
      <c r="U163" s="199">
        <v>2016</v>
      </c>
      <c r="V163" s="255" t="s">
        <v>1461</v>
      </c>
      <c r="W163" s="188" t="s">
        <v>34</v>
      </c>
      <c r="X163" s="184" t="s">
        <v>2027</v>
      </c>
      <c r="Y163" s="270" t="s">
        <v>1954</v>
      </c>
    </row>
    <row r="164" spans="1:25" s="31" customFormat="1" ht="193.2" x14ac:dyDescent="0.3">
      <c r="A164" s="250" t="s">
        <v>153</v>
      </c>
      <c r="B164" s="251" t="s">
        <v>1484</v>
      </c>
      <c r="C164" s="251" t="s">
        <v>116</v>
      </c>
      <c r="D164" s="199" t="s">
        <v>1481</v>
      </c>
      <c r="E164" s="253" t="s">
        <v>464</v>
      </c>
      <c r="F164" s="184" t="s">
        <v>2027</v>
      </c>
      <c r="G164" s="186" t="s">
        <v>2027</v>
      </c>
      <c r="H164" s="255" t="s">
        <v>261</v>
      </c>
      <c r="I164" s="255" t="s">
        <v>1231</v>
      </c>
      <c r="J164" s="255" t="s">
        <v>2027</v>
      </c>
      <c r="K164" s="256" t="s">
        <v>267</v>
      </c>
      <c r="L164" s="184" t="s">
        <v>2027</v>
      </c>
      <c r="M164" s="194" t="s">
        <v>2027</v>
      </c>
      <c r="N164" s="255" t="s">
        <v>1829</v>
      </c>
      <c r="O164" s="184" t="s">
        <v>2027</v>
      </c>
      <c r="P164" s="199" t="s">
        <v>595</v>
      </c>
      <c r="Q164" s="184" t="s">
        <v>117</v>
      </c>
      <c r="R164" s="207" t="s">
        <v>35</v>
      </c>
      <c r="S164" s="187" t="s">
        <v>2027</v>
      </c>
      <c r="T164" s="199" t="s">
        <v>32</v>
      </c>
      <c r="U164" s="199">
        <v>2016</v>
      </c>
      <c r="V164" s="254" t="s">
        <v>1114</v>
      </c>
      <c r="W164" s="188" t="s">
        <v>34</v>
      </c>
      <c r="X164" s="184" t="s">
        <v>2027</v>
      </c>
      <c r="Y164" s="270" t="s">
        <v>1954</v>
      </c>
    </row>
    <row r="165" spans="1:25" s="31" customFormat="1" ht="165.6" x14ac:dyDescent="0.3">
      <c r="A165" s="250" t="s">
        <v>154</v>
      </c>
      <c r="B165" s="251" t="s">
        <v>1484</v>
      </c>
      <c r="C165" s="251" t="s">
        <v>116</v>
      </c>
      <c r="D165" s="184" t="s">
        <v>2463</v>
      </c>
      <c r="E165" s="253" t="s">
        <v>464</v>
      </c>
      <c r="F165" s="184" t="s">
        <v>2027</v>
      </c>
      <c r="G165" s="223" t="s">
        <v>231</v>
      </c>
      <c r="H165" s="184" t="s">
        <v>2027</v>
      </c>
      <c r="I165" s="255" t="s">
        <v>1232</v>
      </c>
      <c r="J165" s="255" t="s">
        <v>2027</v>
      </c>
      <c r="K165" s="184" t="s">
        <v>2027</v>
      </c>
      <c r="L165" s="184" t="s">
        <v>2027</v>
      </c>
      <c r="M165" s="194" t="s">
        <v>2027</v>
      </c>
      <c r="N165" s="201" t="s">
        <v>1073</v>
      </c>
      <c r="O165" s="184" t="s">
        <v>2027</v>
      </c>
      <c r="P165" s="201" t="s">
        <v>595</v>
      </c>
      <c r="Q165" s="255" t="s">
        <v>1002</v>
      </c>
      <c r="R165" s="201" t="s">
        <v>1001</v>
      </c>
      <c r="S165" s="187" t="s">
        <v>2027</v>
      </c>
      <c r="T165" s="201" t="s">
        <v>340</v>
      </c>
      <c r="U165" s="199">
        <v>2014</v>
      </c>
      <c r="V165" s="254" t="s">
        <v>1144</v>
      </c>
      <c r="W165" s="188" t="s">
        <v>34</v>
      </c>
      <c r="X165" s="220" t="s">
        <v>732</v>
      </c>
      <c r="Y165" s="270" t="s">
        <v>1954</v>
      </c>
    </row>
    <row r="166" spans="1:25" s="29" customFormat="1" ht="179.4" x14ac:dyDescent="0.3">
      <c r="A166" s="250" t="s">
        <v>155</v>
      </c>
      <c r="B166" s="251" t="s">
        <v>1484</v>
      </c>
      <c r="C166" s="251" t="s">
        <v>116</v>
      </c>
      <c r="D166" s="184" t="s">
        <v>216</v>
      </c>
      <c r="E166" s="253" t="s">
        <v>464</v>
      </c>
      <c r="F166" s="184" t="s">
        <v>2027</v>
      </c>
      <c r="G166" s="222" t="s">
        <v>255</v>
      </c>
      <c r="H166" s="184" t="s">
        <v>2027</v>
      </c>
      <c r="I166" s="184" t="s">
        <v>1233</v>
      </c>
      <c r="J166" s="255" t="s">
        <v>2027</v>
      </c>
      <c r="K166" s="199" t="s">
        <v>397</v>
      </c>
      <c r="L166" s="184" t="s">
        <v>2027</v>
      </c>
      <c r="M166" s="194" t="s">
        <v>2027</v>
      </c>
      <c r="N166" s="184" t="s">
        <v>257</v>
      </c>
      <c r="O166" s="184" t="s">
        <v>2027</v>
      </c>
      <c r="P166" s="199" t="s">
        <v>595</v>
      </c>
      <c r="Q166" s="184" t="s">
        <v>125</v>
      </c>
      <c r="R166" s="207" t="s">
        <v>35</v>
      </c>
      <c r="S166" s="187" t="s">
        <v>2027</v>
      </c>
      <c r="T166" s="199" t="s">
        <v>32</v>
      </c>
      <c r="U166" s="199">
        <v>2014</v>
      </c>
      <c r="V166" s="254" t="s">
        <v>1145</v>
      </c>
      <c r="W166" s="188" t="s">
        <v>34</v>
      </c>
      <c r="X166" s="220" t="s">
        <v>732</v>
      </c>
      <c r="Y166" s="270" t="s">
        <v>1954</v>
      </c>
    </row>
    <row r="167" spans="1:25" s="29" customFormat="1" ht="138" x14ac:dyDescent="0.3">
      <c r="A167" s="250" t="s">
        <v>156</v>
      </c>
      <c r="B167" s="251" t="s">
        <v>1484</v>
      </c>
      <c r="C167" s="251" t="s">
        <v>116</v>
      </c>
      <c r="D167" s="184" t="s">
        <v>870</v>
      </c>
      <c r="E167" s="253" t="s">
        <v>464</v>
      </c>
      <c r="F167" s="184" t="s">
        <v>2027</v>
      </c>
      <c r="G167" s="189"/>
      <c r="H167" s="184" t="s">
        <v>2165</v>
      </c>
      <c r="I167" s="184" t="s">
        <v>871</v>
      </c>
      <c r="J167" s="184" t="s">
        <v>51</v>
      </c>
      <c r="K167" s="184" t="s">
        <v>396</v>
      </c>
      <c r="L167" s="184" t="s">
        <v>873</v>
      </c>
      <c r="M167" s="184" t="s">
        <v>865</v>
      </c>
      <c r="N167" s="184" t="s">
        <v>872</v>
      </c>
      <c r="O167" s="184" t="s">
        <v>2027</v>
      </c>
      <c r="P167" s="184" t="s">
        <v>595</v>
      </c>
      <c r="Q167" s="255" t="s">
        <v>739</v>
      </c>
      <c r="R167" s="187" t="s">
        <v>35</v>
      </c>
      <c r="S167" s="203">
        <v>3.5000000000000003E-2</v>
      </c>
      <c r="T167" s="184" t="s">
        <v>554</v>
      </c>
      <c r="U167" s="184">
        <v>2009</v>
      </c>
      <c r="V167" s="256" t="s">
        <v>1205</v>
      </c>
      <c r="W167" s="188" t="s">
        <v>34</v>
      </c>
      <c r="X167" s="184" t="s">
        <v>2027</v>
      </c>
      <c r="Y167" s="270" t="s">
        <v>1954</v>
      </c>
    </row>
    <row r="168" spans="1:25" s="29" customFormat="1" ht="69" x14ac:dyDescent="0.3">
      <c r="A168" s="250" t="s">
        <v>1078</v>
      </c>
      <c r="B168" s="251" t="s">
        <v>1484</v>
      </c>
      <c r="C168" s="251" t="s">
        <v>116</v>
      </c>
      <c r="D168" s="184" t="s">
        <v>209</v>
      </c>
      <c r="E168" s="253" t="s">
        <v>464</v>
      </c>
      <c r="F168" s="184" t="s">
        <v>2027</v>
      </c>
      <c r="G168" s="222" t="s">
        <v>292</v>
      </c>
      <c r="H168" s="184" t="s">
        <v>2027</v>
      </c>
      <c r="I168" s="184" t="s">
        <v>1234</v>
      </c>
      <c r="J168" s="184" t="s">
        <v>51</v>
      </c>
      <c r="K168" s="256" t="s">
        <v>1034</v>
      </c>
      <c r="L168" s="184" t="s">
        <v>2027</v>
      </c>
      <c r="M168" s="194" t="s">
        <v>2027</v>
      </c>
      <c r="N168" s="184" t="s">
        <v>210</v>
      </c>
      <c r="O168" s="184" t="s">
        <v>2027</v>
      </c>
      <c r="P168" s="199" t="s">
        <v>595</v>
      </c>
      <c r="Q168" s="184" t="s">
        <v>839</v>
      </c>
      <c r="R168" s="187" t="s">
        <v>340</v>
      </c>
      <c r="S168" s="187" t="s">
        <v>2027</v>
      </c>
      <c r="T168" s="199" t="s">
        <v>779</v>
      </c>
      <c r="U168" s="199">
        <v>2013</v>
      </c>
      <c r="V168" s="254" t="s">
        <v>1189</v>
      </c>
      <c r="W168" s="184" t="s">
        <v>1003</v>
      </c>
      <c r="X168" s="220" t="s">
        <v>735</v>
      </c>
      <c r="Y168" s="270" t="s">
        <v>1954</v>
      </c>
    </row>
    <row r="169" spans="1:25" s="29" customFormat="1" ht="234.6" x14ac:dyDescent="0.3">
      <c r="A169" s="250" t="s">
        <v>1079</v>
      </c>
      <c r="B169" s="251" t="s">
        <v>1484</v>
      </c>
      <c r="C169" s="251" t="s">
        <v>116</v>
      </c>
      <c r="D169" s="199" t="s">
        <v>215</v>
      </c>
      <c r="E169" s="253" t="s">
        <v>464</v>
      </c>
      <c r="F169" s="199" t="s">
        <v>1058</v>
      </c>
      <c r="G169" s="186" t="s">
        <v>2027</v>
      </c>
      <c r="H169" s="254" t="s">
        <v>328</v>
      </c>
      <c r="I169" s="254" t="s">
        <v>1830</v>
      </c>
      <c r="J169" s="184" t="s">
        <v>58</v>
      </c>
      <c r="K169" s="199" t="s">
        <v>397</v>
      </c>
      <c r="L169" s="184" t="s">
        <v>2027</v>
      </c>
      <c r="M169" s="194" t="s">
        <v>2027</v>
      </c>
      <c r="N169" s="254" t="s">
        <v>1235</v>
      </c>
      <c r="O169" s="184" t="s">
        <v>2027</v>
      </c>
      <c r="P169" s="199" t="s">
        <v>595</v>
      </c>
      <c r="Q169" s="184" t="s">
        <v>738</v>
      </c>
      <c r="R169" s="187" t="s">
        <v>206</v>
      </c>
      <c r="S169" s="187" t="s">
        <v>2027</v>
      </c>
      <c r="T169" s="199" t="s">
        <v>736</v>
      </c>
      <c r="U169" s="199">
        <v>2004</v>
      </c>
      <c r="V169" s="256" t="s">
        <v>1146</v>
      </c>
      <c r="W169" s="188" t="s">
        <v>34</v>
      </c>
      <c r="X169" s="184" t="s">
        <v>2027</v>
      </c>
      <c r="Y169" s="270" t="s">
        <v>1954</v>
      </c>
    </row>
    <row r="170" spans="1:25" s="29" customFormat="1" ht="358.8" x14ac:dyDescent="0.3">
      <c r="A170" s="250" t="s">
        <v>1080</v>
      </c>
      <c r="B170" s="251" t="s">
        <v>1484</v>
      </c>
      <c r="C170" s="251" t="s">
        <v>116</v>
      </c>
      <c r="D170" s="199" t="s">
        <v>1466</v>
      </c>
      <c r="E170" s="253" t="s">
        <v>464</v>
      </c>
      <c r="F170" s="199" t="s">
        <v>1469</v>
      </c>
      <c r="G170" s="186" t="s">
        <v>2027</v>
      </c>
      <c r="H170" s="184" t="s">
        <v>2027</v>
      </c>
      <c r="I170" s="254" t="s">
        <v>1470</v>
      </c>
      <c r="J170" s="184" t="s">
        <v>58</v>
      </c>
      <c r="K170" s="199" t="s">
        <v>397</v>
      </c>
      <c r="L170" s="184" t="s">
        <v>2027</v>
      </c>
      <c r="M170" s="194" t="s">
        <v>2027</v>
      </c>
      <c r="N170" s="254" t="s">
        <v>2720</v>
      </c>
      <c r="O170" s="184" t="s">
        <v>2027</v>
      </c>
      <c r="P170" s="199" t="s">
        <v>595</v>
      </c>
      <c r="Q170" s="184" t="s">
        <v>1567</v>
      </c>
      <c r="R170" s="187" t="s">
        <v>340</v>
      </c>
      <c r="S170" s="187" t="s">
        <v>2027</v>
      </c>
      <c r="T170" s="199" t="s">
        <v>1468</v>
      </c>
      <c r="U170" s="199">
        <v>2002</v>
      </c>
      <c r="V170" s="256" t="s">
        <v>1467</v>
      </c>
      <c r="W170" s="188" t="s">
        <v>1641</v>
      </c>
      <c r="X170" s="184" t="s">
        <v>2027</v>
      </c>
      <c r="Y170" s="270" t="s">
        <v>1954</v>
      </c>
    </row>
    <row r="171" spans="1:25" s="29" customFormat="1" ht="96.6" x14ac:dyDescent="0.3">
      <c r="A171" s="250" t="s">
        <v>1081</v>
      </c>
      <c r="B171" s="251" t="s">
        <v>1484</v>
      </c>
      <c r="C171" s="251" t="s">
        <v>116</v>
      </c>
      <c r="D171" s="184" t="s">
        <v>227</v>
      </c>
      <c r="E171" s="253" t="s">
        <v>464</v>
      </c>
      <c r="F171" s="184" t="s">
        <v>2027</v>
      </c>
      <c r="G171" s="254" t="s">
        <v>293</v>
      </c>
      <c r="H171" s="184" t="s">
        <v>2027</v>
      </c>
      <c r="I171" s="255" t="s">
        <v>1328</v>
      </c>
      <c r="J171" s="184" t="s">
        <v>51</v>
      </c>
      <c r="K171" s="184" t="s">
        <v>1034</v>
      </c>
      <c r="L171" s="184" t="s">
        <v>2027</v>
      </c>
      <c r="M171" s="194" t="s">
        <v>2027</v>
      </c>
      <c r="N171" s="201" t="s">
        <v>1024</v>
      </c>
      <c r="O171" s="256" t="s">
        <v>228</v>
      </c>
      <c r="P171" s="187" t="s">
        <v>2027</v>
      </c>
      <c r="Q171" s="187" t="s">
        <v>2027</v>
      </c>
      <c r="R171" s="187" t="s">
        <v>2027</v>
      </c>
      <c r="S171" s="203">
        <v>3.5000000000000003E-2</v>
      </c>
      <c r="T171" s="199" t="s">
        <v>1023</v>
      </c>
      <c r="U171" s="199">
        <v>2015</v>
      </c>
      <c r="V171" s="254" t="s">
        <v>1176</v>
      </c>
      <c r="W171" s="188" t="s">
        <v>34</v>
      </c>
      <c r="X171" s="184" t="s">
        <v>2027</v>
      </c>
      <c r="Y171" s="270" t="s">
        <v>1954</v>
      </c>
    </row>
    <row r="172" spans="1:25" s="29" customFormat="1" ht="165.6" x14ac:dyDescent="0.3">
      <c r="A172" s="250" t="s">
        <v>158</v>
      </c>
      <c r="B172" s="251" t="s">
        <v>1485</v>
      </c>
      <c r="C172" s="251" t="s">
        <v>994</v>
      </c>
      <c r="D172" s="184" t="s">
        <v>50</v>
      </c>
      <c r="E172" s="253" t="s">
        <v>464</v>
      </c>
      <c r="F172" s="199" t="s">
        <v>1062</v>
      </c>
      <c r="G172" s="186" t="s">
        <v>2027</v>
      </c>
      <c r="H172" s="184" t="s">
        <v>2027</v>
      </c>
      <c r="I172" s="256" t="s">
        <v>1236</v>
      </c>
      <c r="J172" s="184" t="s">
        <v>58</v>
      </c>
      <c r="K172" s="199" t="s">
        <v>396</v>
      </c>
      <c r="L172" s="184" t="s">
        <v>791</v>
      </c>
      <c r="M172" s="184" t="s">
        <v>26</v>
      </c>
      <c r="N172" s="184" t="s">
        <v>996</v>
      </c>
      <c r="O172" s="184" t="s">
        <v>49</v>
      </c>
      <c r="P172" s="184" t="s">
        <v>595</v>
      </c>
      <c r="Q172" s="184" t="s">
        <v>737</v>
      </c>
      <c r="R172" s="187" t="s">
        <v>35</v>
      </c>
      <c r="S172" s="187" t="s">
        <v>2027</v>
      </c>
      <c r="T172" s="184" t="s">
        <v>375</v>
      </c>
      <c r="U172" s="184">
        <v>2009</v>
      </c>
      <c r="V172" s="256" t="s">
        <v>1148</v>
      </c>
      <c r="W172" s="188" t="s">
        <v>34</v>
      </c>
      <c r="X172" s="220" t="s">
        <v>113</v>
      </c>
      <c r="Y172" s="270" t="s">
        <v>1954</v>
      </c>
    </row>
    <row r="173" spans="1:25" s="30" customFormat="1" ht="151.80000000000001" x14ac:dyDescent="0.3">
      <c r="A173" s="250" t="s">
        <v>166</v>
      </c>
      <c r="B173" s="251" t="s">
        <v>1485</v>
      </c>
      <c r="C173" s="251" t="s">
        <v>994</v>
      </c>
      <c r="D173" s="184" t="s">
        <v>995</v>
      </c>
      <c r="E173" s="253" t="s">
        <v>464</v>
      </c>
      <c r="F173" s="184" t="s">
        <v>2027</v>
      </c>
      <c r="G173" s="184" t="s">
        <v>1831</v>
      </c>
      <c r="H173" s="184" t="s">
        <v>2027</v>
      </c>
      <c r="I173" s="184" t="s">
        <v>1832</v>
      </c>
      <c r="J173" s="255" t="s">
        <v>2027</v>
      </c>
      <c r="K173" s="184" t="s">
        <v>397</v>
      </c>
      <c r="L173" s="184" t="s">
        <v>2027</v>
      </c>
      <c r="M173" s="194" t="s">
        <v>2027</v>
      </c>
      <c r="N173" s="184" t="s">
        <v>2760</v>
      </c>
      <c r="O173" s="184" t="s">
        <v>2027</v>
      </c>
      <c r="P173" s="187" t="s">
        <v>2027</v>
      </c>
      <c r="Q173" s="187" t="s">
        <v>2027</v>
      </c>
      <c r="R173" s="187" t="s">
        <v>2027</v>
      </c>
      <c r="S173" s="187" t="s">
        <v>2027</v>
      </c>
      <c r="T173" s="199" t="s">
        <v>32</v>
      </c>
      <c r="U173" s="199">
        <v>2013</v>
      </c>
      <c r="V173" s="254" t="s">
        <v>1147</v>
      </c>
      <c r="W173" s="188" t="s">
        <v>34</v>
      </c>
      <c r="X173" s="184" t="s">
        <v>2027</v>
      </c>
      <c r="Y173" s="270" t="s">
        <v>1954</v>
      </c>
    </row>
    <row r="174" spans="1:25" s="30" customFormat="1" ht="82.8" x14ac:dyDescent="0.3">
      <c r="A174" s="250" t="s">
        <v>167</v>
      </c>
      <c r="B174" s="251" t="s">
        <v>1485</v>
      </c>
      <c r="C174" s="251" t="s">
        <v>994</v>
      </c>
      <c r="D174" s="184" t="s">
        <v>262</v>
      </c>
      <c r="E174" s="253" t="s">
        <v>464</v>
      </c>
      <c r="F174" s="184" t="s">
        <v>2027</v>
      </c>
      <c r="G174" s="184" t="s">
        <v>1069</v>
      </c>
      <c r="H174" s="184" t="s">
        <v>2027</v>
      </c>
      <c r="I174" s="184" t="s">
        <v>1237</v>
      </c>
      <c r="J174" s="255" t="s">
        <v>2027</v>
      </c>
      <c r="K174" s="199" t="s">
        <v>396</v>
      </c>
      <c r="L174" s="184" t="s">
        <v>2027</v>
      </c>
      <c r="M174" s="194" t="s">
        <v>2027</v>
      </c>
      <c r="N174" s="184" t="s">
        <v>263</v>
      </c>
      <c r="O174" s="184" t="s">
        <v>2027</v>
      </c>
      <c r="P174" s="187" t="s">
        <v>2027</v>
      </c>
      <c r="Q174" s="187" t="s">
        <v>2027</v>
      </c>
      <c r="R174" s="63" t="s">
        <v>35</v>
      </c>
      <c r="S174" s="187" t="s">
        <v>2027</v>
      </c>
      <c r="T174" s="184" t="s">
        <v>32</v>
      </c>
      <c r="U174" s="199">
        <v>2007</v>
      </c>
      <c r="V174" s="254" t="s">
        <v>1769</v>
      </c>
      <c r="W174" s="188" t="s">
        <v>34</v>
      </c>
      <c r="X174" s="220" t="s">
        <v>256</v>
      </c>
      <c r="Y174" s="270" t="s">
        <v>1954</v>
      </c>
    </row>
    <row r="175" spans="1:25" s="29" customFormat="1" ht="234.6" x14ac:dyDescent="0.3">
      <c r="A175" s="250" t="s">
        <v>168</v>
      </c>
      <c r="B175" s="251" t="s">
        <v>1485</v>
      </c>
      <c r="C175" s="251" t="s">
        <v>994</v>
      </c>
      <c r="D175" s="184" t="s">
        <v>252</v>
      </c>
      <c r="E175" s="253" t="s">
        <v>464</v>
      </c>
      <c r="F175" s="184" t="s">
        <v>2027</v>
      </c>
      <c r="G175" s="229" t="s">
        <v>997</v>
      </c>
      <c r="H175" s="184" t="s">
        <v>2027</v>
      </c>
      <c r="I175" s="184" t="s">
        <v>1238</v>
      </c>
      <c r="J175" s="184" t="s">
        <v>51</v>
      </c>
      <c r="K175" s="184" t="s">
        <v>397</v>
      </c>
      <c r="L175" s="184" t="s">
        <v>2027</v>
      </c>
      <c r="M175" s="184" t="s">
        <v>254</v>
      </c>
      <c r="N175" s="184" t="s">
        <v>253</v>
      </c>
      <c r="O175" s="184" t="s">
        <v>52</v>
      </c>
      <c r="P175" s="187" t="s">
        <v>2027</v>
      </c>
      <c r="Q175" s="187" t="s">
        <v>2027</v>
      </c>
      <c r="R175" s="184" t="s">
        <v>35</v>
      </c>
      <c r="S175" s="203">
        <v>3.5000000000000003E-2</v>
      </c>
      <c r="T175" s="255" t="s">
        <v>2027</v>
      </c>
      <c r="U175" s="184">
        <v>2015</v>
      </c>
      <c r="V175" s="254" t="s">
        <v>1149</v>
      </c>
      <c r="W175" s="188" t="s">
        <v>34</v>
      </c>
      <c r="X175" s="184" t="s">
        <v>2027</v>
      </c>
      <c r="Y175" s="270" t="s">
        <v>1954</v>
      </c>
    </row>
    <row r="176" spans="1:25" s="29" customFormat="1" ht="138" x14ac:dyDescent="0.3">
      <c r="A176" s="250" t="s">
        <v>169</v>
      </c>
      <c r="B176" s="251" t="s">
        <v>1485</v>
      </c>
      <c r="C176" s="251" t="s">
        <v>994</v>
      </c>
      <c r="D176" s="193" t="s">
        <v>1720</v>
      </c>
      <c r="E176" s="253" t="s">
        <v>464</v>
      </c>
      <c r="F176" s="184" t="s">
        <v>2027</v>
      </c>
      <c r="G176" s="230">
        <v>11192</v>
      </c>
      <c r="H176" s="184" t="s">
        <v>2027</v>
      </c>
      <c r="I176" s="254" t="s">
        <v>1240</v>
      </c>
      <c r="J176" s="184" t="s">
        <v>51</v>
      </c>
      <c r="K176" s="199" t="s">
        <v>734</v>
      </c>
      <c r="L176" s="184" t="s">
        <v>2027</v>
      </c>
      <c r="M176" s="194" t="s">
        <v>987</v>
      </c>
      <c r="N176" s="231" t="s">
        <v>1239</v>
      </c>
      <c r="O176" s="184" t="s">
        <v>52</v>
      </c>
      <c r="P176" s="199" t="s">
        <v>595</v>
      </c>
      <c r="Q176" s="184" t="s">
        <v>125</v>
      </c>
      <c r="R176" s="207" t="s">
        <v>35</v>
      </c>
      <c r="S176" s="203">
        <v>3.5000000000000003E-2</v>
      </c>
      <c r="T176" s="199" t="s">
        <v>32</v>
      </c>
      <c r="U176" s="199">
        <v>2007</v>
      </c>
      <c r="V176" s="256" t="s">
        <v>1201</v>
      </c>
      <c r="W176" s="205" t="s">
        <v>34</v>
      </c>
      <c r="X176" s="220" t="s">
        <v>1642</v>
      </c>
      <c r="Y176" s="270" t="s">
        <v>1954</v>
      </c>
    </row>
    <row r="177" spans="1:25" s="29" customFormat="1" ht="138" x14ac:dyDescent="0.3">
      <c r="A177" s="250" t="s">
        <v>170</v>
      </c>
      <c r="B177" s="251" t="s">
        <v>1485</v>
      </c>
      <c r="C177" s="251" t="s">
        <v>994</v>
      </c>
      <c r="D177" s="193" t="s">
        <v>1719</v>
      </c>
      <c r="E177" s="253" t="s">
        <v>464</v>
      </c>
      <c r="F177" s="184" t="s">
        <v>2027</v>
      </c>
      <c r="G177" s="189">
        <v>31151</v>
      </c>
      <c r="H177" s="184" t="s">
        <v>2027</v>
      </c>
      <c r="I177" s="184" t="s">
        <v>1241</v>
      </c>
      <c r="J177" s="184" t="s">
        <v>51</v>
      </c>
      <c r="K177" s="199" t="s">
        <v>734</v>
      </c>
      <c r="L177" s="184" t="s">
        <v>2027</v>
      </c>
      <c r="M177" s="194" t="s">
        <v>987</v>
      </c>
      <c r="N177" s="195" t="s">
        <v>988</v>
      </c>
      <c r="O177" s="184" t="s">
        <v>2027</v>
      </c>
      <c r="P177" s="199" t="s">
        <v>595</v>
      </c>
      <c r="Q177" s="184" t="s">
        <v>125</v>
      </c>
      <c r="R177" s="207" t="s">
        <v>35</v>
      </c>
      <c r="S177" s="203">
        <v>3.5000000000000003E-2</v>
      </c>
      <c r="T177" s="199" t="s">
        <v>32</v>
      </c>
      <c r="U177" s="199">
        <v>2007</v>
      </c>
      <c r="V177" s="256" t="s">
        <v>1201</v>
      </c>
      <c r="W177" s="205" t="s">
        <v>34</v>
      </c>
      <c r="X177" s="220" t="s">
        <v>1642</v>
      </c>
      <c r="Y177" s="270" t="s">
        <v>1954</v>
      </c>
    </row>
    <row r="178" spans="1:25" s="29" customFormat="1" ht="151.80000000000001" x14ac:dyDescent="0.3">
      <c r="A178" s="250" t="s">
        <v>171</v>
      </c>
      <c r="B178" s="251" t="s">
        <v>1485</v>
      </c>
      <c r="C178" s="251" t="s">
        <v>115</v>
      </c>
      <c r="D178" s="184" t="s">
        <v>1833</v>
      </c>
      <c r="E178" s="253" t="s">
        <v>464</v>
      </c>
      <c r="F178" s="184" t="s">
        <v>2027</v>
      </c>
      <c r="G178" s="186" t="s">
        <v>2027</v>
      </c>
      <c r="H178" s="186" t="s">
        <v>46</v>
      </c>
      <c r="I178" s="184" t="s">
        <v>1834</v>
      </c>
      <c r="J178" s="184" t="s">
        <v>58</v>
      </c>
      <c r="K178" s="199" t="s">
        <v>269</v>
      </c>
      <c r="L178" s="184" t="s">
        <v>48</v>
      </c>
      <c r="M178" s="199" t="s">
        <v>26</v>
      </c>
      <c r="N178" s="199" t="s">
        <v>47</v>
      </c>
      <c r="O178" s="184" t="s">
        <v>765</v>
      </c>
      <c r="P178" s="254" t="s">
        <v>619</v>
      </c>
      <c r="Q178" s="184" t="s">
        <v>109</v>
      </c>
      <c r="R178" s="184" t="s">
        <v>35</v>
      </c>
      <c r="S178" s="187" t="s">
        <v>2027</v>
      </c>
      <c r="T178" s="199" t="s">
        <v>32</v>
      </c>
      <c r="U178" s="184">
        <v>2016</v>
      </c>
      <c r="V178" s="254" t="s">
        <v>1114</v>
      </c>
      <c r="W178" s="188" t="s">
        <v>34</v>
      </c>
      <c r="X178" s="184" t="s">
        <v>2027</v>
      </c>
      <c r="Y178" s="270" t="s">
        <v>1954</v>
      </c>
    </row>
    <row r="179" spans="1:25" s="29" customFormat="1" ht="151.80000000000001" x14ac:dyDescent="0.3">
      <c r="A179" s="250" t="s">
        <v>1074</v>
      </c>
      <c r="B179" s="251" t="s">
        <v>1485</v>
      </c>
      <c r="C179" s="251" t="s">
        <v>115</v>
      </c>
      <c r="D179" s="199" t="s">
        <v>56</v>
      </c>
      <c r="E179" s="253" t="s">
        <v>464</v>
      </c>
      <c r="F179" s="184" t="s">
        <v>2027</v>
      </c>
      <c r="G179" s="186" t="s">
        <v>2027</v>
      </c>
      <c r="H179" s="256" t="s">
        <v>1224</v>
      </c>
      <c r="I179" s="184" t="s">
        <v>1242</v>
      </c>
      <c r="J179" s="184" t="s">
        <v>58</v>
      </c>
      <c r="K179" s="199" t="s">
        <v>734</v>
      </c>
      <c r="L179" s="184" t="s">
        <v>2027</v>
      </c>
      <c r="M179" s="194" t="s">
        <v>2027</v>
      </c>
      <c r="N179" s="184" t="s">
        <v>894</v>
      </c>
      <c r="O179" s="184" t="s">
        <v>2027</v>
      </c>
      <c r="P179" s="184" t="s">
        <v>595</v>
      </c>
      <c r="Q179" s="184" t="s">
        <v>895</v>
      </c>
      <c r="R179" s="187" t="s">
        <v>35</v>
      </c>
      <c r="S179" s="187" t="s">
        <v>2027</v>
      </c>
      <c r="T179" s="199" t="s">
        <v>32</v>
      </c>
      <c r="U179" s="184">
        <v>2014</v>
      </c>
      <c r="V179" s="254" t="s">
        <v>1200</v>
      </c>
      <c r="W179" s="188" t="s">
        <v>34</v>
      </c>
      <c r="X179" s="220" t="s">
        <v>1644</v>
      </c>
      <c r="Y179" s="270" t="s">
        <v>1954</v>
      </c>
    </row>
    <row r="180" spans="1:25" s="29" customFormat="1" ht="179.4" x14ac:dyDescent="0.3">
      <c r="A180" s="250" t="s">
        <v>183</v>
      </c>
      <c r="B180" s="251" t="s">
        <v>1485</v>
      </c>
      <c r="C180" s="251" t="s">
        <v>115</v>
      </c>
      <c r="D180" s="199" t="s">
        <v>56</v>
      </c>
      <c r="E180" s="253" t="s">
        <v>464</v>
      </c>
      <c r="F180" s="184" t="s">
        <v>2027</v>
      </c>
      <c r="G180" s="254" t="s">
        <v>1207</v>
      </c>
      <c r="H180" s="184" t="s">
        <v>2027</v>
      </c>
      <c r="I180" s="254" t="s">
        <v>1722</v>
      </c>
      <c r="J180" s="184" t="s">
        <v>51</v>
      </c>
      <c r="K180" s="199" t="s">
        <v>734</v>
      </c>
      <c r="L180" s="184" t="s">
        <v>2027</v>
      </c>
      <c r="M180" s="184" t="s">
        <v>1199</v>
      </c>
      <c r="N180" s="254" t="s">
        <v>1835</v>
      </c>
      <c r="O180" s="187" t="s">
        <v>245</v>
      </c>
      <c r="P180" s="199" t="s">
        <v>595</v>
      </c>
      <c r="Q180" s="184" t="s">
        <v>1198</v>
      </c>
      <c r="R180" s="207" t="s">
        <v>35</v>
      </c>
      <c r="S180" s="190">
        <v>3.5000000000000003E-2</v>
      </c>
      <c r="T180" s="199" t="s">
        <v>32</v>
      </c>
      <c r="U180" s="199">
        <v>2008</v>
      </c>
      <c r="V180" s="254" t="s">
        <v>1197</v>
      </c>
      <c r="W180" s="188" t="s">
        <v>34</v>
      </c>
      <c r="X180" s="220" t="s">
        <v>1643</v>
      </c>
      <c r="Y180" s="270" t="s">
        <v>1954</v>
      </c>
    </row>
    <row r="181" spans="1:25" s="29" customFormat="1" ht="179.4" x14ac:dyDescent="0.3">
      <c r="A181" s="250" t="s">
        <v>184</v>
      </c>
      <c r="B181" s="251" t="s">
        <v>1485</v>
      </c>
      <c r="C181" s="251" t="s">
        <v>115</v>
      </c>
      <c r="D181" s="199" t="s">
        <v>56</v>
      </c>
      <c r="E181" s="253" t="s">
        <v>464</v>
      </c>
      <c r="F181" s="184" t="s">
        <v>2027</v>
      </c>
      <c r="G181" s="184" t="s">
        <v>1036</v>
      </c>
      <c r="H181" s="184" t="s">
        <v>2027</v>
      </c>
      <c r="I181" s="184" t="s">
        <v>1721</v>
      </c>
      <c r="J181" s="184" t="s">
        <v>51</v>
      </c>
      <c r="K181" s="199" t="s">
        <v>734</v>
      </c>
      <c r="L181" s="184" t="s">
        <v>2027</v>
      </c>
      <c r="M181" s="184" t="s">
        <v>1199</v>
      </c>
      <c r="N181" s="184" t="s">
        <v>1836</v>
      </c>
      <c r="O181" s="187" t="s">
        <v>245</v>
      </c>
      <c r="P181" s="199" t="s">
        <v>595</v>
      </c>
      <c r="Q181" s="184" t="s">
        <v>1198</v>
      </c>
      <c r="R181" s="207" t="s">
        <v>35</v>
      </c>
      <c r="S181" s="190">
        <v>3.5000000000000003E-2</v>
      </c>
      <c r="T181" s="199" t="s">
        <v>398</v>
      </c>
      <c r="U181" s="199">
        <v>2008</v>
      </c>
      <c r="V181" s="254" t="s">
        <v>1197</v>
      </c>
      <c r="W181" s="188" t="s">
        <v>34</v>
      </c>
      <c r="X181" s="220" t="s">
        <v>1643</v>
      </c>
      <c r="Y181" s="270" t="s">
        <v>1954</v>
      </c>
    </row>
    <row r="182" spans="1:25" s="29" customFormat="1" ht="151.80000000000001" x14ac:dyDescent="0.3">
      <c r="A182" s="250" t="s">
        <v>185</v>
      </c>
      <c r="B182" s="251" t="s">
        <v>1485</v>
      </c>
      <c r="C182" s="251" t="s">
        <v>1486</v>
      </c>
      <c r="D182" s="184" t="s">
        <v>59</v>
      </c>
      <c r="E182" s="253" t="s">
        <v>464</v>
      </c>
      <c r="F182" s="184" t="s">
        <v>1063</v>
      </c>
      <c r="G182" s="186" t="s">
        <v>2027</v>
      </c>
      <c r="H182" s="184" t="s">
        <v>2027</v>
      </c>
      <c r="I182" s="184" t="s">
        <v>1243</v>
      </c>
      <c r="J182" s="184" t="s">
        <v>58</v>
      </c>
      <c r="K182" s="199" t="s">
        <v>396</v>
      </c>
      <c r="L182" s="184" t="s">
        <v>57</v>
      </c>
      <c r="M182" s="184" t="s">
        <v>26</v>
      </c>
      <c r="N182" s="184" t="s">
        <v>1244</v>
      </c>
      <c r="O182" s="184" t="s">
        <v>766</v>
      </c>
      <c r="P182" s="184" t="s">
        <v>595</v>
      </c>
      <c r="Q182" s="184" t="s">
        <v>60</v>
      </c>
      <c r="R182" s="207" t="s">
        <v>35</v>
      </c>
      <c r="S182" s="199" t="s">
        <v>760</v>
      </c>
      <c r="T182" s="199" t="s">
        <v>32</v>
      </c>
      <c r="U182" s="199">
        <v>2008</v>
      </c>
      <c r="V182" s="256" t="s">
        <v>1190</v>
      </c>
      <c r="W182" s="188" t="s">
        <v>34</v>
      </c>
      <c r="X182" s="220" t="s">
        <v>1643</v>
      </c>
      <c r="Y182" s="270" t="s">
        <v>1954</v>
      </c>
    </row>
    <row r="183" spans="1:25" s="29" customFormat="1" ht="165.6" x14ac:dyDescent="0.3">
      <c r="A183" s="250" t="s">
        <v>186</v>
      </c>
      <c r="B183" s="251" t="s">
        <v>1485</v>
      </c>
      <c r="C183" s="251" t="s">
        <v>1486</v>
      </c>
      <c r="D183" s="232" t="s">
        <v>936</v>
      </c>
      <c r="E183" s="253" t="s">
        <v>464</v>
      </c>
      <c r="F183" s="232" t="s">
        <v>1059</v>
      </c>
      <c r="G183" s="186" t="s">
        <v>2027</v>
      </c>
      <c r="H183" s="184" t="s">
        <v>2027</v>
      </c>
      <c r="I183" s="184" t="s">
        <v>933</v>
      </c>
      <c r="J183" s="184" t="s">
        <v>51</v>
      </c>
      <c r="K183" s="199" t="s">
        <v>734</v>
      </c>
      <c r="L183" s="184" t="s">
        <v>2027</v>
      </c>
      <c r="M183" s="194" t="s">
        <v>2027</v>
      </c>
      <c r="N183" s="184" t="s">
        <v>935</v>
      </c>
      <c r="O183" s="184" t="s">
        <v>2027</v>
      </c>
      <c r="P183" s="199" t="s">
        <v>595</v>
      </c>
      <c r="Q183" s="254" t="s">
        <v>125</v>
      </c>
      <c r="R183" s="207" t="s">
        <v>35</v>
      </c>
      <c r="S183" s="190">
        <v>3.5000000000000003E-2</v>
      </c>
      <c r="T183" s="199" t="s">
        <v>32</v>
      </c>
      <c r="U183" s="199">
        <v>2017</v>
      </c>
      <c r="V183" s="254" t="s">
        <v>1203</v>
      </c>
      <c r="W183" s="188" t="s">
        <v>34</v>
      </c>
      <c r="X183" s="220" t="s">
        <v>523</v>
      </c>
      <c r="Y183" s="270" t="s">
        <v>1954</v>
      </c>
    </row>
    <row r="184" spans="1:25" s="30" customFormat="1" ht="151.80000000000001" x14ac:dyDescent="0.3">
      <c r="A184" s="250" t="s">
        <v>187</v>
      </c>
      <c r="B184" s="251" t="s">
        <v>1485</v>
      </c>
      <c r="C184" s="251" t="s">
        <v>1486</v>
      </c>
      <c r="D184" s="255" t="s">
        <v>939</v>
      </c>
      <c r="E184" s="253" t="s">
        <v>464</v>
      </c>
      <c r="F184" s="255" t="s">
        <v>1060</v>
      </c>
      <c r="G184" s="186" t="s">
        <v>2027</v>
      </c>
      <c r="H184" s="184" t="s">
        <v>328</v>
      </c>
      <c r="I184" s="184" t="s">
        <v>937</v>
      </c>
      <c r="J184" s="184" t="s">
        <v>51</v>
      </c>
      <c r="K184" s="199" t="s">
        <v>734</v>
      </c>
      <c r="L184" s="184" t="s">
        <v>2027</v>
      </c>
      <c r="M184" s="194" t="s">
        <v>2027</v>
      </c>
      <c r="N184" s="184" t="s">
        <v>938</v>
      </c>
      <c r="O184" s="184" t="s">
        <v>2027</v>
      </c>
      <c r="P184" s="199" t="s">
        <v>595</v>
      </c>
      <c r="Q184" s="254" t="s">
        <v>125</v>
      </c>
      <c r="R184" s="207" t="s">
        <v>35</v>
      </c>
      <c r="S184" s="190">
        <v>3.5000000000000003E-2</v>
      </c>
      <c r="T184" s="199" t="s">
        <v>32</v>
      </c>
      <c r="U184" s="199">
        <v>2017</v>
      </c>
      <c r="V184" s="254" t="s">
        <v>1203</v>
      </c>
      <c r="W184" s="188" t="s">
        <v>34</v>
      </c>
      <c r="X184" s="220" t="s">
        <v>523</v>
      </c>
      <c r="Y184" s="270" t="s">
        <v>1954</v>
      </c>
    </row>
    <row r="185" spans="1:25" s="30" customFormat="1" ht="165.6" x14ac:dyDescent="0.3">
      <c r="A185" s="250" t="s">
        <v>188</v>
      </c>
      <c r="B185" s="251" t="s">
        <v>1485</v>
      </c>
      <c r="C185" s="251" t="s">
        <v>1486</v>
      </c>
      <c r="D185" s="255" t="s">
        <v>940</v>
      </c>
      <c r="E185" s="253" t="s">
        <v>464</v>
      </c>
      <c r="F185" s="184" t="s">
        <v>2027</v>
      </c>
      <c r="G185" s="186" t="s">
        <v>255</v>
      </c>
      <c r="H185" s="184" t="s">
        <v>2027</v>
      </c>
      <c r="I185" s="184" t="s">
        <v>942</v>
      </c>
      <c r="J185" s="184" t="s">
        <v>51</v>
      </c>
      <c r="K185" s="199" t="s">
        <v>734</v>
      </c>
      <c r="L185" s="184" t="s">
        <v>2027</v>
      </c>
      <c r="M185" s="194" t="s">
        <v>2027</v>
      </c>
      <c r="N185" s="184" t="s">
        <v>941</v>
      </c>
      <c r="O185" s="184" t="s">
        <v>2027</v>
      </c>
      <c r="P185" s="199" t="s">
        <v>595</v>
      </c>
      <c r="Q185" s="254" t="s">
        <v>125</v>
      </c>
      <c r="R185" s="207" t="s">
        <v>35</v>
      </c>
      <c r="S185" s="190">
        <v>3.5000000000000003E-2</v>
      </c>
      <c r="T185" s="199" t="s">
        <v>32</v>
      </c>
      <c r="U185" s="199">
        <v>2017</v>
      </c>
      <c r="V185" s="254" t="s">
        <v>1203</v>
      </c>
      <c r="W185" s="188" t="s">
        <v>34</v>
      </c>
      <c r="X185" s="220" t="s">
        <v>523</v>
      </c>
      <c r="Y185" s="270" t="s">
        <v>1954</v>
      </c>
    </row>
    <row r="186" spans="1:25" s="29" customFormat="1" ht="207" x14ac:dyDescent="0.3">
      <c r="A186" s="250" t="s">
        <v>189</v>
      </c>
      <c r="B186" s="251" t="s">
        <v>1485</v>
      </c>
      <c r="C186" s="251" t="s">
        <v>1486</v>
      </c>
      <c r="D186" s="255" t="s">
        <v>930</v>
      </c>
      <c r="E186" s="253" t="s">
        <v>464</v>
      </c>
      <c r="F186" s="184" t="s">
        <v>2027</v>
      </c>
      <c r="G186" s="186" t="s">
        <v>255</v>
      </c>
      <c r="H186" s="184" t="s">
        <v>2027</v>
      </c>
      <c r="I186" s="184" t="s">
        <v>934</v>
      </c>
      <c r="J186" s="184" t="s">
        <v>51</v>
      </c>
      <c r="K186" s="199" t="s">
        <v>734</v>
      </c>
      <c r="L186" s="184" t="s">
        <v>2027</v>
      </c>
      <c r="M186" s="194" t="s">
        <v>2027</v>
      </c>
      <c r="N186" s="184" t="s">
        <v>945</v>
      </c>
      <c r="O186" s="187" t="s">
        <v>52</v>
      </c>
      <c r="P186" s="199" t="s">
        <v>595</v>
      </c>
      <c r="Q186" s="254" t="s">
        <v>125</v>
      </c>
      <c r="R186" s="207" t="s">
        <v>35</v>
      </c>
      <c r="S186" s="190">
        <v>3.5000000000000003E-2</v>
      </c>
      <c r="T186" s="199" t="s">
        <v>32</v>
      </c>
      <c r="U186" s="199">
        <v>2017</v>
      </c>
      <c r="V186" s="254" t="s">
        <v>1203</v>
      </c>
      <c r="W186" s="188" t="s">
        <v>34</v>
      </c>
      <c r="X186" s="220" t="s">
        <v>523</v>
      </c>
      <c r="Y186" s="270" t="s">
        <v>1954</v>
      </c>
    </row>
    <row r="187" spans="1:25" s="30" customFormat="1" ht="151.80000000000001" x14ac:dyDescent="0.3">
      <c r="A187" s="250" t="s">
        <v>199</v>
      </c>
      <c r="B187" s="251" t="s">
        <v>1485</v>
      </c>
      <c r="C187" s="251" t="s">
        <v>1486</v>
      </c>
      <c r="D187" s="255" t="s">
        <v>944</v>
      </c>
      <c r="E187" s="253" t="s">
        <v>464</v>
      </c>
      <c r="F187" s="184" t="s">
        <v>2027</v>
      </c>
      <c r="G187" s="189">
        <v>329000</v>
      </c>
      <c r="H187" s="184" t="s">
        <v>2027</v>
      </c>
      <c r="I187" s="184" t="s">
        <v>1246</v>
      </c>
      <c r="J187" s="184" t="s">
        <v>51</v>
      </c>
      <c r="K187" s="199" t="s">
        <v>734</v>
      </c>
      <c r="L187" s="184" t="s">
        <v>2027</v>
      </c>
      <c r="M187" s="194" t="s">
        <v>2027</v>
      </c>
      <c r="N187" s="184" t="s">
        <v>972</v>
      </c>
      <c r="O187" s="184" t="s">
        <v>2027</v>
      </c>
      <c r="P187" s="199" t="s">
        <v>595</v>
      </c>
      <c r="Q187" s="254" t="s">
        <v>125</v>
      </c>
      <c r="R187" s="207" t="s">
        <v>35</v>
      </c>
      <c r="S187" s="190">
        <v>3.5000000000000003E-2</v>
      </c>
      <c r="T187" s="199" t="s">
        <v>32</v>
      </c>
      <c r="U187" s="199">
        <v>2017</v>
      </c>
      <c r="V187" s="254" t="s">
        <v>1203</v>
      </c>
      <c r="W187" s="188" t="s">
        <v>34</v>
      </c>
      <c r="X187" s="220" t="s">
        <v>523</v>
      </c>
      <c r="Y187" s="270" t="s">
        <v>1954</v>
      </c>
    </row>
    <row r="188" spans="1:25" s="30" customFormat="1" ht="193.2" x14ac:dyDescent="0.3">
      <c r="A188" s="250" t="s">
        <v>200</v>
      </c>
      <c r="B188" s="251" t="s">
        <v>1485</v>
      </c>
      <c r="C188" s="251" t="s">
        <v>1486</v>
      </c>
      <c r="D188" s="255" t="s">
        <v>974</v>
      </c>
      <c r="E188" s="253" t="s">
        <v>464</v>
      </c>
      <c r="F188" s="184" t="s">
        <v>2027</v>
      </c>
      <c r="G188" s="189">
        <v>241000</v>
      </c>
      <c r="H188" s="184" t="s">
        <v>2027</v>
      </c>
      <c r="I188" s="184" t="s">
        <v>1245</v>
      </c>
      <c r="J188" s="184" t="s">
        <v>51</v>
      </c>
      <c r="K188" s="199" t="s">
        <v>734</v>
      </c>
      <c r="L188" s="184" t="s">
        <v>2027</v>
      </c>
      <c r="M188" s="194" t="s">
        <v>2027</v>
      </c>
      <c r="N188" s="184" t="s">
        <v>973</v>
      </c>
      <c r="O188" s="184" t="s">
        <v>2027</v>
      </c>
      <c r="P188" s="199" t="s">
        <v>595</v>
      </c>
      <c r="Q188" s="254" t="s">
        <v>125</v>
      </c>
      <c r="R188" s="207" t="s">
        <v>35</v>
      </c>
      <c r="S188" s="190">
        <v>3.5000000000000003E-2</v>
      </c>
      <c r="T188" s="199" t="s">
        <v>32</v>
      </c>
      <c r="U188" s="199">
        <v>2017</v>
      </c>
      <c r="V188" s="254" t="s">
        <v>1203</v>
      </c>
      <c r="W188" s="188" t="s">
        <v>34</v>
      </c>
      <c r="X188" s="220" t="s">
        <v>523</v>
      </c>
      <c r="Y188" s="270" t="s">
        <v>1954</v>
      </c>
    </row>
    <row r="189" spans="1:25" s="30" customFormat="1" ht="151.80000000000001" x14ac:dyDescent="0.3">
      <c r="A189" s="250" t="s">
        <v>201</v>
      </c>
      <c r="B189" s="251" t="s">
        <v>1485</v>
      </c>
      <c r="C189" s="251" t="s">
        <v>1486</v>
      </c>
      <c r="D189" s="255" t="s">
        <v>975</v>
      </c>
      <c r="E189" s="253" t="s">
        <v>464</v>
      </c>
      <c r="F189" s="184" t="s">
        <v>2027</v>
      </c>
      <c r="G189" s="189">
        <v>485000</v>
      </c>
      <c r="H189" s="184" t="s">
        <v>2027</v>
      </c>
      <c r="I189" s="184" t="s">
        <v>1247</v>
      </c>
      <c r="J189" s="184" t="s">
        <v>51</v>
      </c>
      <c r="K189" s="199" t="s">
        <v>734</v>
      </c>
      <c r="L189" s="184" t="s">
        <v>2027</v>
      </c>
      <c r="M189" s="194" t="s">
        <v>2027</v>
      </c>
      <c r="N189" s="184" t="s">
        <v>976</v>
      </c>
      <c r="O189" s="184" t="s">
        <v>2027</v>
      </c>
      <c r="P189" s="199" t="s">
        <v>595</v>
      </c>
      <c r="Q189" s="254" t="s">
        <v>125</v>
      </c>
      <c r="R189" s="207" t="s">
        <v>35</v>
      </c>
      <c r="S189" s="190">
        <v>3.5000000000000003E-2</v>
      </c>
      <c r="T189" s="199" t="s">
        <v>32</v>
      </c>
      <c r="U189" s="199">
        <v>2017</v>
      </c>
      <c r="V189" s="254" t="s">
        <v>1203</v>
      </c>
      <c r="W189" s="188" t="s">
        <v>34</v>
      </c>
      <c r="X189" s="220" t="s">
        <v>523</v>
      </c>
      <c r="Y189" s="270" t="s">
        <v>1954</v>
      </c>
    </row>
    <row r="190" spans="1:25" s="30" customFormat="1" ht="151.80000000000001" x14ac:dyDescent="0.3">
      <c r="A190" s="250" t="s">
        <v>207</v>
      </c>
      <c r="B190" s="251" t="s">
        <v>1485</v>
      </c>
      <c r="C190" s="251" t="s">
        <v>1486</v>
      </c>
      <c r="D190" s="255" t="s">
        <v>977</v>
      </c>
      <c r="E190" s="253" t="s">
        <v>464</v>
      </c>
      <c r="F190" s="184" t="s">
        <v>2027</v>
      </c>
      <c r="G190" s="189">
        <v>301000</v>
      </c>
      <c r="H190" s="184" t="s">
        <v>2027</v>
      </c>
      <c r="I190" s="184" t="s">
        <v>1248</v>
      </c>
      <c r="J190" s="184" t="s">
        <v>51</v>
      </c>
      <c r="K190" s="199" t="s">
        <v>734</v>
      </c>
      <c r="L190" s="184" t="s">
        <v>2027</v>
      </c>
      <c r="M190" s="194" t="s">
        <v>2027</v>
      </c>
      <c r="N190" s="184" t="s">
        <v>978</v>
      </c>
      <c r="O190" s="184" t="s">
        <v>2027</v>
      </c>
      <c r="P190" s="199" t="s">
        <v>595</v>
      </c>
      <c r="Q190" s="254" t="s">
        <v>125</v>
      </c>
      <c r="R190" s="207" t="s">
        <v>35</v>
      </c>
      <c r="S190" s="190">
        <v>3.5000000000000003E-2</v>
      </c>
      <c r="T190" s="199" t="s">
        <v>32</v>
      </c>
      <c r="U190" s="199">
        <v>2017</v>
      </c>
      <c r="V190" s="254" t="s">
        <v>1203</v>
      </c>
      <c r="W190" s="188" t="s">
        <v>34</v>
      </c>
      <c r="X190" s="220" t="s">
        <v>523</v>
      </c>
      <c r="Y190" s="270" t="s">
        <v>1954</v>
      </c>
    </row>
    <row r="191" spans="1:25" s="30" customFormat="1" ht="207" x14ac:dyDescent="0.3">
      <c r="A191" s="250" t="s">
        <v>212</v>
      </c>
      <c r="B191" s="251" t="s">
        <v>1485</v>
      </c>
      <c r="C191" s="251" t="s">
        <v>1486</v>
      </c>
      <c r="D191" s="255" t="s">
        <v>979</v>
      </c>
      <c r="E191" s="253" t="s">
        <v>464</v>
      </c>
      <c r="F191" s="184" t="s">
        <v>2027</v>
      </c>
      <c r="G191" s="189">
        <v>131000</v>
      </c>
      <c r="H191" s="184" t="s">
        <v>2027</v>
      </c>
      <c r="I191" s="184" t="s">
        <v>1249</v>
      </c>
      <c r="J191" s="184" t="s">
        <v>51</v>
      </c>
      <c r="K191" s="199" t="s">
        <v>734</v>
      </c>
      <c r="L191" s="184" t="s">
        <v>2027</v>
      </c>
      <c r="M191" s="194" t="s">
        <v>2027</v>
      </c>
      <c r="N191" s="184" t="s">
        <v>1837</v>
      </c>
      <c r="O191" s="184" t="s">
        <v>2027</v>
      </c>
      <c r="P191" s="199" t="s">
        <v>595</v>
      </c>
      <c r="Q191" s="254" t="s">
        <v>125</v>
      </c>
      <c r="R191" s="207" t="s">
        <v>35</v>
      </c>
      <c r="S191" s="190">
        <v>3.5000000000000003E-2</v>
      </c>
      <c r="T191" s="199" t="s">
        <v>32</v>
      </c>
      <c r="U191" s="199">
        <v>2017</v>
      </c>
      <c r="V191" s="254" t="s">
        <v>1203</v>
      </c>
      <c r="W191" s="188" t="s">
        <v>34</v>
      </c>
      <c r="X191" s="220" t="s">
        <v>523</v>
      </c>
      <c r="Y191" s="270" t="s">
        <v>1954</v>
      </c>
    </row>
    <row r="192" spans="1:25" s="30" customFormat="1" ht="151.80000000000001" x14ac:dyDescent="0.3">
      <c r="A192" s="250" t="s">
        <v>242</v>
      </c>
      <c r="B192" s="251" t="s">
        <v>1485</v>
      </c>
      <c r="C192" s="251" t="s">
        <v>1486</v>
      </c>
      <c r="D192" s="255" t="s">
        <v>981</v>
      </c>
      <c r="E192" s="253" t="s">
        <v>464</v>
      </c>
      <c r="F192" s="184" t="s">
        <v>2027</v>
      </c>
      <c r="G192" s="189">
        <v>117000</v>
      </c>
      <c r="H192" s="184" t="s">
        <v>2027</v>
      </c>
      <c r="I192" s="184" t="s">
        <v>1250</v>
      </c>
      <c r="J192" s="184" t="s">
        <v>51</v>
      </c>
      <c r="K192" s="199" t="s">
        <v>734</v>
      </c>
      <c r="L192" s="184" t="s">
        <v>2027</v>
      </c>
      <c r="M192" s="194" t="s">
        <v>2027</v>
      </c>
      <c r="N192" s="184" t="s">
        <v>980</v>
      </c>
      <c r="O192" s="184" t="s">
        <v>2027</v>
      </c>
      <c r="P192" s="199" t="s">
        <v>595</v>
      </c>
      <c r="Q192" s="254" t="s">
        <v>125</v>
      </c>
      <c r="R192" s="207" t="s">
        <v>35</v>
      </c>
      <c r="S192" s="190">
        <v>3.5000000000000003E-2</v>
      </c>
      <c r="T192" s="199" t="s">
        <v>32</v>
      </c>
      <c r="U192" s="199">
        <v>2017</v>
      </c>
      <c r="V192" s="254" t="s">
        <v>1203</v>
      </c>
      <c r="W192" s="188" t="s">
        <v>34</v>
      </c>
      <c r="X192" s="220" t="s">
        <v>523</v>
      </c>
      <c r="Y192" s="270" t="s">
        <v>1954</v>
      </c>
    </row>
    <row r="193" spans="1:25" s="30" customFormat="1" ht="151.80000000000001" x14ac:dyDescent="0.3">
      <c r="A193" s="250" t="s">
        <v>259</v>
      </c>
      <c r="B193" s="251" t="s">
        <v>1485</v>
      </c>
      <c r="C193" s="251" t="s">
        <v>1486</v>
      </c>
      <c r="D193" s="255" t="s">
        <v>982</v>
      </c>
      <c r="E193" s="253" t="s">
        <v>464</v>
      </c>
      <c r="F193" s="184" t="s">
        <v>2027</v>
      </c>
      <c r="G193" s="189" t="s">
        <v>255</v>
      </c>
      <c r="H193" s="184" t="s">
        <v>2027</v>
      </c>
      <c r="I193" s="184" t="s">
        <v>984</v>
      </c>
      <c r="J193" s="184" t="s">
        <v>51</v>
      </c>
      <c r="K193" s="199" t="s">
        <v>734</v>
      </c>
      <c r="L193" s="184" t="s">
        <v>2027</v>
      </c>
      <c r="M193" s="194" t="s">
        <v>2027</v>
      </c>
      <c r="N193" s="184" t="s">
        <v>983</v>
      </c>
      <c r="O193" s="184" t="s">
        <v>2027</v>
      </c>
      <c r="P193" s="199" t="s">
        <v>595</v>
      </c>
      <c r="Q193" s="254" t="s">
        <v>125</v>
      </c>
      <c r="R193" s="207" t="s">
        <v>35</v>
      </c>
      <c r="S193" s="190">
        <v>3.5000000000000003E-2</v>
      </c>
      <c r="T193" s="199" t="s">
        <v>32</v>
      </c>
      <c r="U193" s="199">
        <v>2017</v>
      </c>
      <c r="V193" s="254" t="s">
        <v>1203</v>
      </c>
      <c r="W193" s="188" t="s">
        <v>34</v>
      </c>
      <c r="X193" s="220" t="s">
        <v>523</v>
      </c>
      <c r="Y193" s="270" t="s">
        <v>1954</v>
      </c>
    </row>
    <row r="194" spans="1:25" s="30" customFormat="1" ht="151.80000000000001" x14ac:dyDescent="0.3">
      <c r="A194" s="250" t="s">
        <v>260</v>
      </c>
      <c r="B194" s="251" t="s">
        <v>1485</v>
      </c>
      <c r="C194" s="251" t="s">
        <v>1486</v>
      </c>
      <c r="D194" s="255" t="s">
        <v>982</v>
      </c>
      <c r="E194" s="253" t="s">
        <v>464</v>
      </c>
      <c r="F194" s="184" t="s">
        <v>2027</v>
      </c>
      <c r="G194" s="186" t="s">
        <v>2027</v>
      </c>
      <c r="H194" s="184" t="s">
        <v>2027</v>
      </c>
      <c r="I194" s="184" t="s">
        <v>986</v>
      </c>
      <c r="J194" s="184" t="s">
        <v>51</v>
      </c>
      <c r="K194" s="199" t="s">
        <v>734</v>
      </c>
      <c r="L194" s="184" t="s">
        <v>2027</v>
      </c>
      <c r="M194" s="194" t="s">
        <v>2027</v>
      </c>
      <c r="N194" s="184" t="s">
        <v>985</v>
      </c>
      <c r="O194" s="184" t="s">
        <v>2027</v>
      </c>
      <c r="P194" s="199" t="s">
        <v>595</v>
      </c>
      <c r="Q194" s="254" t="s">
        <v>125</v>
      </c>
      <c r="R194" s="207" t="s">
        <v>35</v>
      </c>
      <c r="S194" s="190">
        <v>3.5000000000000003E-2</v>
      </c>
      <c r="T194" s="199" t="s">
        <v>32</v>
      </c>
      <c r="U194" s="199">
        <v>2017</v>
      </c>
      <c r="V194" s="254" t="s">
        <v>1203</v>
      </c>
      <c r="W194" s="188" t="s">
        <v>34</v>
      </c>
      <c r="X194" s="220" t="s">
        <v>523</v>
      </c>
      <c r="Y194" s="270" t="s">
        <v>1954</v>
      </c>
    </row>
    <row r="195" spans="1:25" ht="151.80000000000001" x14ac:dyDescent="0.3">
      <c r="A195" s="250" t="s">
        <v>2259</v>
      </c>
      <c r="B195" s="251" t="s">
        <v>1485</v>
      </c>
      <c r="C195" s="251" t="s">
        <v>115</v>
      </c>
      <c r="D195" s="184" t="s">
        <v>2249</v>
      </c>
      <c r="E195" s="253" t="s">
        <v>464</v>
      </c>
      <c r="F195" s="184" t="s">
        <v>2685</v>
      </c>
      <c r="G195" s="257" t="s">
        <v>2027</v>
      </c>
      <c r="H195" s="255" t="s">
        <v>2027</v>
      </c>
      <c r="I195" s="184" t="s">
        <v>2250</v>
      </c>
      <c r="J195" s="184" t="s">
        <v>2251</v>
      </c>
      <c r="K195" s="184" t="s">
        <v>2252</v>
      </c>
      <c r="L195" s="184" t="s">
        <v>2253</v>
      </c>
      <c r="M195" s="184" t="s">
        <v>2254</v>
      </c>
      <c r="N195" s="184" t="s">
        <v>2255</v>
      </c>
      <c r="O195" s="184" t="s">
        <v>133</v>
      </c>
      <c r="P195" s="184" t="s">
        <v>2027</v>
      </c>
      <c r="Q195" s="255" t="s">
        <v>2256</v>
      </c>
      <c r="R195" s="187" t="s">
        <v>136</v>
      </c>
      <c r="S195" s="190">
        <v>0.03</v>
      </c>
      <c r="T195" s="187" t="s">
        <v>2257</v>
      </c>
      <c r="U195" s="184">
        <v>2010</v>
      </c>
      <c r="V195" s="256" t="s">
        <v>2258</v>
      </c>
      <c r="W195" s="261" t="s">
        <v>34</v>
      </c>
      <c r="X195" s="184" t="s">
        <v>2027</v>
      </c>
      <c r="Y195" s="187">
        <v>2019</v>
      </c>
    </row>
    <row r="196" spans="1:25" ht="124.2" x14ac:dyDescent="0.3">
      <c r="A196" s="250" t="s">
        <v>2552</v>
      </c>
      <c r="B196" s="265" t="s">
        <v>1485</v>
      </c>
      <c r="C196" s="265" t="s">
        <v>115</v>
      </c>
      <c r="D196" s="255" t="s">
        <v>2544</v>
      </c>
      <c r="E196" s="253" t="s">
        <v>464</v>
      </c>
      <c r="F196" s="255" t="s">
        <v>2545</v>
      </c>
      <c r="G196" s="257" t="s">
        <v>2027</v>
      </c>
      <c r="H196" s="255" t="s">
        <v>2546</v>
      </c>
      <c r="I196" s="255" t="s">
        <v>2547</v>
      </c>
      <c r="J196" s="184" t="s">
        <v>58</v>
      </c>
      <c r="K196" s="255" t="s">
        <v>2252</v>
      </c>
      <c r="L196" s="255" t="s">
        <v>2548</v>
      </c>
      <c r="M196" s="184" t="s">
        <v>2254</v>
      </c>
      <c r="N196" s="255" t="s">
        <v>2549</v>
      </c>
      <c r="O196" s="184" t="s">
        <v>133</v>
      </c>
      <c r="P196" s="184" t="s">
        <v>2027</v>
      </c>
      <c r="Q196" s="255" t="s">
        <v>2550</v>
      </c>
      <c r="R196" s="258" t="s">
        <v>206</v>
      </c>
      <c r="S196" s="259">
        <v>0.03</v>
      </c>
      <c r="T196" s="255" t="s">
        <v>300</v>
      </c>
      <c r="U196" s="255">
        <v>2012</v>
      </c>
      <c r="V196" s="201" t="s">
        <v>2551</v>
      </c>
      <c r="W196" s="261" t="s">
        <v>2210</v>
      </c>
      <c r="X196" s="184" t="s">
        <v>2027</v>
      </c>
      <c r="Y196" s="187">
        <v>2019</v>
      </c>
    </row>
    <row r="197" spans="1:25" s="29" customFormat="1" ht="179.4" x14ac:dyDescent="0.3">
      <c r="A197" s="250" t="s">
        <v>190</v>
      </c>
      <c r="B197" s="251" t="s">
        <v>917</v>
      </c>
      <c r="C197" s="251" t="s">
        <v>61</v>
      </c>
      <c r="D197" s="199" t="s">
        <v>137</v>
      </c>
      <c r="E197" s="253" t="s">
        <v>464</v>
      </c>
      <c r="F197" s="184" t="s">
        <v>2027</v>
      </c>
      <c r="G197" s="186" t="s">
        <v>2027</v>
      </c>
      <c r="H197" s="184" t="s">
        <v>787</v>
      </c>
      <c r="I197" s="184" t="s">
        <v>1295</v>
      </c>
      <c r="J197" s="199" t="s">
        <v>36</v>
      </c>
      <c r="K197" s="256" t="s">
        <v>267</v>
      </c>
      <c r="L197" s="184" t="s">
        <v>2027</v>
      </c>
      <c r="M197" s="199" t="s">
        <v>138</v>
      </c>
      <c r="N197" s="184" t="s">
        <v>1294</v>
      </c>
      <c r="O197" s="199" t="s">
        <v>23</v>
      </c>
      <c r="P197" s="199" t="s">
        <v>989</v>
      </c>
      <c r="Q197" s="199" t="s">
        <v>990</v>
      </c>
      <c r="R197" s="207" t="s">
        <v>35</v>
      </c>
      <c r="S197" s="187" t="s">
        <v>2027</v>
      </c>
      <c r="T197" s="199" t="s">
        <v>32</v>
      </c>
      <c r="U197" s="63">
        <v>2016</v>
      </c>
      <c r="V197" s="254" t="s">
        <v>1114</v>
      </c>
      <c r="W197" s="188" t="s">
        <v>34</v>
      </c>
      <c r="X197" s="220" t="s">
        <v>266</v>
      </c>
      <c r="Y197" s="270" t="s">
        <v>1954</v>
      </c>
    </row>
    <row r="198" spans="1:25" s="29" customFormat="1" ht="193.2" x14ac:dyDescent="0.3">
      <c r="A198" s="250" t="s">
        <v>1082</v>
      </c>
      <c r="B198" s="251" t="s">
        <v>917</v>
      </c>
      <c r="C198" s="251" t="s">
        <v>61</v>
      </c>
      <c r="D198" s="199" t="s">
        <v>62</v>
      </c>
      <c r="E198" s="253" t="s">
        <v>464</v>
      </c>
      <c r="F198" s="184" t="s">
        <v>2027</v>
      </c>
      <c r="G198" s="186" t="s">
        <v>2027</v>
      </c>
      <c r="H198" s="184" t="s">
        <v>250</v>
      </c>
      <c r="I198" s="184" t="s">
        <v>1296</v>
      </c>
      <c r="J198" s="184" t="s">
        <v>51</v>
      </c>
      <c r="K198" s="184" t="s">
        <v>734</v>
      </c>
      <c r="L198" s="199" t="s">
        <v>949</v>
      </c>
      <c r="M198" s="199" t="s">
        <v>950</v>
      </c>
      <c r="N198" s="201" t="s">
        <v>953</v>
      </c>
      <c r="O198" s="199" t="s">
        <v>133</v>
      </c>
      <c r="P198" s="184" t="s">
        <v>595</v>
      </c>
      <c r="Q198" s="255" t="s">
        <v>125</v>
      </c>
      <c r="R198" s="207" t="s">
        <v>35</v>
      </c>
      <c r="S198" s="203">
        <v>3.5000000000000003E-2</v>
      </c>
      <c r="T198" s="199" t="s">
        <v>32</v>
      </c>
      <c r="U198" s="199">
        <v>2007</v>
      </c>
      <c r="V198" s="256" t="s">
        <v>1191</v>
      </c>
      <c r="W198" s="188" t="s">
        <v>34</v>
      </c>
      <c r="X198" s="188" t="s">
        <v>122</v>
      </c>
      <c r="Y198" s="270" t="s">
        <v>1954</v>
      </c>
    </row>
    <row r="199" spans="1:25" s="29" customFormat="1" ht="193.2" x14ac:dyDescent="0.3">
      <c r="A199" s="250" t="s">
        <v>191</v>
      </c>
      <c r="B199" s="251" t="s">
        <v>917</v>
      </c>
      <c r="C199" s="251" t="s">
        <v>61</v>
      </c>
      <c r="D199" s="199" t="s">
        <v>64</v>
      </c>
      <c r="E199" s="253" t="s">
        <v>464</v>
      </c>
      <c r="F199" s="184" t="s">
        <v>2027</v>
      </c>
      <c r="G199" s="186" t="s">
        <v>2027</v>
      </c>
      <c r="H199" s="184" t="s">
        <v>250</v>
      </c>
      <c r="I199" s="254" t="s">
        <v>961</v>
      </c>
      <c r="J199" s="184" t="s">
        <v>51</v>
      </c>
      <c r="K199" s="184" t="s">
        <v>734</v>
      </c>
      <c r="L199" s="199" t="s">
        <v>949</v>
      </c>
      <c r="M199" s="199" t="s">
        <v>950</v>
      </c>
      <c r="N199" s="201" t="s">
        <v>954</v>
      </c>
      <c r="O199" s="199" t="s">
        <v>133</v>
      </c>
      <c r="P199" s="184" t="s">
        <v>595</v>
      </c>
      <c r="Q199" s="255" t="s">
        <v>125</v>
      </c>
      <c r="R199" s="207" t="s">
        <v>35</v>
      </c>
      <c r="S199" s="203">
        <v>3.5000000000000003E-2</v>
      </c>
      <c r="T199" s="199" t="s">
        <v>32</v>
      </c>
      <c r="U199" s="199">
        <v>2007</v>
      </c>
      <c r="V199" s="256" t="s">
        <v>1191</v>
      </c>
      <c r="W199" s="188" t="s">
        <v>34</v>
      </c>
      <c r="X199" s="188" t="s">
        <v>122</v>
      </c>
      <c r="Y199" s="270" t="s">
        <v>1954</v>
      </c>
    </row>
    <row r="200" spans="1:25" s="29" customFormat="1" ht="193.2" x14ac:dyDescent="0.3">
      <c r="A200" s="250" t="s">
        <v>192</v>
      </c>
      <c r="B200" s="251" t="s">
        <v>917</v>
      </c>
      <c r="C200" s="251" t="s">
        <v>61</v>
      </c>
      <c r="D200" s="199" t="s">
        <v>65</v>
      </c>
      <c r="E200" s="253" t="s">
        <v>464</v>
      </c>
      <c r="F200" s="184" t="s">
        <v>2027</v>
      </c>
      <c r="G200" s="186" t="s">
        <v>2027</v>
      </c>
      <c r="H200" s="184" t="s">
        <v>250</v>
      </c>
      <c r="I200" s="254" t="s">
        <v>1297</v>
      </c>
      <c r="J200" s="184" t="s">
        <v>51</v>
      </c>
      <c r="K200" s="184" t="s">
        <v>734</v>
      </c>
      <c r="L200" s="199" t="s">
        <v>949</v>
      </c>
      <c r="M200" s="199" t="s">
        <v>950</v>
      </c>
      <c r="N200" s="201" t="s">
        <v>955</v>
      </c>
      <c r="O200" s="199" t="s">
        <v>133</v>
      </c>
      <c r="P200" s="184" t="s">
        <v>595</v>
      </c>
      <c r="Q200" s="255" t="s">
        <v>125</v>
      </c>
      <c r="R200" s="207" t="s">
        <v>35</v>
      </c>
      <c r="S200" s="203">
        <v>3.5000000000000003E-2</v>
      </c>
      <c r="T200" s="199" t="s">
        <v>32</v>
      </c>
      <c r="U200" s="199">
        <v>2007</v>
      </c>
      <c r="V200" s="256" t="s">
        <v>1191</v>
      </c>
      <c r="W200" s="188" t="s">
        <v>34</v>
      </c>
      <c r="X200" s="188" t="s">
        <v>122</v>
      </c>
      <c r="Y200" s="270" t="s">
        <v>1954</v>
      </c>
    </row>
    <row r="201" spans="1:25" s="29" customFormat="1" ht="193.2" x14ac:dyDescent="0.3">
      <c r="A201" s="250" t="s">
        <v>193</v>
      </c>
      <c r="B201" s="251" t="s">
        <v>917</v>
      </c>
      <c r="C201" s="251" t="s">
        <v>61</v>
      </c>
      <c r="D201" s="199" t="s">
        <v>66</v>
      </c>
      <c r="E201" s="253" t="s">
        <v>464</v>
      </c>
      <c r="F201" s="184" t="s">
        <v>2027</v>
      </c>
      <c r="G201" s="186" t="s">
        <v>2027</v>
      </c>
      <c r="H201" s="184" t="s">
        <v>250</v>
      </c>
      <c r="I201" s="254" t="s">
        <v>1298</v>
      </c>
      <c r="J201" s="184" t="s">
        <v>51</v>
      </c>
      <c r="K201" s="184" t="s">
        <v>734</v>
      </c>
      <c r="L201" s="199" t="s">
        <v>949</v>
      </c>
      <c r="M201" s="199" t="s">
        <v>950</v>
      </c>
      <c r="N201" s="201" t="s">
        <v>956</v>
      </c>
      <c r="O201" s="199" t="s">
        <v>133</v>
      </c>
      <c r="P201" s="184" t="s">
        <v>595</v>
      </c>
      <c r="Q201" s="255" t="s">
        <v>125</v>
      </c>
      <c r="R201" s="207" t="s">
        <v>35</v>
      </c>
      <c r="S201" s="203">
        <v>3.5000000000000003E-2</v>
      </c>
      <c r="T201" s="199" t="s">
        <v>32</v>
      </c>
      <c r="U201" s="199">
        <v>2007</v>
      </c>
      <c r="V201" s="256" t="s">
        <v>1191</v>
      </c>
      <c r="W201" s="188" t="s">
        <v>34</v>
      </c>
      <c r="X201" s="188" t="s">
        <v>122</v>
      </c>
      <c r="Y201" s="270" t="s">
        <v>1954</v>
      </c>
    </row>
    <row r="202" spans="1:25" s="29" customFormat="1" ht="193.2" x14ac:dyDescent="0.3">
      <c r="A202" s="250" t="s">
        <v>194</v>
      </c>
      <c r="B202" s="251" t="s">
        <v>917</v>
      </c>
      <c r="C202" s="251" t="s">
        <v>61</v>
      </c>
      <c r="D202" s="199" t="s">
        <v>67</v>
      </c>
      <c r="E202" s="253" t="s">
        <v>464</v>
      </c>
      <c r="F202" s="184" t="s">
        <v>2027</v>
      </c>
      <c r="G202" s="186" t="s">
        <v>2027</v>
      </c>
      <c r="H202" s="184" t="s">
        <v>250</v>
      </c>
      <c r="I202" s="254" t="s">
        <v>1299</v>
      </c>
      <c r="J202" s="184" t="s">
        <v>51</v>
      </c>
      <c r="K202" s="184" t="s">
        <v>734</v>
      </c>
      <c r="L202" s="199" t="s">
        <v>949</v>
      </c>
      <c r="M202" s="199" t="s">
        <v>950</v>
      </c>
      <c r="N202" s="201" t="s">
        <v>957</v>
      </c>
      <c r="O202" s="199" t="s">
        <v>133</v>
      </c>
      <c r="P202" s="184" t="s">
        <v>595</v>
      </c>
      <c r="Q202" s="255" t="s">
        <v>125</v>
      </c>
      <c r="R202" s="207" t="s">
        <v>35</v>
      </c>
      <c r="S202" s="203">
        <v>3.5000000000000003E-2</v>
      </c>
      <c r="T202" s="199" t="s">
        <v>32</v>
      </c>
      <c r="U202" s="199">
        <v>2007</v>
      </c>
      <c r="V202" s="256" t="s">
        <v>1191</v>
      </c>
      <c r="W202" s="188" t="s">
        <v>34</v>
      </c>
      <c r="X202" s="188" t="s">
        <v>122</v>
      </c>
      <c r="Y202" s="270" t="s">
        <v>1954</v>
      </c>
    </row>
    <row r="203" spans="1:25" s="29" customFormat="1" ht="193.2" x14ac:dyDescent="0.3">
      <c r="A203" s="250" t="s">
        <v>195</v>
      </c>
      <c r="B203" s="251" t="s">
        <v>917</v>
      </c>
      <c r="C203" s="251" t="s">
        <v>61</v>
      </c>
      <c r="D203" s="199" t="s">
        <v>68</v>
      </c>
      <c r="E203" s="253" t="s">
        <v>464</v>
      </c>
      <c r="F203" s="184" t="s">
        <v>2027</v>
      </c>
      <c r="G203" s="186" t="s">
        <v>2027</v>
      </c>
      <c r="H203" s="184" t="s">
        <v>250</v>
      </c>
      <c r="I203" s="254" t="s">
        <v>1300</v>
      </c>
      <c r="J203" s="184" t="s">
        <v>51</v>
      </c>
      <c r="K203" s="184" t="s">
        <v>734</v>
      </c>
      <c r="L203" s="199" t="s">
        <v>949</v>
      </c>
      <c r="M203" s="199" t="s">
        <v>950</v>
      </c>
      <c r="N203" s="201" t="s">
        <v>958</v>
      </c>
      <c r="O203" s="199" t="s">
        <v>133</v>
      </c>
      <c r="P203" s="184" t="s">
        <v>595</v>
      </c>
      <c r="Q203" s="255" t="s">
        <v>125</v>
      </c>
      <c r="R203" s="207" t="s">
        <v>35</v>
      </c>
      <c r="S203" s="203">
        <v>3.5000000000000003E-2</v>
      </c>
      <c r="T203" s="199" t="s">
        <v>32</v>
      </c>
      <c r="U203" s="199">
        <v>2007</v>
      </c>
      <c r="V203" s="256" t="s">
        <v>1191</v>
      </c>
      <c r="W203" s="188" t="s">
        <v>34</v>
      </c>
      <c r="X203" s="188" t="s">
        <v>122</v>
      </c>
      <c r="Y203" s="270" t="s">
        <v>1954</v>
      </c>
    </row>
    <row r="204" spans="1:25" s="29" customFormat="1" ht="165.6" x14ac:dyDescent="0.3">
      <c r="A204" s="250" t="s">
        <v>203</v>
      </c>
      <c r="B204" s="251" t="s">
        <v>917</v>
      </c>
      <c r="C204" s="251" t="s">
        <v>61</v>
      </c>
      <c r="D204" s="199" t="s">
        <v>69</v>
      </c>
      <c r="E204" s="253" t="s">
        <v>464</v>
      </c>
      <c r="F204" s="184" t="s">
        <v>2027</v>
      </c>
      <c r="G204" s="186" t="s">
        <v>2027</v>
      </c>
      <c r="H204" s="184" t="s">
        <v>250</v>
      </c>
      <c r="I204" s="254" t="s">
        <v>962</v>
      </c>
      <c r="J204" s="184" t="s">
        <v>51</v>
      </c>
      <c r="K204" s="184" t="s">
        <v>734</v>
      </c>
      <c r="L204" s="199" t="s">
        <v>949</v>
      </c>
      <c r="M204" s="199" t="s">
        <v>950</v>
      </c>
      <c r="N204" s="201" t="s">
        <v>951</v>
      </c>
      <c r="O204" s="199" t="s">
        <v>133</v>
      </c>
      <c r="P204" s="184" t="s">
        <v>595</v>
      </c>
      <c r="Q204" s="255" t="s">
        <v>125</v>
      </c>
      <c r="R204" s="207" t="s">
        <v>35</v>
      </c>
      <c r="S204" s="203">
        <v>3.5000000000000003E-2</v>
      </c>
      <c r="T204" s="199" t="s">
        <v>32</v>
      </c>
      <c r="U204" s="199">
        <v>2007</v>
      </c>
      <c r="V204" s="256" t="s">
        <v>1191</v>
      </c>
      <c r="W204" s="188" t="s">
        <v>34</v>
      </c>
      <c r="X204" s="188" t="s">
        <v>122</v>
      </c>
      <c r="Y204" s="270" t="s">
        <v>1954</v>
      </c>
    </row>
    <row r="205" spans="1:25" s="29" customFormat="1" ht="165.6" x14ac:dyDescent="0.3">
      <c r="A205" s="250" t="s">
        <v>204</v>
      </c>
      <c r="B205" s="251" t="s">
        <v>917</v>
      </c>
      <c r="C205" s="251" t="s">
        <v>61</v>
      </c>
      <c r="D205" s="193" t="s">
        <v>70</v>
      </c>
      <c r="E205" s="253" t="s">
        <v>464</v>
      </c>
      <c r="F205" s="184" t="s">
        <v>2027</v>
      </c>
      <c r="G205" s="186" t="s">
        <v>2027</v>
      </c>
      <c r="H205" s="184" t="s">
        <v>250</v>
      </c>
      <c r="I205" s="254" t="s">
        <v>1301</v>
      </c>
      <c r="J205" s="184" t="s">
        <v>51</v>
      </c>
      <c r="K205" s="184" t="s">
        <v>734</v>
      </c>
      <c r="L205" s="199" t="s">
        <v>949</v>
      </c>
      <c r="M205" s="199" t="s">
        <v>950</v>
      </c>
      <c r="N205" s="201" t="s">
        <v>952</v>
      </c>
      <c r="O205" s="199" t="s">
        <v>133</v>
      </c>
      <c r="P205" s="184" t="s">
        <v>595</v>
      </c>
      <c r="Q205" s="255" t="s">
        <v>125</v>
      </c>
      <c r="R205" s="207" t="s">
        <v>35</v>
      </c>
      <c r="S205" s="203">
        <v>3.5000000000000003E-2</v>
      </c>
      <c r="T205" s="199" t="s">
        <v>32</v>
      </c>
      <c r="U205" s="199">
        <v>2007</v>
      </c>
      <c r="V205" s="256" t="s">
        <v>1191</v>
      </c>
      <c r="W205" s="188" t="s">
        <v>34</v>
      </c>
      <c r="X205" s="188" t="s">
        <v>122</v>
      </c>
      <c r="Y205" s="270" t="s">
        <v>1954</v>
      </c>
    </row>
    <row r="206" spans="1:25" s="29" customFormat="1" ht="193.2" x14ac:dyDescent="0.3">
      <c r="A206" s="250" t="s">
        <v>205</v>
      </c>
      <c r="B206" s="251" t="s">
        <v>917</v>
      </c>
      <c r="C206" s="251" t="s">
        <v>61</v>
      </c>
      <c r="D206" s="184" t="s">
        <v>71</v>
      </c>
      <c r="E206" s="253" t="s">
        <v>464</v>
      </c>
      <c r="F206" s="184" t="s">
        <v>2027</v>
      </c>
      <c r="G206" s="186" t="s">
        <v>2027</v>
      </c>
      <c r="H206" s="184" t="s">
        <v>250</v>
      </c>
      <c r="I206" s="254" t="s">
        <v>1302</v>
      </c>
      <c r="J206" s="184" t="s">
        <v>51</v>
      </c>
      <c r="K206" s="184" t="s">
        <v>734</v>
      </c>
      <c r="L206" s="199" t="s">
        <v>949</v>
      </c>
      <c r="M206" s="199" t="s">
        <v>950</v>
      </c>
      <c r="N206" s="201" t="s">
        <v>959</v>
      </c>
      <c r="O206" s="199" t="s">
        <v>133</v>
      </c>
      <c r="P206" s="184" t="s">
        <v>595</v>
      </c>
      <c r="Q206" s="255" t="s">
        <v>125</v>
      </c>
      <c r="R206" s="207" t="s">
        <v>35</v>
      </c>
      <c r="S206" s="203">
        <v>3.5000000000000003E-2</v>
      </c>
      <c r="T206" s="199" t="s">
        <v>32</v>
      </c>
      <c r="U206" s="199">
        <v>2007</v>
      </c>
      <c r="V206" s="256" t="s">
        <v>1191</v>
      </c>
      <c r="W206" s="188" t="s">
        <v>34</v>
      </c>
      <c r="X206" s="188" t="s">
        <v>122</v>
      </c>
      <c r="Y206" s="270" t="s">
        <v>1954</v>
      </c>
    </row>
    <row r="207" spans="1:25" s="29" customFormat="1" ht="193.2" x14ac:dyDescent="0.3">
      <c r="A207" s="250" t="s">
        <v>211</v>
      </c>
      <c r="B207" s="251" t="s">
        <v>917</v>
      </c>
      <c r="C207" s="251" t="s">
        <v>61</v>
      </c>
      <c r="D207" s="184" t="s">
        <v>72</v>
      </c>
      <c r="E207" s="253" t="s">
        <v>464</v>
      </c>
      <c r="F207" s="184" t="s">
        <v>2027</v>
      </c>
      <c r="G207" s="186" t="s">
        <v>2027</v>
      </c>
      <c r="H207" s="184" t="s">
        <v>250</v>
      </c>
      <c r="I207" s="254" t="s">
        <v>1303</v>
      </c>
      <c r="J207" s="184" t="s">
        <v>51</v>
      </c>
      <c r="K207" s="184" t="s">
        <v>734</v>
      </c>
      <c r="L207" s="199" t="s">
        <v>949</v>
      </c>
      <c r="M207" s="199" t="s">
        <v>950</v>
      </c>
      <c r="N207" s="201" t="s">
        <v>960</v>
      </c>
      <c r="O207" s="199" t="s">
        <v>133</v>
      </c>
      <c r="P207" s="184" t="s">
        <v>595</v>
      </c>
      <c r="Q207" s="255" t="s">
        <v>125</v>
      </c>
      <c r="R207" s="207" t="s">
        <v>35</v>
      </c>
      <c r="S207" s="203">
        <v>3.5000000000000003E-2</v>
      </c>
      <c r="T207" s="199" t="s">
        <v>32</v>
      </c>
      <c r="U207" s="199">
        <v>2007</v>
      </c>
      <c r="V207" s="256" t="s">
        <v>1191</v>
      </c>
      <c r="W207" s="188" t="s">
        <v>34</v>
      </c>
      <c r="X207" s="188" t="s">
        <v>122</v>
      </c>
      <c r="Y207" s="270" t="s">
        <v>1954</v>
      </c>
    </row>
    <row r="208" spans="1:25" s="29" customFormat="1" ht="69" x14ac:dyDescent="0.3">
      <c r="A208" s="250" t="s">
        <v>244</v>
      </c>
      <c r="B208" s="251" t="s">
        <v>917</v>
      </c>
      <c r="C208" s="251" t="s">
        <v>61</v>
      </c>
      <c r="D208" s="184" t="s">
        <v>73</v>
      </c>
      <c r="E208" s="253" t="s">
        <v>464</v>
      </c>
      <c r="F208" s="184" t="s">
        <v>2027</v>
      </c>
      <c r="G208" s="105">
        <v>370</v>
      </c>
      <c r="H208" s="184" t="s">
        <v>2027</v>
      </c>
      <c r="I208" s="254" t="s">
        <v>1315</v>
      </c>
      <c r="J208" s="184" t="s">
        <v>51</v>
      </c>
      <c r="K208" s="184" t="s">
        <v>734</v>
      </c>
      <c r="L208" s="184" t="s">
        <v>964</v>
      </c>
      <c r="M208" s="184" t="s">
        <v>966</v>
      </c>
      <c r="N208" s="201" t="s">
        <v>965</v>
      </c>
      <c r="O208" s="199" t="s">
        <v>133</v>
      </c>
      <c r="P208" s="184" t="s">
        <v>595</v>
      </c>
      <c r="Q208" s="255" t="s">
        <v>125</v>
      </c>
      <c r="R208" s="207" t="s">
        <v>35</v>
      </c>
      <c r="S208" s="203">
        <v>3.5000000000000003E-2</v>
      </c>
      <c r="T208" s="199" t="s">
        <v>32</v>
      </c>
      <c r="U208" s="199">
        <v>2006</v>
      </c>
      <c r="V208" s="256" t="s">
        <v>1192</v>
      </c>
      <c r="W208" s="188" t="s">
        <v>34</v>
      </c>
      <c r="X208" s="220" t="s">
        <v>121</v>
      </c>
      <c r="Y208" s="270" t="s">
        <v>1954</v>
      </c>
    </row>
    <row r="209" spans="1:25" s="29" customFormat="1" ht="69" x14ac:dyDescent="0.3">
      <c r="A209" s="250" t="s">
        <v>281</v>
      </c>
      <c r="B209" s="251" t="s">
        <v>917</v>
      </c>
      <c r="C209" s="251" t="s">
        <v>61</v>
      </c>
      <c r="D209" s="184" t="s">
        <v>104</v>
      </c>
      <c r="E209" s="253" t="s">
        <v>464</v>
      </c>
      <c r="F209" s="184" t="s">
        <v>2027</v>
      </c>
      <c r="G209" s="105">
        <v>732</v>
      </c>
      <c r="H209" s="184" t="s">
        <v>2027</v>
      </c>
      <c r="I209" s="184" t="s">
        <v>1314</v>
      </c>
      <c r="J209" s="184" t="s">
        <v>51</v>
      </c>
      <c r="K209" s="184" t="s">
        <v>734</v>
      </c>
      <c r="L209" s="184" t="s">
        <v>964</v>
      </c>
      <c r="M209" s="184" t="s">
        <v>966</v>
      </c>
      <c r="N209" s="201" t="s">
        <v>967</v>
      </c>
      <c r="O209" s="199" t="s">
        <v>133</v>
      </c>
      <c r="P209" s="184" t="s">
        <v>595</v>
      </c>
      <c r="Q209" s="255" t="s">
        <v>125</v>
      </c>
      <c r="R209" s="207" t="s">
        <v>35</v>
      </c>
      <c r="S209" s="203">
        <v>3.5000000000000003E-2</v>
      </c>
      <c r="T209" s="199" t="s">
        <v>32</v>
      </c>
      <c r="U209" s="199">
        <v>2006</v>
      </c>
      <c r="V209" s="256" t="s">
        <v>1192</v>
      </c>
      <c r="W209" s="188" t="s">
        <v>34</v>
      </c>
      <c r="X209" s="220" t="s">
        <v>121</v>
      </c>
      <c r="Y209" s="270" t="s">
        <v>1954</v>
      </c>
    </row>
    <row r="210" spans="1:25" s="29" customFormat="1" ht="193.2" x14ac:dyDescent="0.3">
      <c r="A210" s="250" t="s">
        <v>282</v>
      </c>
      <c r="B210" s="251" t="s">
        <v>917</v>
      </c>
      <c r="C210" s="251" t="s">
        <v>61</v>
      </c>
      <c r="D210" s="184" t="s">
        <v>74</v>
      </c>
      <c r="E210" s="253" t="s">
        <v>464</v>
      </c>
      <c r="F210" s="184" t="s">
        <v>2027</v>
      </c>
      <c r="G210" s="105">
        <v>984</v>
      </c>
      <c r="H210" s="184" t="s">
        <v>2027</v>
      </c>
      <c r="I210" s="254" t="s">
        <v>1304</v>
      </c>
      <c r="J210" s="184" t="s">
        <v>51</v>
      </c>
      <c r="K210" s="184" t="s">
        <v>734</v>
      </c>
      <c r="L210" s="199" t="s">
        <v>949</v>
      </c>
      <c r="M210" s="199" t="s">
        <v>950</v>
      </c>
      <c r="N210" s="201" t="s">
        <v>963</v>
      </c>
      <c r="O210" s="199" t="s">
        <v>133</v>
      </c>
      <c r="P210" s="184" t="s">
        <v>595</v>
      </c>
      <c r="Q210" s="255" t="s">
        <v>125</v>
      </c>
      <c r="R210" s="207" t="s">
        <v>35</v>
      </c>
      <c r="S210" s="203">
        <v>3.5000000000000003E-2</v>
      </c>
      <c r="T210" s="199" t="s">
        <v>32</v>
      </c>
      <c r="U210" s="199">
        <v>2007</v>
      </c>
      <c r="V210" s="256" t="s">
        <v>1191</v>
      </c>
      <c r="W210" s="188" t="s">
        <v>34</v>
      </c>
      <c r="X210" s="188" t="s">
        <v>122</v>
      </c>
      <c r="Y210" s="270" t="s">
        <v>1954</v>
      </c>
    </row>
    <row r="211" spans="1:25" s="29" customFormat="1" ht="82.8" x14ac:dyDescent="0.3">
      <c r="A211" s="250" t="s">
        <v>1083</v>
      </c>
      <c r="B211" s="251" t="s">
        <v>917</v>
      </c>
      <c r="C211" s="251" t="s">
        <v>61</v>
      </c>
      <c r="D211" s="184" t="s">
        <v>1305</v>
      </c>
      <c r="E211" s="253" t="s">
        <v>464</v>
      </c>
      <c r="F211" s="184" t="s">
        <v>2027</v>
      </c>
      <c r="G211" s="105">
        <v>2110</v>
      </c>
      <c r="H211" s="184" t="s">
        <v>2027</v>
      </c>
      <c r="I211" s="254" t="s">
        <v>1306</v>
      </c>
      <c r="J211" s="184" t="s">
        <v>51</v>
      </c>
      <c r="K211" s="184" t="s">
        <v>734</v>
      </c>
      <c r="L211" s="184" t="s">
        <v>964</v>
      </c>
      <c r="M211" s="184" t="s">
        <v>966</v>
      </c>
      <c r="N211" s="256" t="s">
        <v>968</v>
      </c>
      <c r="O211" s="199" t="s">
        <v>133</v>
      </c>
      <c r="P211" s="184" t="s">
        <v>595</v>
      </c>
      <c r="Q211" s="255" t="s">
        <v>125</v>
      </c>
      <c r="R211" s="207" t="s">
        <v>35</v>
      </c>
      <c r="S211" s="203">
        <v>3.5000000000000003E-2</v>
      </c>
      <c r="T211" s="199" t="s">
        <v>32</v>
      </c>
      <c r="U211" s="199">
        <v>2006</v>
      </c>
      <c r="V211" s="256" t="s">
        <v>1192</v>
      </c>
      <c r="W211" s="188" t="s">
        <v>34</v>
      </c>
      <c r="X211" s="220" t="s">
        <v>121</v>
      </c>
      <c r="Y211" s="270" t="s">
        <v>1954</v>
      </c>
    </row>
    <row r="212" spans="1:25" s="29" customFormat="1" ht="151.80000000000001" x14ac:dyDescent="0.3">
      <c r="A212" s="250" t="s">
        <v>1084</v>
      </c>
      <c r="B212" s="251" t="s">
        <v>917</v>
      </c>
      <c r="C212" s="251" t="s">
        <v>61</v>
      </c>
      <c r="D212" s="184" t="s">
        <v>134</v>
      </c>
      <c r="E212" s="253" t="s">
        <v>464</v>
      </c>
      <c r="F212" s="184" t="s">
        <v>2027</v>
      </c>
      <c r="G212" s="186" t="s">
        <v>2027</v>
      </c>
      <c r="H212" s="105">
        <v>-2169</v>
      </c>
      <c r="I212" s="255" t="s">
        <v>855</v>
      </c>
      <c r="J212" s="184" t="s">
        <v>51</v>
      </c>
      <c r="K212" s="184" t="s">
        <v>396</v>
      </c>
      <c r="L212" s="184" t="s">
        <v>849</v>
      </c>
      <c r="M212" s="184" t="s">
        <v>856</v>
      </c>
      <c r="N212" s="201" t="s">
        <v>854</v>
      </c>
      <c r="O212" s="184" t="s">
        <v>2027</v>
      </c>
      <c r="P212" s="184" t="s">
        <v>595</v>
      </c>
      <c r="Q212" s="255" t="s">
        <v>739</v>
      </c>
      <c r="R212" s="207" t="s">
        <v>35</v>
      </c>
      <c r="S212" s="203">
        <v>3.5000000000000003E-2</v>
      </c>
      <c r="T212" s="199" t="s">
        <v>554</v>
      </c>
      <c r="U212" s="199">
        <v>2009</v>
      </c>
      <c r="V212" s="256" t="s">
        <v>1205</v>
      </c>
      <c r="W212" s="188" t="s">
        <v>34</v>
      </c>
      <c r="X212" s="184" t="s">
        <v>2027</v>
      </c>
      <c r="Y212" s="270" t="s">
        <v>1954</v>
      </c>
    </row>
    <row r="213" spans="1:25" s="29" customFormat="1" ht="151.80000000000001" x14ac:dyDescent="0.3">
      <c r="A213" s="250" t="s">
        <v>1085</v>
      </c>
      <c r="B213" s="251" t="s">
        <v>917</v>
      </c>
      <c r="C213" s="251" t="s">
        <v>61</v>
      </c>
      <c r="D213" s="184" t="s">
        <v>135</v>
      </c>
      <c r="E213" s="253" t="s">
        <v>464</v>
      </c>
      <c r="F213" s="184" t="s">
        <v>2027</v>
      </c>
      <c r="G213" s="186" t="s">
        <v>2027</v>
      </c>
      <c r="H213" s="105">
        <v>-933</v>
      </c>
      <c r="I213" s="255" t="s">
        <v>846</v>
      </c>
      <c r="J213" s="184" t="s">
        <v>51</v>
      </c>
      <c r="K213" s="184" t="s">
        <v>396</v>
      </c>
      <c r="L213" s="184" t="s">
        <v>847</v>
      </c>
      <c r="M213" s="255" t="s">
        <v>26</v>
      </c>
      <c r="N213" s="201" t="s">
        <v>853</v>
      </c>
      <c r="O213" s="184" t="s">
        <v>2027</v>
      </c>
      <c r="P213" s="184" t="s">
        <v>595</v>
      </c>
      <c r="Q213" s="255" t="s">
        <v>739</v>
      </c>
      <c r="R213" s="207" t="s">
        <v>35</v>
      </c>
      <c r="S213" s="203">
        <v>3.5000000000000003E-2</v>
      </c>
      <c r="T213" s="199" t="s">
        <v>554</v>
      </c>
      <c r="U213" s="199">
        <v>2009</v>
      </c>
      <c r="V213" s="256" t="s">
        <v>1205</v>
      </c>
      <c r="W213" s="188" t="s">
        <v>34</v>
      </c>
      <c r="X213" s="184" t="s">
        <v>2027</v>
      </c>
      <c r="Y213" s="270" t="s">
        <v>1954</v>
      </c>
    </row>
    <row r="214" spans="1:25" s="29" customFormat="1" ht="151.80000000000001" x14ac:dyDescent="0.3">
      <c r="A214" s="250" t="s">
        <v>1086</v>
      </c>
      <c r="B214" s="251" t="s">
        <v>917</v>
      </c>
      <c r="C214" s="251" t="s">
        <v>61</v>
      </c>
      <c r="D214" s="198" t="s">
        <v>77</v>
      </c>
      <c r="E214" s="253" t="s">
        <v>464</v>
      </c>
      <c r="F214" s="184" t="s">
        <v>2027</v>
      </c>
      <c r="G214" s="105">
        <v>50</v>
      </c>
      <c r="H214" s="184" t="s">
        <v>2027</v>
      </c>
      <c r="I214" s="254" t="s">
        <v>1307</v>
      </c>
      <c r="J214" s="184" t="s">
        <v>51</v>
      </c>
      <c r="K214" s="184" t="s">
        <v>734</v>
      </c>
      <c r="L214" s="184" t="s">
        <v>2027</v>
      </c>
      <c r="M214" s="184" t="s">
        <v>78</v>
      </c>
      <c r="N214" s="256" t="s">
        <v>1017</v>
      </c>
      <c r="O214" s="184" t="s">
        <v>2027</v>
      </c>
      <c r="P214" s="184" t="s">
        <v>595</v>
      </c>
      <c r="Q214" s="255" t="s">
        <v>125</v>
      </c>
      <c r="R214" s="207" t="s">
        <v>35</v>
      </c>
      <c r="S214" s="203">
        <v>3.5000000000000003E-2</v>
      </c>
      <c r="T214" s="199" t="s">
        <v>398</v>
      </c>
      <c r="U214" s="199">
        <v>2008</v>
      </c>
      <c r="V214" s="256" t="s">
        <v>1204</v>
      </c>
      <c r="W214" s="188" t="s">
        <v>34</v>
      </c>
      <c r="X214" s="220" t="s">
        <v>119</v>
      </c>
      <c r="Y214" s="270" t="s">
        <v>1954</v>
      </c>
    </row>
    <row r="215" spans="1:25" s="29" customFormat="1" ht="151.80000000000001" x14ac:dyDescent="0.3">
      <c r="A215" s="250" t="s">
        <v>1087</v>
      </c>
      <c r="B215" s="251" t="s">
        <v>917</v>
      </c>
      <c r="C215" s="251" t="s">
        <v>61</v>
      </c>
      <c r="D215" s="198" t="s">
        <v>79</v>
      </c>
      <c r="E215" s="253" t="s">
        <v>464</v>
      </c>
      <c r="F215" s="184" t="s">
        <v>2027</v>
      </c>
      <c r="G215" s="105">
        <v>91</v>
      </c>
      <c r="H215" s="184" t="s">
        <v>2027</v>
      </c>
      <c r="I215" s="254" t="s">
        <v>1309</v>
      </c>
      <c r="J215" s="184" t="s">
        <v>51</v>
      </c>
      <c r="K215" s="184" t="s">
        <v>734</v>
      </c>
      <c r="L215" s="184" t="s">
        <v>2027</v>
      </c>
      <c r="M215" s="184" t="s">
        <v>63</v>
      </c>
      <c r="N215" s="256" t="s">
        <v>1006</v>
      </c>
      <c r="O215" s="184" t="s">
        <v>2027</v>
      </c>
      <c r="P215" s="184" t="s">
        <v>595</v>
      </c>
      <c r="Q215" s="255" t="s">
        <v>125</v>
      </c>
      <c r="R215" s="207" t="s">
        <v>35</v>
      </c>
      <c r="S215" s="203">
        <v>3.5000000000000003E-2</v>
      </c>
      <c r="T215" s="199" t="s">
        <v>32</v>
      </c>
      <c r="U215" s="199">
        <v>2008</v>
      </c>
      <c r="V215" s="256" t="s">
        <v>1204</v>
      </c>
      <c r="W215" s="256" t="s">
        <v>1204</v>
      </c>
      <c r="X215" s="220" t="s">
        <v>119</v>
      </c>
      <c r="Y215" s="270" t="s">
        <v>1954</v>
      </c>
    </row>
    <row r="216" spans="1:25" s="29" customFormat="1" ht="151.80000000000001" x14ac:dyDescent="0.3">
      <c r="A216" s="250" t="s">
        <v>1088</v>
      </c>
      <c r="B216" s="251" t="s">
        <v>917</v>
      </c>
      <c r="C216" s="251" t="s">
        <v>61</v>
      </c>
      <c r="D216" s="184" t="s">
        <v>80</v>
      </c>
      <c r="E216" s="253" t="s">
        <v>464</v>
      </c>
      <c r="F216" s="184" t="s">
        <v>2027</v>
      </c>
      <c r="G216" s="189" t="s">
        <v>2762</v>
      </c>
      <c r="H216" s="184" t="s">
        <v>2027</v>
      </c>
      <c r="I216" s="254" t="s">
        <v>1310</v>
      </c>
      <c r="J216" s="184" t="s">
        <v>51</v>
      </c>
      <c r="K216" s="184" t="s">
        <v>734</v>
      </c>
      <c r="L216" s="184" t="s">
        <v>2027</v>
      </c>
      <c r="M216" s="184" t="s">
        <v>1027</v>
      </c>
      <c r="N216" s="256" t="s">
        <v>1026</v>
      </c>
      <c r="O216" s="184" t="s">
        <v>2027</v>
      </c>
      <c r="P216" s="184" t="s">
        <v>595</v>
      </c>
      <c r="Q216" s="255" t="s">
        <v>125</v>
      </c>
      <c r="R216" s="207" t="s">
        <v>35</v>
      </c>
      <c r="S216" s="203">
        <v>3.5000000000000003E-2</v>
      </c>
      <c r="T216" s="199" t="s">
        <v>32</v>
      </c>
      <c r="U216" s="199">
        <v>2008</v>
      </c>
      <c r="V216" s="256" t="s">
        <v>1204</v>
      </c>
      <c r="W216" s="188" t="s">
        <v>34</v>
      </c>
      <c r="X216" s="220" t="s">
        <v>119</v>
      </c>
      <c r="Y216" s="270" t="s">
        <v>1954</v>
      </c>
    </row>
    <row r="217" spans="1:25" s="29" customFormat="1" ht="151.80000000000001" x14ac:dyDescent="0.3">
      <c r="A217" s="250" t="s">
        <v>1089</v>
      </c>
      <c r="B217" s="251" t="s">
        <v>917</v>
      </c>
      <c r="C217" s="251" t="s">
        <v>61</v>
      </c>
      <c r="D217" s="184" t="s">
        <v>82</v>
      </c>
      <c r="E217" s="253" t="s">
        <v>464</v>
      </c>
      <c r="F217" s="184" t="s">
        <v>2027</v>
      </c>
      <c r="G217" s="186" t="s">
        <v>2763</v>
      </c>
      <c r="H217" s="184" t="s">
        <v>2027</v>
      </c>
      <c r="I217" s="254" t="s">
        <v>1313</v>
      </c>
      <c r="J217" s="184" t="s">
        <v>51</v>
      </c>
      <c r="K217" s="184" t="s">
        <v>734</v>
      </c>
      <c r="L217" s="184" t="s">
        <v>2027</v>
      </c>
      <c r="M217" s="184" t="s">
        <v>1029</v>
      </c>
      <c r="N217" s="256" t="s">
        <v>1028</v>
      </c>
      <c r="O217" s="184" t="s">
        <v>2027</v>
      </c>
      <c r="P217" s="184" t="s">
        <v>595</v>
      </c>
      <c r="Q217" s="255" t="s">
        <v>125</v>
      </c>
      <c r="R217" s="207" t="s">
        <v>35</v>
      </c>
      <c r="S217" s="203">
        <v>3.5000000000000003E-2</v>
      </c>
      <c r="T217" s="199" t="s">
        <v>32</v>
      </c>
      <c r="U217" s="199">
        <v>2008</v>
      </c>
      <c r="V217" s="256" t="s">
        <v>1204</v>
      </c>
      <c r="W217" s="188" t="s">
        <v>34</v>
      </c>
      <c r="X217" s="220" t="s">
        <v>119</v>
      </c>
      <c r="Y217" s="270" t="s">
        <v>1954</v>
      </c>
    </row>
    <row r="218" spans="1:25" s="29" customFormat="1" ht="151.80000000000001" x14ac:dyDescent="0.3">
      <c r="A218" s="250" t="s">
        <v>1090</v>
      </c>
      <c r="B218" s="251" t="s">
        <v>917</v>
      </c>
      <c r="C218" s="251" t="s">
        <v>61</v>
      </c>
      <c r="D218" s="184" t="s">
        <v>83</v>
      </c>
      <c r="E218" s="253" t="s">
        <v>464</v>
      </c>
      <c r="F218" s="184" t="s">
        <v>2027</v>
      </c>
      <c r="G218" s="230" t="s">
        <v>1031</v>
      </c>
      <c r="H218" s="184" t="s">
        <v>2027</v>
      </c>
      <c r="I218" s="254" t="s">
        <v>1311</v>
      </c>
      <c r="J218" s="184" t="s">
        <v>51</v>
      </c>
      <c r="K218" s="184" t="s">
        <v>734</v>
      </c>
      <c r="L218" s="184" t="s">
        <v>2027</v>
      </c>
      <c r="M218" s="184" t="s">
        <v>84</v>
      </c>
      <c r="N218" s="256" t="s">
        <v>1030</v>
      </c>
      <c r="O218" s="184" t="s">
        <v>2027</v>
      </c>
      <c r="P218" s="184" t="s">
        <v>595</v>
      </c>
      <c r="Q218" s="255" t="s">
        <v>125</v>
      </c>
      <c r="R218" s="207" t="s">
        <v>35</v>
      </c>
      <c r="S218" s="203">
        <v>3.5000000000000003E-2</v>
      </c>
      <c r="T218" s="199" t="s">
        <v>32</v>
      </c>
      <c r="U218" s="199">
        <v>2008</v>
      </c>
      <c r="V218" s="256" t="s">
        <v>1204</v>
      </c>
      <c r="W218" s="188" t="s">
        <v>34</v>
      </c>
      <c r="X218" s="220" t="s">
        <v>119</v>
      </c>
      <c r="Y218" s="270" t="s">
        <v>1954</v>
      </c>
    </row>
    <row r="219" spans="1:25" s="29" customFormat="1" ht="151.80000000000001" x14ac:dyDescent="0.3">
      <c r="A219" s="250" t="s">
        <v>1091</v>
      </c>
      <c r="B219" s="251" t="s">
        <v>917</v>
      </c>
      <c r="C219" s="251" t="s">
        <v>61</v>
      </c>
      <c r="D219" s="184" t="s">
        <v>85</v>
      </c>
      <c r="E219" s="253" t="s">
        <v>464</v>
      </c>
      <c r="F219" s="184" t="s">
        <v>2027</v>
      </c>
      <c r="G219" s="230" t="s">
        <v>2764</v>
      </c>
      <c r="H219" s="184" t="s">
        <v>2027</v>
      </c>
      <c r="I219" s="254" t="s">
        <v>1312</v>
      </c>
      <c r="J219" s="184" t="s">
        <v>51</v>
      </c>
      <c r="K219" s="184" t="s">
        <v>734</v>
      </c>
      <c r="L219" s="184" t="s">
        <v>2027</v>
      </c>
      <c r="M219" s="184" t="s">
        <v>26</v>
      </c>
      <c r="N219" s="256" t="s">
        <v>1838</v>
      </c>
      <c r="O219" s="184" t="s">
        <v>2027</v>
      </c>
      <c r="P219" s="184" t="s">
        <v>595</v>
      </c>
      <c r="Q219" s="255" t="s">
        <v>125</v>
      </c>
      <c r="R219" s="207" t="s">
        <v>35</v>
      </c>
      <c r="S219" s="203">
        <v>3.5000000000000003E-2</v>
      </c>
      <c r="T219" s="199" t="s">
        <v>32</v>
      </c>
      <c r="U219" s="199">
        <v>2008</v>
      </c>
      <c r="V219" s="256" t="s">
        <v>1204</v>
      </c>
      <c r="W219" s="188" t="s">
        <v>34</v>
      </c>
      <c r="X219" s="220" t="s">
        <v>119</v>
      </c>
      <c r="Y219" s="270" t="s">
        <v>1954</v>
      </c>
    </row>
    <row r="220" spans="1:25" s="29" customFormat="1" ht="151.80000000000001" x14ac:dyDescent="0.3">
      <c r="A220" s="250" t="s">
        <v>1092</v>
      </c>
      <c r="B220" s="251" t="s">
        <v>917</v>
      </c>
      <c r="C220" s="251" t="s">
        <v>61</v>
      </c>
      <c r="D220" s="184" t="s">
        <v>86</v>
      </c>
      <c r="E220" s="253" t="s">
        <v>464</v>
      </c>
      <c r="F220" s="184" t="s">
        <v>2027</v>
      </c>
      <c r="G220" s="189" t="s">
        <v>1008</v>
      </c>
      <c r="H220" s="184" t="s">
        <v>2027</v>
      </c>
      <c r="I220" s="254" t="s">
        <v>1007</v>
      </c>
      <c r="J220" s="184" t="s">
        <v>51</v>
      </c>
      <c r="K220" s="184" t="s">
        <v>734</v>
      </c>
      <c r="L220" s="184" t="s">
        <v>2027</v>
      </c>
      <c r="M220" s="184" t="s">
        <v>81</v>
      </c>
      <c r="N220" s="256" t="s">
        <v>1009</v>
      </c>
      <c r="O220" s="184" t="s">
        <v>2027</v>
      </c>
      <c r="P220" s="184" t="s">
        <v>595</v>
      </c>
      <c r="Q220" s="255" t="s">
        <v>125</v>
      </c>
      <c r="R220" s="207" t="s">
        <v>35</v>
      </c>
      <c r="S220" s="203">
        <v>3.5000000000000003E-2</v>
      </c>
      <c r="T220" s="199" t="s">
        <v>32</v>
      </c>
      <c r="U220" s="199">
        <v>2008</v>
      </c>
      <c r="V220" s="256" t="s">
        <v>1204</v>
      </c>
      <c r="W220" s="188" t="s">
        <v>34</v>
      </c>
      <c r="X220" s="220" t="s">
        <v>119</v>
      </c>
      <c r="Y220" s="270" t="s">
        <v>1954</v>
      </c>
    </row>
    <row r="221" spans="1:25" s="29" customFormat="1" ht="151.80000000000001" x14ac:dyDescent="0.3">
      <c r="A221" s="250" t="s">
        <v>1093</v>
      </c>
      <c r="B221" s="251" t="s">
        <v>917</v>
      </c>
      <c r="C221" s="251" t="s">
        <v>61</v>
      </c>
      <c r="D221" s="184" t="s">
        <v>87</v>
      </c>
      <c r="E221" s="253" t="s">
        <v>464</v>
      </c>
      <c r="F221" s="184" t="s">
        <v>2027</v>
      </c>
      <c r="G221" s="105">
        <v>1399</v>
      </c>
      <c r="H221" s="184" t="s">
        <v>2027</v>
      </c>
      <c r="I221" s="254" t="s">
        <v>1316</v>
      </c>
      <c r="J221" s="184" t="s">
        <v>51</v>
      </c>
      <c r="K221" s="184" t="s">
        <v>734</v>
      </c>
      <c r="L221" s="184" t="s">
        <v>2027</v>
      </c>
      <c r="M221" s="184" t="s">
        <v>26</v>
      </c>
      <c r="N221" s="256" t="s">
        <v>1010</v>
      </c>
      <c r="O221" s="184" t="s">
        <v>2027</v>
      </c>
      <c r="P221" s="184" t="s">
        <v>595</v>
      </c>
      <c r="Q221" s="255" t="s">
        <v>125</v>
      </c>
      <c r="R221" s="207" t="s">
        <v>35</v>
      </c>
      <c r="S221" s="203">
        <v>3.5000000000000003E-2</v>
      </c>
      <c r="T221" s="199" t="s">
        <v>32</v>
      </c>
      <c r="U221" s="199">
        <v>2008</v>
      </c>
      <c r="V221" s="256" t="s">
        <v>1204</v>
      </c>
      <c r="W221" s="188" t="s">
        <v>34</v>
      </c>
      <c r="X221" s="220" t="s">
        <v>119</v>
      </c>
      <c r="Y221" s="270" t="s">
        <v>1954</v>
      </c>
    </row>
    <row r="222" spans="1:25" s="29" customFormat="1" ht="151.80000000000001" x14ac:dyDescent="0.3">
      <c r="A222" s="250" t="s">
        <v>1487</v>
      </c>
      <c r="B222" s="251" t="s">
        <v>917</v>
      </c>
      <c r="C222" s="251" t="s">
        <v>61</v>
      </c>
      <c r="D222" s="184" t="s">
        <v>88</v>
      </c>
      <c r="E222" s="253" t="s">
        <v>464</v>
      </c>
      <c r="F222" s="184" t="s">
        <v>2027</v>
      </c>
      <c r="G222" s="105">
        <v>1564</v>
      </c>
      <c r="H222" s="184" t="s">
        <v>2027</v>
      </c>
      <c r="I222" s="254" t="s">
        <v>1317</v>
      </c>
      <c r="J222" s="184" t="s">
        <v>51</v>
      </c>
      <c r="K222" s="184" t="s">
        <v>734</v>
      </c>
      <c r="L222" s="184" t="s">
        <v>2027</v>
      </c>
      <c r="M222" s="184" t="s">
        <v>26</v>
      </c>
      <c r="N222" s="256" t="s">
        <v>1011</v>
      </c>
      <c r="O222" s="184" t="s">
        <v>2027</v>
      </c>
      <c r="P222" s="184" t="s">
        <v>595</v>
      </c>
      <c r="Q222" s="255" t="s">
        <v>125</v>
      </c>
      <c r="R222" s="207" t="s">
        <v>35</v>
      </c>
      <c r="S222" s="203">
        <v>3.5000000000000003E-2</v>
      </c>
      <c r="T222" s="199" t="s">
        <v>32</v>
      </c>
      <c r="U222" s="199">
        <v>2008</v>
      </c>
      <c r="V222" s="256" t="s">
        <v>1204</v>
      </c>
      <c r="W222" s="188" t="s">
        <v>34</v>
      </c>
      <c r="X222" s="220" t="s">
        <v>119</v>
      </c>
      <c r="Y222" s="270" t="s">
        <v>1954</v>
      </c>
    </row>
    <row r="223" spans="1:25" s="29" customFormat="1" ht="151.80000000000001" x14ac:dyDescent="0.3">
      <c r="A223" s="250" t="s">
        <v>1488</v>
      </c>
      <c r="B223" s="251" t="s">
        <v>917</v>
      </c>
      <c r="C223" s="251" t="s">
        <v>61</v>
      </c>
      <c r="D223" s="184" t="s">
        <v>89</v>
      </c>
      <c r="E223" s="253" t="s">
        <v>464</v>
      </c>
      <c r="F223" s="184" t="s">
        <v>2027</v>
      </c>
      <c r="G223" s="105">
        <v>1593</v>
      </c>
      <c r="H223" s="184" t="s">
        <v>2027</v>
      </c>
      <c r="I223" s="254" t="s">
        <v>1318</v>
      </c>
      <c r="J223" s="184" t="s">
        <v>51</v>
      </c>
      <c r="K223" s="184" t="s">
        <v>734</v>
      </c>
      <c r="L223" s="184" t="s">
        <v>2027</v>
      </c>
      <c r="M223" s="184" t="s">
        <v>81</v>
      </c>
      <c r="N223" s="256" t="s">
        <v>1012</v>
      </c>
      <c r="O223" s="184" t="s">
        <v>2027</v>
      </c>
      <c r="P223" s="184" t="s">
        <v>595</v>
      </c>
      <c r="Q223" s="255" t="s">
        <v>125</v>
      </c>
      <c r="R223" s="207" t="s">
        <v>35</v>
      </c>
      <c r="S223" s="203">
        <v>3.5000000000000003E-2</v>
      </c>
      <c r="T223" s="199" t="s">
        <v>32</v>
      </c>
      <c r="U223" s="199">
        <v>2008</v>
      </c>
      <c r="V223" s="256" t="s">
        <v>1204</v>
      </c>
      <c r="W223" s="188" t="s">
        <v>34</v>
      </c>
      <c r="X223" s="220" t="s">
        <v>119</v>
      </c>
      <c r="Y223" s="270" t="s">
        <v>1954</v>
      </c>
    </row>
    <row r="224" spans="1:25" s="29" customFormat="1" ht="110.4" x14ac:dyDescent="0.3">
      <c r="A224" s="250" t="s">
        <v>1489</v>
      </c>
      <c r="B224" s="251" t="s">
        <v>917</v>
      </c>
      <c r="C224" s="251" t="s">
        <v>61</v>
      </c>
      <c r="D224" s="184" t="s">
        <v>561</v>
      </c>
      <c r="E224" s="253" t="s">
        <v>464</v>
      </c>
      <c r="F224" s="184" t="s">
        <v>2027</v>
      </c>
      <c r="G224" s="105">
        <v>4005</v>
      </c>
      <c r="H224" s="184" t="s">
        <v>2027</v>
      </c>
      <c r="I224" s="184" t="s">
        <v>1252</v>
      </c>
      <c r="J224" s="184" t="s">
        <v>51</v>
      </c>
      <c r="K224" s="184" t="s">
        <v>734</v>
      </c>
      <c r="L224" s="184" t="s">
        <v>576</v>
      </c>
      <c r="M224" s="184" t="s">
        <v>106</v>
      </c>
      <c r="N224" s="201" t="s">
        <v>577</v>
      </c>
      <c r="O224" s="199" t="s">
        <v>133</v>
      </c>
      <c r="P224" s="184" t="s">
        <v>595</v>
      </c>
      <c r="Q224" s="255" t="s">
        <v>837</v>
      </c>
      <c r="R224" s="207" t="s">
        <v>35</v>
      </c>
      <c r="S224" s="203">
        <v>3.5000000000000003E-2</v>
      </c>
      <c r="T224" s="199" t="s">
        <v>32</v>
      </c>
      <c r="U224" s="199">
        <v>2009</v>
      </c>
      <c r="V224" s="256" t="s">
        <v>1175</v>
      </c>
      <c r="W224" s="188" t="s">
        <v>34</v>
      </c>
      <c r="X224" s="220" t="s">
        <v>1412</v>
      </c>
      <c r="Y224" s="270" t="s">
        <v>1954</v>
      </c>
    </row>
    <row r="225" spans="1:25" s="29" customFormat="1" ht="110.4" x14ac:dyDescent="0.3">
      <c r="A225" s="250" t="s">
        <v>1490</v>
      </c>
      <c r="B225" s="251" t="s">
        <v>917</v>
      </c>
      <c r="C225" s="251" t="s">
        <v>61</v>
      </c>
      <c r="D225" s="184" t="s">
        <v>561</v>
      </c>
      <c r="E225" s="253" t="s">
        <v>464</v>
      </c>
      <c r="F225" s="184" t="s">
        <v>2027</v>
      </c>
      <c r="G225" s="105">
        <v>3033</v>
      </c>
      <c r="H225" s="184" t="s">
        <v>2027</v>
      </c>
      <c r="I225" s="184" t="s">
        <v>1251</v>
      </c>
      <c r="J225" s="184" t="s">
        <v>51</v>
      </c>
      <c r="K225" s="184" t="s">
        <v>734</v>
      </c>
      <c r="L225" s="184" t="s">
        <v>576</v>
      </c>
      <c r="M225" s="184" t="s">
        <v>106</v>
      </c>
      <c r="N225" s="201" t="s">
        <v>578</v>
      </c>
      <c r="O225" s="199" t="s">
        <v>133</v>
      </c>
      <c r="P225" s="184" t="s">
        <v>595</v>
      </c>
      <c r="Q225" s="255" t="s">
        <v>837</v>
      </c>
      <c r="R225" s="207" t="s">
        <v>35</v>
      </c>
      <c r="S225" s="203">
        <v>3.5000000000000003E-2</v>
      </c>
      <c r="T225" s="199" t="s">
        <v>32</v>
      </c>
      <c r="U225" s="199">
        <v>2009</v>
      </c>
      <c r="V225" s="256" t="s">
        <v>1175</v>
      </c>
      <c r="W225" s="188" t="s">
        <v>34</v>
      </c>
      <c r="X225" s="220" t="s">
        <v>1412</v>
      </c>
      <c r="Y225" s="270" t="s">
        <v>1954</v>
      </c>
    </row>
    <row r="226" spans="1:25" s="29" customFormat="1" ht="110.4" x14ac:dyDescent="0.3">
      <c r="A226" s="250" t="s">
        <v>1491</v>
      </c>
      <c r="B226" s="251" t="s">
        <v>917</v>
      </c>
      <c r="C226" s="251" t="s">
        <v>61</v>
      </c>
      <c r="D226" s="184" t="s">
        <v>561</v>
      </c>
      <c r="E226" s="253" t="s">
        <v>464</v>
      </c>
      <c r="F226" s="184" t="s">
        <v>2027</v>
      </c>
      <c r="G226" s="105">
        <v>1992</v>
      </c>
      <c r="H226" s="184" t="s">
        <v>2027</v>
      </c>
      <c r="I226" s="184" t="s">
        <v>1255</v>
      </c>
      <c r="J226" s="184" t="s">
        <v>51</v>
      </c>
      <c r="K226" s="184" t="s">
        <v>734</v>
      </c>
      <c r="L226" s="184" t="s">
        <v>576</v>
      </c>
      <c r="M226" s="184" t="s">
        <v>106</v>
      </c>
      <c r="N226" s="201" t="s">
        <v>579</v>
      </c>
      <c r="O226" s="199" t="s">
        <v>133</v>
      </c>
      <c r="P226" s="184" t="s">
        <v>595</v>
      </c>
      <c r="Q226" s="255" t="s">
        <v>837</v>
      </c>
      <c r="R226" s="207" t="s">
        <v>35</v>
      </c>
      <c r="S226" s="203">
        <v>3.5000000000000003E-2</v>
      </c>
      <c r="T226" s="199" t="s">
        <v>32</v>
      </c>
      <c r="U226" s="199">
        <v>2009</v>
      </c>
      <c r="V226" s="256" t="s">
        <v>1175</v>
      </c>
      <c r="W226" s="188" t="s">
        <v>34</v>
      </c>
      <c r="X226" s="220" t="s">
        <v>1412</v>
      </c>
      <c r="Y226" s="270" t="s">
        <v>1954</v>
      </c>
    </row>
    <row r="227" spans="1:25" s="29" customFormat="1" ht="110.4" x14ac:dyDescent="0.3">
      <c r="A227" s="250" t="s">
        <v>1492</v>
      </c>
      <c r="B227" s="251" t="s">
        <v>917</v>
      </c>
      <c r="C227" s="251" t="s">
        <v>61</v>
      </c>
      <c r="D227" s="184" t="s">
        <v>561</v>
      </c>
      <c r="E227" s="253" t="s">
        <v>464</v>
      </c>
      <c r="F227" s="184" t="s">
        <v>2027</v>
      </c>
      <c r="G227" s="186" t="s">
        <v>2027</v>
      </c>
      <c r="H227" s="200" t="s">
        <v>249</v>
      </c>
      <c r="I227" s="184" t="s">
        <v>1253</v>
      </c>
      <c r="J227" s="184" t="s">
        <v>51</v>
      </c>
      <c r="K227" s="184" t="s">
        <v>734</v>
      </c>
      <c r="L227" s="184" t="s">
        <v>576</v>
      </c>
      <c r="M227" s="184" t="s">
        <v>106</v>
      </c>
      <c r="N227" s="201" t="s">
        <v>580</v>
      </c>
      <c r="O227" s="199" t="s">
        <v>133</v>
      </c>
      <c r="P227" s="184" t="s">
        <v>595</v>
      </c>
      <c r="Q227" s="255" t="s">
        <v>837</v>
      </c>
      <c r="R227" s="207" t="s">
        <v>35</v>
      </c>
      <c r="S227" s="203">
        <v>3.5000000000000003E-2</v>
      </c>
      <c r="T227" s="199" t="s">
        <v>32</v>
      </c>
      <c r="U227" s="199">
        <v>2009</v>
      </c>
      <c r="V227" s="256" t="s">
        <v>1175</v>
      </c>
      <c r="W227" s="188" t="s">
        <v>34</v>
      </c>
      <c r="X227" s="220" t="s">
        <v>1412</v>
      </c>
      <c r="Y227" s="270" t="s">
        <v>1954</v>
      </c>
    </row>
    <row r="228" spans="1:25" s="29" customFormat="1" ht="110.4" x14ac:dyDescent="0.3">
      <c r="A228" s="250" t="s">
        <v>1493</v>
      </c>
      <c r="B228" s="251" t="s">
        <v>917</v>
      </c>
      <c r="C228" s="251" t="s">
        <v>61</v>
      </c>
      <c r="D228" s="184" t="s">
        <v>561</v>
      </c>
      <c r="E228" s="253" t="s">
        <v>464</v>
      </c>
      <c r="F228" s="184" t="s">
        <v>2027</v>
      </c>
      <c r="G228" s="105">
        <v>2253</v>
      </c>
      <c r="H228" s="184" t="s">
        <v>2027</v>
      </c>
      <c r="I228" s="184" t="s">
        <v>1254</v>
      </c>
      <c r="J228" s="184" t="s">
        <v>51</v>
      </c>
      <c r="K228" s="184" t="s">
        <v>734</v>
      </c>
      <c r="L228" s="184" t="s">
        <v>576</v>
      </c>
      <c r="M228" s="184" t="s">
        <v>106</v>
      </c>
      <c r="N228" s="201" t="s">
        <v>581</v>
      </c>
      <c r="O228" s="199" t="s">
        <v>133</v>
      </c>
      <c r="P228" s="184" t="s">
        <v>595</v>
      </c>
      <c r="Q228" s="255" t="s">
        <v>837</v>
      </c>
      <c r="R228" s="207" t="s">
        <v>35</v>
      </c>
      <c r="S228" s="203">
        <v>3.5000000000000003E-2</v>
      </c>
      <c r="T228" s="199" t="s">
        <v>32</v>
      </c>
      <c r="U228" s="199">
        <v>2009</v>
      </c>
      <c r="V228" s="256" t="s">
        <v>1175</v>
      </c>
      <c r="W228" s="188" t="s">
        <v>34</v>
      </c>
      <c r="X228" s="220" t="s">
        <v>1412</v>
      </c>
      <c r="Y228" s="270" t="s">
        <v>1954</v>
      </c>
    </row>
    <row r="229" spans="1:25" s="29" customFormat="1" ht="110.4" x14ac:dyDescent="0.3">
      <c r="A229" s="250" t="s">
        <v>1494</v>
      </c>
      <c r="B229" s="251" t="s">
        <v>917</v>
      </c>
      <c r="C229" s="251" t="s">
        <v>61</v>
      </c>
      <c r="D229" s="184" t="s">
        <v>561</v>
      </c>
      <c r="E229" s="253" t="s">
        <v>464</v>
      </c>
      <c r="F229" s="184" t="s">
        <v>2027</v>
      </c>
      <c r="G229" s="186" t="s">
        <v>2027</v>
      </c>
      <c r="H229" s="200" t="s">
        <v>249</v>
      </c>
      <c r="I229" s="233" t="s">
        <v>898</v>
      </c>
      <c r="J229" s="184" t="s">
        <v>51</v>
      </c>
      <c r="K229" s="184" t="s">
        <v>734</v>
      </c>
      <c r="L229" s="184" t="s">
        <v>576</v>
      </c>
      <c r="M229" s="184" t="s">
        <v>106</v>
      </c>
      <c r="N229" s="201" t="s">
        <v>582</v>
      </c>
      <c r="O229" s="199" t="s">
        <v>133</v>
      </c>
      <c r="P229" s="184" t="s">
        <v>595</v>
      </c>
      <c r="Q229" s="255" t="s">
        <v>837</v>
      </c>
      <c r="R229" s="207" t="s">
        <v>35</v>
      </c>
      <c r="S229" s="203">
        <v>3.5000000000000003E-2</v>
      </c>
      <c r="T229" s="199" t="s">
        <v>32</v>
      </c>
      <c r="U229" s="199">
        <v>2009</v>
      </c>
      <c r="V229" s="256" t="s">
        <v>1175</v>
      </c>
      <c r="W229" s="188" t="s">
        <v>34</v>
      </c>
      <c r="X229" s="220" t="s">
        <v>1412</v>
      </c>
      <c r="Y229" s="270" t="s">
        <v>1954</v>
      </c>
    </row>
    <row r="230" spans="1:25" s="29" customFormat="1" ht="248.4" x14ac:dyDescent="0.3">
      <c r="A230" s="250" t="s">
        <v>1495</v>
      </c>
      <c r="B230" s="251" t="s">
        <v>917</v>
      </c>
      <c r="C230" s="251" t="s">
        <v>61</v>
      </c>
      <c r="D230" s="184" t="s">
        <v>561</v>
      </c>
      <c r="E230" s="253" t="s">
        <v>464</v>
      </c>
      <c r="F230" s="184" t="s">
        <v>2027</v>
      </c>
      <c r="G230" s="230">
        <v>3630</v>
      </c>
      <c r="H230" s="200" t="s">
        <v>249</v>
      </c>
      <c r="I230" s="233" t="s">
        <v>1595</v>
      </c>
      <c r="J230" s="184" t="s">
        <v>51</v>
      </c>
      <c r="K230" s="184" t="s">
        <v>734</v>
      </c>
      <c r="L230" s="184" t="s">
        <v>1593</v>
      </c>
      <c r="M230" s="184" t="s">
        <v>1591</v>
      </c>
      <c r="N230" s="201" t="s">
        <v>1594</v>
      </c>
      <c r="O230" s="199" t="s">
        <v>1590</v>
      </c>
      <c r="P230" s="184" t="s">
        <v>595</v>
      </c>
      <c r="Q230" s="255" t="s">
        <v>1592</v>
      </c>
      <c r="R230" s="207" t="s">
        <v>35</v>
      </c>
      <c r="S230" s="203">
        <v>3.5000000000000003E-2</v>
      </c>
      <c r="T230" s="199" t="s">
        <v>774</v>
      </c>
      <c r="U230" s="199">
        <v>2013</v>
      </c>
      <c r="V230" s="256" t="s">
        <v>1839</v>
      </c>
      <c r="W230" s="188" t="s">
        <v>34</v>
      </c>
      <c r="X230" s="220" t="s">
        <v>1589</v>
      </c>
      <c r="Y230" s="270" t="s">
        <v>1954</v>
      </c>
    </row>
    <row r="231" spans="1:25" s="29" customFormat="1" ht="248.4" x14ac:dyDescent="0.3">
      <c r="A231" s="250" t="s">
        <v>1496</v>
      </c>
      <c r="B231" s="251" t="s">
        <v>917</v>
      </c>
      <c r="C231" s="251" t="s">
        <v>61</v>
      </c>
      <c r="D231" s="184" t="s">
        <v>561</v>
      </c>
      <c r="E231" s="253" t="s">
        <v>464</v>
      </c>
      <c r="F231" s="184" t="s">
        <v>2027</v>
      </c>
      <c r="G231" s="186" t="s">
        <v>2027</v>
      </c>
      <c r="H231" s="200" t="s">
        <v>249</v>
      </c>
      <c r="I231" s="233" t="s">
        <v>1597</v>
      </c>
      <c r="J231" s="184" t="s">
        <v>51</v>
      </c>
      <c r="K231" s="184" t="s">
        <v>734</v>
      </c>
      <c r="L231" s="184" t="s">
        <v>1593</v>
      </c>
      <c r="M231" s="184" t="s">
        <v>1591</v>
      </c>
      <c r="N231" s="201" t="s">
        <v>1596</v>
      </c>
      <c r="O231" s="199" t="s">
        <v>1590</v>
      </c>
      <c r="P231" s="184" t="s">
        <v>595</v>
      </c>
      <c r="Q231" s="255" t="s">
        <v>1592</v>
      </c>
      <c r="R231" s="207" t="s">
        <v>35</v>
      </c>
      <c r="S231" s="203">
        <v>3.5000000000000003E-2</v>
      </c>
      <c r="T231" s="199" t="s">
        <v>774</v>
      </c>
      <c r="U231" s="199">
        <v>2013</v>
      </c>
      <c r="V231" s="256" t="s">
        <v>1839</v>
      </c>
      <c r="W231" s="188" t="s">
        <v>34</v>
      </c>
      <c r="X231" s="220" t="s">
        <v>1589</v>
      </c>
      <c r="Y231" s="270" t="s">
        <v>1954</v>
      </c>
    </row>
    <row r="232" spans="1:25" s="29" customFormat="1" ht="248.4" x14ac:dyDescent="0.3">
      <c r="A232" s="250" t="s">
        <v>1574</v>
      </c>
      <c r="B232" s="251" t="s">
        <v>917</v>
      </c>
      <c r="C232" s="251" t="s">
        <v>61</v>
      </c>
      <c r="D232" s="184" t="s">
        <v>561</v>
      </c>
      <c r="E232" s="253" t="s">
        <v>464</v>
      </c>
      <c r="F232" s="184" t="s">
        <v>2027</v>
      </c>
      <c r="G232" s="234" t="s">
        <v>1598</v>
      </c>
      <c r="H232" s="200" t="s">
        <v>249</v>
      </c>
      <c r="I232" s="233" t="s">
        <v>1599</v>
      </c>
      <c r="J232" s="184" t="s">
        <v>51</v>
      </c>
      <c r="K232" s="184" t="s">
        <v>734</v>
      </c>
      <c r="L232" s="184" t="s">
        <v>1593</v>
      </c>
      <c r="M232" s="184" t="s">
        <v>299</v>
      </c>
      <c r="N232" s="201" t="s">
        <v>1601</v>
      </c>
      <c r="O232" s="199" t="s">
        <v>1590</v>
      </c>
      <c r="P232" s="184" t="s">
        <v>595</v>
      </c>
      <c r="Q232" s="255" t="s">
        <v>1592</v>
      </c>
      <c r="R232" s="207" t="s">
        <v>35</v>
      </c>
      <c r="S232" s="203">
        <v>3.5000000000000003E-2</v>
      </c>
      <c r="T232" s="199" t="s">
        <v>774</v>
      </c>
      <c r="U232" s="199">
        <v>2013</v>
      </c>
      <c r="V232" s="256" t="s">
        <v>1839</v>
      </c>
      <c r="W232" s="188" t="s">
        <v>34</v>
      </c>
      <c r="X232" s="220" t="s">
        <v>1589</v>
      </c>
      <c r="Y232" s="270" t="s">
        <v>1954</v>
      </c>
    </row>
    <row r="233" spans="1:25" s="29" customFormat="1" ht="248.4" x14ac:dyDescent="0.3">
      <c r="A233" s="250" t="s">
        <v>1575</v>
      </c>
      <c r="B233" s="251" t="s">
        <v>917</v>
      </c>
      <c r="C233" s="251" t="s">
        <v>61</v>
      </c>
      <c r="D233" s="184" t="s">
        <v>561</v>
      </c>
      <c r="E233" s="253" t="s">
        <v>464</v>
      </c>
      <c r="F233" s="184" t="s">
        <v>2027</v>
      </c>
      <c r="G233" s="254" t="s">
        <v>1600</v>
      </c>
      <c r="H233" s="184" t="s">
        <v>2027</v>
      </c>
      <c r="I233" s="233" t="s">
        <v>1617</v>
      </c>
      <c r="J233" s="184" t="s">
        <v>51</v>
      </c>
      <c r="K233" s="184" t="s">
        <v>734</v>
      </c>
      <c r="L233" s="184" t="s">
        <v>1593</v>
      </c>
      <c r="M233" s="184" t="s">
        <v>299</v>
      </c>
      <c r="N233" s="201" t="s">
        <v>1602</v>
      </c>
      <c r="O233" s="199" t="s">
        <v>1590</v>
      </c>
      <c r="P233" s="184" t="s">
        <v>595</v>
      </c>
      <c r="Q233" s="255" t="s">
        <v>1592</v>
      </c>
      <c r="R233" s="207" t="s">
        <v>35</v>
      </c>
      <c r="S233" s="203">
        <v>3.5000000000000003E-2</v>
      </c>
      <c r="T233" s="199" t="s">
        <v>774</v>
      </c>
      <c r="U233" s="199">
        <v>2013</v>
      </c>
      <c r="V233" s="256" t="s">
        <v>1839</v>
      </c>
      <c r="W233" s="188" t="s">
        <v>34</v>
      </c>
      <c r="X233" s="220" t="s">
        <v>1589</v>
      </c>
      <c r="Y233" s="270" t="s">
        <v>1954</v>
      </c>
    </row>
    <row r="234" spans="1:25" s="29" customFormat="1" ht="248.4" x14ac:dyDescent="0.3">
      <c r="A234" s="250" t="s">
        <v>1576</v>
      </c>
      <c r="B234" s="251" t="s">
        <v>917</v>
      </c>
      <c r="C234" s="251" t="s">
        <v>61</v>
      </c>
      <c r="D234" s="184" t="s">
        <v>561</v>
      </c>
      <c r="E234" s="253" t="s">
        <v>464</v>
      </c>
      <c r="F234" s="184" t="s">
        <v>2027</v>
      </c>
      <c r="G234" s="254" t="s">
        <v>1605</v>
      </c>
      <c r="H234" s="184" t="s">
        <v>2027</v>
      </c>
      <c r="I234" s="233" t="s">
        <v>1616</v>
      </c>
      <c r="J234" s="184" t="s">
        <v>51</v>
      </c>
      <c r="K234" s="184" t="s">
        <v>734</v>
      </c>
      <c r="L234" s="184" t="s">
        <v>1593</v>
      </c>
      <c r="M234" s="184" t="s">
        <v>1603</v>
      </c>
      <c r="N234" s="201" t="s">
        <v>1604</v>
      </c>
      <c r="O234" s="199" t="s">
        <v>1590</v>
      </c>
      <c r="P234" s="184" t="s">
        <v>595</v>
      </c>
      <c r="Q234" s="255" t="s">
        <v>1592</v>
      </c>
      <c r="R234" s="207" t="s">
        <v>35</v>
      </c>
      <c r="S234" s="203">
        <v>3.5000000000000003E-2</v>
      </c>
      <c r="T234" s="199" t="s">
        <v>774</v>
      </c>
      <c r="U234" s="199">
        <v>2013</v>
      </c>
      <c r="V234" s="256" t="s">
        <v>1839</v>
      </c>
      <c r="W234" s="188" t="s">
        <v>34</v>
      </c>
      <c r="X234" s="220" t="s">
        <v>1589</v>
      </c>
      <c r="Y234" s="270" t="s">
        <v>1954</v>
      </c>
    </row>
    <row r="235" spans="1:25" s="29" customFormat="1" ht="248.4" x14ac:dyDescent="0.3">
      <c r="A235" s="250" t="s">
        <v>1497</v>
      </c>
      <c r="B235" s="251" t="s">
        <v>917</v>
      </c>
      <c r="C235" s="251" t="s">
        <v>61</v>
      </c>
      <c r="D235" s="184" t="s">
        <v>561</v>
      </c>
      <c r="E235" s="253" t="s">
        <v>464</v>
      </c>
      <c r="F235" s="184" t="s">
        <v>2027</v>
      </c>
      <c r="G235" s="254" t="s">
        <v>1607</v>
      </c>
      <c r="H235" s="184" t="s">
        <v>2027</v>
      </c>
      <c r="I235" s="233" t="s">
        <v>1615</v>
      </c>
      <c r="J235" s="184" t="s">
        <v>51</v>
      </c>
      <c r="K235" s="184" t="s">
        <v>734</v>
      </c>
      <c r="L235" s="184" t="s">
        <v>1593</v>
      </c>
      <c r="M235" s="184" t="s">
        <v>1603</v>
      </c>
      <c r="N235" s="201" t="s">
        <v>1606</v>
      </c>
      <c r="O235" s="199" t="s">
        <v>1590</v>
      </c>
      <c r="P235" s="184" t="s">
        <v>595</v>
      </c>
      <c r="Q235" s="255" t="s">
        <v>1592</v>
      </c>
      <c r="R235" s="207" t="s">
        <v>35</v>
      </c>
      <c r="S235" s="203">
        <v>3.5000000000000003E-2</v>
      </c>
      <c r="T235" s="199" t="s">
        <v>774</v>
      </c>
      <c r="U235" s="199">
        <v>2013</v>
      </c>
      <c r="V235" s="256" t="s">
        <v>1839</v>
      </c>
      <c r="W235" s="188" t="s">
        <v>34</v>
      </c>
      <c r="X235" s="220" t="s">
        <v>1589</v>
      </c>
      <c r="Y235" s="270" t="s">
        <v>1954</v>
      </c>
    </row>
    <row r="236" spans="1:25" s="29" customFormat="1" ht="248.4" x14ac:dyDescent="0.3">
      <c r="A236" s="250" t="s">
        <v>1498</v>
      </c>
      <c r="B236" s="251" t="s">
        <v>917</v>
      </c>
      <c r="C236" s="251" t="s">
        <v>61</v>
      </c>
      <c r="D236" s="184" t="s">
        <v>561</v>
      </c>
      <c r="E236" s="253" t="s">
        <v>464</v>
      </c>
      <c r="F236" s="184" t="s">
        <v>2027</v>
      </c>
      <c r="G236" s="254" t="s">
        <v>1609</v>
      </c>
      <c r="H236" s="184" t="s">
        <v>2027</v>
      </c>
      <c r="I236" s="233" t="s">
        <v>1614</v>
      </c>
      <c r="J236" s="184" t="s">
        <v>51</v>
      </c>
      <c r="K236" s="184" t="s">
        <v>734</v>
      </c>
      <c r="L236" s="184" t="s">
        <v>1593</v>
      </c>
      <c r="M236" s="184" t="s">
        <v>1603</v>
      </c>
      <c r="N236" s="201" t="s">
        <v>1608</v>
      </c>
      <c r="O236" s="199" t="s">
        <v>1590</v>
      </c>
      <c r="P236" s="184" t="s">
        <v>595</v>
      </c>
      <c r="Q236" s="255" t="s">
        <v>1592</v>
      </c>
      <c r="R236" s="207" t="s">
        <v>35</v>
      </c>
      <c r="S236" s="203">
        <v>3.5000000000000003E-2</v>
      </c>
      <c r="T236" s="199" t="s">
        <v>774</v>
      </c>
      <c r="U236" s="199">
        <v>2013</v>
      </c>
      <c r="V236" s="256" t="s">
        <v>1839</v>
      </c>
      <c r="W236" s="188" t="s">
        <v>34</v>
      </c>
      <c r="X236" s="220" t="s">
        <v>1589</v>
      </c>
      <c r="Y236" s="270" t="s">
        <v>1954</v>
      </c>
    </row>
    <row r="237" spans="1:25" s="29" customFormat="1" ht="193.2" x14ac:dyDescent="0.3">
      <c r="A237" s="250" t="s">
        <v>1577</v>
      </c>
      <c r="B237" s="251" t="s">
        <v>917</v>
      </c>
      <c r="C237" s="251" t="s">
        <v>61</v>
      </c>
      <c r="D237" s="184" t="s">
        <v>1610</v>
      </c>
      <c r="E237" s="253" t="s">
        <v>464</v>
      </c>
      <c r="F237" s="184" t="s">
        <v>2027</v>
      </c>
      <c r="G237" s="234">
        <v>11032</v>
      </c>
      <c r="H237" s="200" t="s">
        <v>249</v>
      </c>
      <c r="I237" s="233" t="s">
        <v>1619</v>
      </c>
      <c r="J237" s="184" t="s">
        <v>51</v>
      </c>
      <c r="K237" s="184" t="s">
        <v>734</v>
      </c>
      <c r="L237" s="184" t="s">
        <v>1593</v>
      </c>
      <c r="M237" s="184" t="s">
        <v>299</v>
      </c>
      <c r="N237" s="201" t="s">
        <v>1611</v>
      </c>
      <c r="O237" s="199" t="s">
        <v>1590</v>
      </c>
      <c r="P237" s="184" t="s">
        <v>595</v>
      </c>
      <c r="Q237" s="255" t="s">
        <v>1592</v>
      </c>
      <c r="R237" s="207" t="s">
        <v>35</v>
      </c>
      <c r="S237" s="203">
        <v>3.5000000000000003E-2</v>
      </c>
      <c r="T237" s="199" t="s">
        <v>774</v>
      </c>
      <c r="U237" s="199">
        <v>2013</v>
      </c>
      <c r="V237" s="256" t="s">
        <v>1839</v>
      </c>
      <c r="W237" s="188" t="s">
        <v>34</v>
      </c>
      <c r="X237" s="220" t="s">
        <v>1589</v>
      </c>
      <c r="Y237" s="270" t="s">
        <v>1954</v>
      </c>
    </row>
    <row r="238" spans="1:25" s="29" customFormat="1" ht="193.2" x14ac:dyDescent="0.3">
      <c r="A238" s="250" t="s">
        <v>1578</v>
      </c>
      <c r="B238" s="251" t="s">
        <v>917</v>
      </c>
      <c r="C238" s="251" t="s">
        <v>61</v>
      </c>
      <c r="D238" s="184" t="s">
        <v>1610</v>
      </c>
      <c r="E238" s="253" t="s">
        <v>464</v>
      </c>
      <c r="F238" s="184" t="s">
        <v>2027</v>
      </c>
      <c r="G238" s="234" t="s">
        <v>1613</v>
      </c>
      <c r="H238" s="184" t="s">
        <v>2027</v>
      </c>
      <c r="I238" s="233" t="s">
        <v>1618</v>
      </c>
      <c r="J238" s="184" t="s">
        <v>51</v>
      </c>
      <c r="K238" s="184" t="s">
        <v>734</v>
      </c>
      <c r="L238" s="184" t="s">
        <v>1593</v>
      </c>
      <c r="M238" s="184" t="s">
        <v>299</v>
      </c>
      <c r="N238" s="201" t="s">
        <v>1612</v>
      </c>
      <c r="O238" s="199" t="s">
        <v>1590</v>
      </c>
      <c r="P238" s="184" t="s">
        <v>595</v>
      </c>
      <c r="Q238" s="255" t="s">
        <v>1592</v>
      </c>
      <c r="R238" s="207" t="s">
        <v>35</v>
      </c>
      <c r="S238" s="203">
        <v>3.5000000000000003E-2</v>
      </c>
      <c r="T238" s="199" t="s">
        <v>774</v>
      </c>
      <c r="U238" s="199">
        <v>2013</v>
      </c>
      <c r="V238" s="256" t="s">
        <v>1839</v>
      </c>
      <c r="W238" s="188" t="s">
        <v>34</v>
      </c>
      <c r="X238" s="220" t="s">
        <v>1589</v>
      </c>
      <c r="Y238" s="270" t="s">
        <v>1954</v>
      </c>
    </row>
    <row r="239" spans="1:25" s="29" customFormat="1" ht="248.4" x14ac:dyDescent="0.3">
      <c r="A239" s="250" t="s">
        <v>1579</v>
      </c>
      <c r="B239" s="251" t="s">
        <v>917</v>
      </c>
      <c r="C239" s="251" t="s">
        <v>61</v>
      </c>
      <c r="D239" s="184" t="s">
        <v>1610</v>
      </c>
      <c r="E239" s="253" t="s">
        <v>464</v>
      </c>
      <c r="F239" s="184" t="s">
        <v>2027</v>
      </c>
      <c r="G239" s="234" t="s">
        <v>904</v>
      </c>
      <c r="H239" s="184" t="s">
        <v>2027</v>
      </c>
      <c r="I239" s="233" t="s">
        <v>1840</v>
      </c>
      <c r="J239" s="184" t="s">
        <v>51</v>
      </c>
      <c r="K239" s="184" t="s">
        <v>734</v>
      </c>
      <c r="L239" s="184" t="s">
        <v>1593</v>
      </c>
      <c r="M239" s="184" t="s">
        <v>340</v>
      </c>
      <c r="N239" s="201" t="s">
        <v>1620</v>
      </c>
      <c r="O239" s="199" t="s">
        <v>1590</v>
      </c>
      <c r="P239" s="184" t="s">
        <v>595</v>
      </c>
      <c r="Q239" s="255" t="s">
        <v>1592</v>
      </c>
      <c r="R239" s="207" t="s">
        <v>35</v>
      </c>
      <c r="S239" s="203">
        <v>3.5000000000000003E-2</v>
      </c>
      <c r="T239" s="199" t="s">
        <v>774</v>
      </c>
      <c r="U239" s="199">
        <v>2013</v>
      </c>
      <c r="V239" s="256" t="s">
        <v>1839</v>
      </c>
      <c r="W239" s="188" t="s">
        <v>34</v>
      </c>
      <c r="X239" s="220" t="s">
        <v>1589</v>
      </c>
      <c r="Y239" s="270" t="s">
        <v>1954</v>
      </c>
    </row>
    <row r="240" spans="1:25" s="29" customFormat="1" ht="193.2" x14ac:dyDescent="0.3">
      <c r="A240" s="250" t="s">
        <v>1783</v>
      </c>
      <c r="B240" s="251" t="s">
        <v>917</v>
      </c>
      <c r="C240" s="251" t="s">
        <v>61</v>
      </c>
      <c r="D240" s="184" t="s">
        <v>1621</v>
      </c>
      <c r="E240" s="253" t="s">
        <v>464</v>
      </c>
      <c r="F240" s="184" t="s">
        <v>2027</v>
      </c>
      <c r="G240" s="186" t="s">
        <v>2027</v>
      </c>
      <c r="H240" s="200" t="s">
        <v>249</v>
      </c>
      <c r="I240" s="233" t="s">
        <v>1623</v>
      </c>
      <c r="J240" s="184" t="s">
        <v>51</v>
      </c>
      <c r="K240" s="184" t="s">
        <v>734</v>
      </c>
      <c r="L240" s="184" t="s">
        <v>1593</v>
      </c>
      <c r="M240" s="184" t="s">
        <v>1591</v>
      </c>
      <c r="N240" s="201" t="s">
        <v>1622</v>
      </c>
      <c r="O240" s="199" t="s">
        <v>1590</v>
      </c>
      <c r="P240" s="184" t="s">
        <v>595</v>
      </c>
      <c r="Q240" s="255" t="s">
        <v>1592</v>
      </c>
      <c r="R240" s="207" t="s">
        <v>35</v>
      </c>
      <c r="S240" s="203">
        <v>3.5000000000000003E-2</v>
      </c>
      <c r="T240" s="199" t="s">
        <v>774</v>
      </c>
      <c r="U240" s="199">
        <v>2013</v>
      </c>
      <c r="V240" s="256" t="s">
        <v>1839</v>
      </c>
      <c r="W240" s="188" t="s">
        <v>34</v>
      </c>
      <c r="X240" s="220" t="s">
        <v>1589</v>
      </c>
      <c r="Y240" s="270" t="s">
        <v>1954</v>
      </c>
    </row>
    <row r="241" spans="1:25" s="29" customFormat="1" ht="193.2" x14ac:dyDescent="0.3">
      <c r="A241" s="250" t="s">
        <v>1784</v>
      </c>
      <c r="B241" s="251" t="s">
        <v>917</v>
      </c>
      <c r="C241" s="251" t="s">
        <v>61</v>
      </c>
      <c r="D241" s="184" t="s">
        <v>1621</v>
      </c>
      <c r="E241" s="253" t="s">
        <v>464</v>
      </c>
      <c r="F241" s="184" t="s">
        <v>2027</v>
      </c>
      <c r="G241" s="186" t="s">
        <v>2027</v>
      </c>
      <c r="H241" s="200" t="s">
        <v>249</v>
      </c>
      <c r="I241" s="233" t="s">
        <v>1623</v>
      </c>
      <c r="J241" s="184" t="s">
        <v>51</v>
      </c>
      <c r="K241" s="184" t="s">
        <v>734</v>
      </c>
      <c r="L241" s="184" t="s">
        <v>1593</v>
      </c>
      <c r="M241" s="184" t="s">
        <v>1591</v>
      </c>
      <c r="N241" s="201" t="s">
        <v>1624</v>
      </c>
      <c r="O241" s="199" t="s">
        <v>1590</v>
      </c>
      <c r="P241" s="184" t="s">
        <v>595</v>
      </c>
      <c r="Q241" s="255" t="s">
        <v>1592</v>
      </c>
      <c r="R241" s="207" t="s">
        <v>35</v>
      </c>
      <c r="S241" s="203">
        <v>3.5000000000000003E-2</v>
      </c>
      <c r="T241" s="199" t="s">
        <v>774</v>
      </c>
      <c r="U241" s="199">
        <v>2013</v>
      </c>
      <c r="V241" s="256" t="s">
        <v>1839</v>
      </c>
      <c r="W241" s="188" t="s">
        <v>34</v>
      </c>
      <c r="X241" s="220" t="s">
        <v>1589</v>
      </c>
      <c r="Y241" s="270" t="s">
        <v>1954</v>
      </c>
    </row>
    <row r="242" spans="1:25" s="29" customFormat="1" ht="193.2" x14ac:dyDescent="0.3">
      <c r="A242" s="250" t="s">
        <v>1785</v>
      </c>
      <c r="B242" s="251" t="s">
        <v>917</v>
      </c>
      <c r="C242" s="251" t="s">
        <v>61</v>
      </c>
      <c r="D242" s="184" t="s">
        <v>1621</v>
      </c>
      <c r="E242" s="253" t="s">
        <v>464</v>
      </c>
      <c r="F242" s="184" t="s">
        <v>2027</v>
      </c>
      <c r="G242" s="234">
        <v>8973</v>
      </c>
      <c r="H242" s="200" t="s">
        <v>249</v>
      </c>
      <c r="I242" s="233" t="s">
        <v>1626</v>
      </c>
      <c r="J242" s="184" t="s">
        <v>51</v>
      </c>
      <c r="K242" s="184" t="s">
        <v>734</v>
      </c>
      <c r="L242" s="184" t="s">
        <v>1593</v>
      </c>
      <c r="M242" s="184" t="s">
        <v>868</v>
      </c>
      <c r="N242" s="201" t="s">
        <v>1625</v>
      </c>
      <c r="O242" s="199" t="s">
        <v>1590</v>
      </c>
      <c r="P242" s="184" t="s">
        <v>595</v>
      </c>
      <c r="Q242" s="255" t="s">
        <v>1592</v>
      </c>
      <c r="R242" s="207" t="s">
        <v>35</v>
      </c>
      <c r="S242" s="203">
        <v>3.5000000000000003E-2</v>
      </c>
      <c r="T242" s="199" t="s">
        <v>774</v>
      </c>
      <c r="U242" s="199">
        <v>2013</v>
      </c>
      <c r="V242" s="256" t="s">
        <v>1839</v>
      </c>
      <c r="W242" s="188" t="s">
        <v>34</v>
      </c>
      <c r="X242" s="220" t="s">
        <v>1589</v>
      </c>
      <c r="Y242" s="270" t="s">
        <v>1954</v>
      </c>
    </row>
    <row r="243" spans="1:25" s="29" customFormat="1" ht="193.2" x14ac:dyDescent="0.3">
      <c r="A243" s="250" t="s">
        <v>1786</v>
      </c>
      <c r="B243" s="251" t="s">
        <v>917</v>
      </c>
      <c r="C243" s="251" t="s">
        <v>61</v>
      </c>
      <c r="D243" s="184" t="s">
        <v>1621</v>
      </c>
      <c r="E243" s="253" t="s">
        <v>464</v>
      </c>
      <c r="F243" s="184" t="s">
        <v>2027</v>
      </c>
      <c r="G243" s="234">
        <v>6592</v>
      </c>
      <c r="H243" s="200" t="s">
        <v>249</v>
      </c>
      <c r="I243" s="233" t="s">
        <v>1628</v>
      </c>
      <c r="J243" s="184" t="s">
        <v>51</v>
      </c>
      <c r="K243" s="184" t="s">
        <v>734</v>
      </c>
      <c r="L243" s="184" t="s">
        <v>1593</v>
      </c>
      <c r="M243" s="184" t="s">
        <v>299</v>
      </c>
      <c r="N243" s="201" t="s">
        <v>1627</v>
      </c>
      <c r="O243" s="199" t="s">
        <v>1590</v>
      </c>
      <c r="P243" s="184" t="s">
        <v>595</v>
      </c>
      <c r="Q243" s="255" t="s">
        <v>1592</v>
      </c>
      <c r="R243" s="207" t="s">
        <v>35</v>
      </c>
      <c r="S243" s="203">
        <v>3.5000000000000003E-2</v>
      </c>
      <c r="T243" s="199" t="s">
        <v>774</v>
      </c>
      <c r="U243" s="199">
        <v>2013</v>
      </c>
      <c r="V243" s="256" t="s">
        <v>1839</v>
      </c>
      <c r="W243" s="188" t="s">
        <v>34</v>
      </c>
      <c r="X243" s="220" t="s">
        <v>1589</v>
      </c>
      <c r="Y243" s="270" t="s">
        <v>1954</v>
      </c>
    </row>
    <row r="244" spans="1:25" s="29" customFormat="1" ht="193.2" x14ac:dyDescent="0.3">
      <c r="A244" s="250" t="s">
        <v>1850</v>
      </c>
      <c r="B244" s="251" t="s">
        <v>917</v>
      </c>
      <c r="C244" s="251" t="s">
        <v>61</v>
      </c>
      <c r="D244" s="184" t="s">
        <v>1621</v>
      </c>
      <c r="E244" s="253" t="s">
        <v>464</v>
      </c>
      <c r="F244" s="184" t="s">
        <v>2027</v>
      </c>
      <c r="G244" s="186" t="s">
        <v>2027</v>
      </c>
      <c r="H244" s="200" t="s">
        <v>249</v>
      </c>
      <c r="I244" s="233" t="s">
        <v>1629</v>
      </c>
      <c r="J244" s="184" t="s">
        <v>51</v>
      </c>
      <c r="K244" s="184" t="s">
        <v>734</v>
      </c>
      <c r="L244" s="184" t="s">
        <v>1593</v>
      </c>
      <c r="M244" s="184" t="s">
        <v>1591</v>
      </c>
      <c r="N244" s="201" t="s">
        <v>1630</v>
      </c>
      <c r="O244" s="199" t="s">
        <v>1590</v>
      </c>
      <c r="P244" s="184" t="s">
        <v>595</v>
      </c>
      <c r="Q244" s="255" t="s">
        <v>1592</v>
      </c>
      <c r="R244" s="207" t="s">
        <v>35</v>
      </c>
      <c r="S244" s="203">
        <v>3.5000000000000003E-2</v>
      </c>
      <c r="T244" s="199" t="s">
        <v>774</v>
      </c>
      <c r="U244" s="199">
        <v>2013</v>
      </c>
      <c r="V244" s="256" t="s">
        <v>1839</v>
      </c>
      <c r="W244" s="188" t="s">
        <v>34</v>
      </c>
      <c r="X244" s="220" t="s">
        <v>1589</v>
      </c>
      <c r="Y244" s="270" t="s">
        <v>1954</v>
      </c>
    </row>
    <row r="245" spans="1:25" s="29" customFormat="1" ht="193.2" x14ac:dyDescent="0.3">
      <c r="A245" s="250" t="s">
        <v>1851</v>
      </c>
      <c r="B245" s="251" t="s">
        <v>917</v>
      </c>
      <c r="C245" s="251" t="s">
        <v>61</v>
      </c>
      <c r="D245" s="184" t="s">
        <v>1621</v>
      </c>
      <c r="E245" s="253" t="s">
        <v>464</v>
      </c>
      <c r="F245" s="184" t="s">
        <v>2027</v>
      </c>
      <c r="G245" s="186" t="s">
        <v>2027</v>
      </c>
      <c r="H245" s="200" t="s">
        <v>249</v>
      </c>
      <c r="I245" s="233" t="s">
        <v>1629</v>
      </c>
      <c r="J245" s="184" t="s">
        <v>51</v>
      </c>
      <c r="K245" s="184" t="s">
        <v>734</v>
      </c>
      <c r="L245" s="184" t="s">
        <v>1593</v>
      </c>
      <c r="M245" s="184" t="s">
        <v>868</v>
      </c>
      <c r="N245" s="201" t="s">
        <v>1631</v>
      </c>
      <c r="O245" s="199" t="s">
        <v>1590</v>
      </c>
      <c r="P245" s="184" t="s">
        <v>595</v>
      </c>
      <c r="Q245" s="255" t="s">
        <v>1592</v>
      </c>
      <c r="R245" s="207" t="s">
        <v>35</v>
      </c>
      <c r="S245" s="203">
        <v>3.5000000000000003E-2</v>
      </c>
      <c r="T245" s="199" t="s">
        <v>774</v>
      </c>
      <c r="U245" s="199">
        <v>2013</v>
      </c>
      <c r="V245" s="256" t="s">
        <v>1839</v>
      </c>
      <c r="W245" s="188" t="s">
        <v>34</v>
      </c>
      <c r="X245" s="220" t="s">
        <v>1589</v>
      </c>
      <c r="Y245" s="270" t="s">
        <v>1954</v>
      </c>
    </row>
    <row r="246" spans="1:25" s="29" customFormat="1" ht="193.2" x14ac:dyDescent="0.3">
      <c r="A246" s="250" t="s">
        <v>1852</v>
      </c>
      <c r="B246" s="251" t="s">
        <v>917</v>
      </c>
      <c r="C246" s="251" t="s">
        <v>61</v>
      </c>
      <c r="D246" s="184" t="s">
        <v>1621</v>
      </c>
      <c r="E246" s="253" t="s">
        <v>464</v>
      </c>
      <c r="F246" s="184" t="s">
        <v>2027</v>
      </c>
      <c r="G246" s="234">
        <v>22362</v>
      </c>
      <c r="H246" s="200" t="s">
        <v>249</v>
      </c>
      <c r="I246" s="233" t="s">
        <v>1633</v>
      </c>
      <c r="J246" s="184" t="s">
        <v>51</v>
      </c>
      <c r="K246" s="184" t="s">
        <v>734</v>
      </c>
      <c r="L246" s="184" t="s">
        <v>1593</v>
      </c>
      <c r="M246" s="184" t="s">
        <v>1841</v>
      </c>
      <c r="N246" s="201" t="s">
        <v>1632</v>
      </c>
      <c r="O246" s="199" t="s">
        <v>1590</v>
      </c>
      <c r="P246" s="184" t="s">
        <v>595</v>
      </c>
      <c r="Q246" s="255" t="s">
        <v>1592</v>
      </c>
      <c r="R246" s="207" t="s">
        <v>35</v>
      </c>
      <c r="S246" s="203">
        <v>3.5000000000000003E-2</v>
      </c>
      <c r="T246" s="199" t="s">
        <v>774</v>
      </c>
      <c r="U246" s="199">
        <v>2013</v>
      </c>
      <c r="V246" s="256" t="s">
        <v>1839</v>
      </c>
      <c r="W246" s="188" t="s">
        <v>34</v>
      </c>
      <c r="X246" s="220" t="s">
        <v>1589</v>
      </c>
      <c r="Y246" s="270" t="s">
        <v>1954</v>
      </c>
    </row>
    <row r="247" spans="1:25" s="29" customFormat="1" ht="193.2" x14ac:dyDescent="0.3">
      <c r="A247" s="250" t="s">
        <v>1853</v>
      </c>
      <c r="B247" s="251" t="s">
        <v>917</v>
      </c>
      <c r="C247" s="251" t="s">
        <v>61</v>
      </c>
      <c r="D247" s="184" t="s">
        <v>1621</v>
      </c>
      <c r="E247" s="253" t="s">
        <v>464</v>
      </c>
      <c r="F247" s="184" t="s">
        <v>2027</v>
      </c>
      <c r="G247" s="234">
        <v>4273</v>
      </c>
      <c r="H247" s="200" t="s">
        <v>249</v>
      </c>
      <c r="I247" s="233" t="s">
        <v>1634</v>
      </c>
      <c r="J247" s="184" t="s">
        <v>51</v>
      </c>
      <c r="K247" s="184" t="s">
        <v>734</v>
      </c>
      <c r="L247" s="184" t="s">
        <v>1593</v>
      </c>
      <c r="M247" s="184" t="s">
        <v>1842</v>
      </c>
      <c r="N247" s="201" t="s">
        <v>1635</v>
      </c>
      <c r="O247" s="199" t="s">
        <v>1590</v>
      </c>
      <c r="P247" s="184" t="s">
        <v>595</v>
      </c>
      <c r="Q247" s="255" t="s">
        <v>1592</v>
      </c>
      <c r="R247" s="207" t="s">
        <v>35</v>
      </c>
      <c r="S247" s="203">
        <v>3.5000000000000003E-2</v>
      </c>
      <c r="T247" s="199" t="s">
        <v>774</v>
      </c>
      <c r="U247" s="199">
        <v>2013</v>
      </c>
      <c r="V247" s="256" t="s">
        <v>1839</v>
      </c>
      <c r="W247" s="188" t="s">
        <v>34</v>
      </c>
      <c r="X247" s="220" t="s">
        <v>1589</v>
      </c>
      <c r="Y247" s="270" t="s">
        <v>1954</v>
      </c>
    </row>
    <row r="248" spans="1:25" s="29" customFormat="1" ht="193.2" x14ac:dyDescent="0.3">
      <c r="A248" s="250" t="s">
        <v>1854</v>
      </c>
      <c r="B248" s="251" t="s">
        <v>917</v>
      </c>
      <c r="C248" s="251" t="s">
        <v>61</v>
      </c>
      <c r="D248" s="184" t="s">
        <v>1621</v>
      </c>
      <c r="E248" s="253" t="s">
        <v>464</v>
      </c>
      <c r="F248" s="184" t="s">
        <v>2027</v>
      </c>
      <c r="G248" s="186" t="s">
        <v>2027</v>
      </c>
      <c r="H248" s="200" t="s">
        <v>249</v>
      </c>
      <c r="I248" s="233" t="s">
        <v>1639</v>
      </c>
      <c r="J248" s="184" t="s">
        <v>51</v>
      </c>
      <c r="K248" s="184" t="s">
        <v>734</v>
      </c>
      <c r="L248" s="184" t="s">
        <v>1593</v>
      </c>
      <c r="M248" s="184" t="s">
        <v>1636</v>
      </c>
      <c r="N248" s="201" t="s">
        <v>1637</v>
      </c>
      <c r="O248" s="199" t="s">
        <v>1590</v>
      </c>
      <c r="P248" s="184" t="s">
        <v>595</v>
      </c>
      <c r="Q248" s="255" t="s">
        <v>1592</v>
      </c>
      <c r="R248" s="207" t="s">
        <v>35</v>
      </c>
      <c r="S248" s="203">
        <v>3.5000000000000003E-2</v>
      </c>
      <c r="T248" s="199" t="s">
        <v>774</v>
      </c>
      <c r="U248" s="199">
        <v>2013</v>
      </c>
      <c r="V248" s="256" t="s">
        <v>1839</v>
      </c>
      <c r="W248" s="188" t="s">
        <v>34</v>
      </c>
      <c r="X248" s="220" t="s">
        <v>1589</v>
      </c>
      <c r="Y248" s="270" t="s">
        <v>1954</v>
      </c>
    </row>
    <row r="249" spans="1:25" s="29" customFormat="1" ht="138" x14ac:dyDescent="0.3">
      <c r="A249" s="250" t="s">
        <v>1855</v>
      </c>
      <c r="B249" s="251" t="s">
        <v>917</v>
      </c>
      <c r="C249" s="251" t="s">
        <v>75</v>
      </c>
      <c r="D249" s="184" t="s">
        <v>132</v>
      </c>
      <c r="E249" s="253" t="s">
        <v>464</v>
      </c>
      <c r="F249" s="184" t="s">
        <v>1046</v>
      </c>
      <c r="G249" s="186" t="s">
        <v>2027</v>
      </c>
      <c r="H249" s="184" t="s">
        <v>2027</v>
      </c>
      <c r="I249" s="184" t="s">
        <v>1520</v>
      </c>
      <c r="J249" s="184" t="s">
        <v>36</v>
      </c>
      <c r="K249" s="184" t="s">
        <v>2027</v>
      </c>
      <c r="L249" s="184" t="s">
        <v>2027</v>
      </c>
      <c r="M249" s="184" t="s">
        <v>26</v>
      </c>
      <c r="N249" s="201" t="s">
        <v>1519</v>
      </c>
      <c r="O249" s="199" t="s">
        <v>133</v>
      </c>
      <c r="P249" s="184" t="s">
        <v>595</v>
      </c>
      <c r="Q249" s="255" t="s">
        <v>888</v>
      </c>
      <c r="R249" s="207" t="s">
        <v>35</v>
      </c>
      <c r="S249" s="203">
        <v>3.5000000000000003E-2</v>
      </c>
      <c r="T249" s="199" t="s">
        <v>32</v>
      </c>
      <c r="U249" s="199">
        <v>2014</v>
      </c>
      <c r="V249" s="254" t="s">
        <v>1518</v>
      </c>
      <c r="W249" s="188" t="s">
        <v>34</v>
      </c>
      <c r="X249" s="220" t="s">
        <v>1589</v>
      </c>
      <c r="Y249" s="270" t="s">
        <v>1954</v>
      </c>
    </row>
    <row r="250" spans="1:25" s="29" customFormat="1" ht="138" x14ac:dyDescent="0.3">
      <c r="A250" s="250" t="s">
        <v>1856</v>
      </c>
      <c r="B250" s="251" t="s">
        <v>917</v>
      </c>
      <c r="C250" s="251" t="s">
        <v>75</v>
      </c>
      <c r="D250" s="184" t="s">
        <v>76</v>
      </c>
      <c r="E250" s="253" t="s">
        <v>464</v>
      </c>
      <c r="F250" s="184" t="s">
        <v>2027</v>
      </c>
      <c r="G250" s="186" t="s">
        <v>2027</v>
      </c>
      <c r="H250" s="186">
        <v>-3032</v>
      </c>
      <c r="I250" s="184" t="s">
        <v>850</v>
      </c>
      <c r="J250" s="184" t="s">
        <v>51</v>
      </c>
      <c r="K250" s="184" t="s">
        <v>396</v>
      </c>
      <c r="L250" s="184" t="s">
        <v>851</v>
      </c>
      <c r="M250" s="255" t="s">
        <v>26</v>
      </c>
      <c r="N250" s="201" t="s">
        <v>852</v>
      </c>
      <c r="O250" s="184" t="s">
        <v>2027</v>
      </c>
      <c r="P250" s="184" t="s">
        <v>595</v>
      </c>
      <c r="Q250" s="255" t="s">
        <v>739</v>
      </c>
      <c r="R250" s="207" t="s">
        <v>35</v>
      </c>
      <c r="S250" s="203">
        <v>3.5000000000000003E-2</v>
      </c>
      <c r="T250" s="199" t="s">
        <v>554</v>
      </c>
      <c r="U250" s="199">
        <v>2009</v>
      </c>
      <c r="V250" s="256" t="s">
        <v>1205</v>
      </c>
      <c r="W250" s="188" t="s">
        <v>34</v>
      </c>
      <c r="X250" s="220" t="s">
        <v>1589</v>
      </c>
      <c r="Y250" s="270" t="s">
        <v>1954</v>
      </c>
    </row>
    <row r="251" spans="1:25" s="29" customFormat="1" ht="138" x14ac:dyDescent="0.3">
      <c r="A251" s="250" t="s">
        <v>1857</v>
      </c>
      <c r="B251" s="251" t="s">
        <v>917</v>
      </c>
      <c r="C251" s="251" t="s">
        <v>75</v>
      </c>
      <c r="D251" s="184" t="s">
        <v>76</v>
      </c>
      <c r="E251" s="253" t="s">
        <v>464</v>
      </c>
      <c r="F251" s="184" t="s">
        <v>2027</v>
      </c>
      <c r="G251" s="105">
        <v>49</v>
      </c>
      <c r="H251" s="184" t="s">
        <v>2027</v>
      </c>
      <c r="I251" s="184" t="s">
        <v>1308</v>
      </c>
      <c r="J251" s="184" t="s">
        <v>51</v>
      </c>
      <c r="K251" s="63" t="s">
        <v>734</v>
      </c>
      <c r="L251" s="184" t="s">
        <v>969</v>
      </c>
      <c r="M251" s="184" t="s">
        <v>950</v>
      </c>
      <c r="N251" s="201" t="s">
        <v>970</v>
      </c>
      <c r="O251" s="199" t="s">
        <v>23</v>
      </c>
      <c r="P251" s="184" t="s">
        <v>595</v>
      </c>
      <c r="Q251" s="255" t="s">
        <v>125</v>
      </c>
      <c r="R251" s="207" t="s">
        <v>35</v>
      </c>
      <c r="S251" s="203">
        <v>3.5000000000000003E-2</v>
      </c>
      <c r="T251" s="199" t="s">
        <v>32</v>
      </c>
      <c r="U251" s="199">
        <v>2008</v>
      </c>
      <c r="V251" s="256" t="s">
        <v>1178</v>
      </c>
      <c r="W251" s="188" t="s">
        <v>34</v>
      </c>
      <c r="X251" s="220" t="s">
        <v>120</v>
      </c>
      <c r="Y251" s="270" t="s">
        <v>1954</v>
      </c>
    </row>
    <row r="252" spans="1:25" s="29" customFormat="1" ht="138" x14ac:dyDescent="0.3">
      <c r="A252" s="250" t="s">
        <v>1858</v>
      </c>
      <c r="B252" s="251" t="s">
        <v>917</v>
      </c>
      <c r="C252" s="251" t="s">
        <v>75</v>
      </c>
      <c r="D252" s="184" t="s">
        <v>90</v>
      </c>
      <c r="E252" s="253" t="s">
        <v>464</v>
      </c>
      <c r="F252" s="184" t="s">
        <v>2027</v>
      </c>
      <c r="G252" s="105">
        <v>1690</v>
      </c>
      <c r="H252" s="184" t="s">
        <v>2027</v>
      </c>
      <c r="I252" s="184" t="s">
        <v>1319</v>
      </c>
      <c r="J252" s="184" t="s">
        <v>51</v>
      </c>
      <c r="K252" s="63" t="s">
        <v>734</v>
      </c>
      <c r="L252" s="184" t="s">
        <v>969</v>
      </c>
      <c r="M252" s="184" t="s">
        <v>950</v>
      </c>
      <c r="N252" s="201" t="s">
        <v>971</v>
      </c>
      <c r="O252" s="199" t="s">
        <v>23</v>
      </c>
      <c r="P252" s="184" t="s">
        <v>595</v>
      </c>
      <c r="Q252" s="255" t="s">
        <v>125</v>
      </c>
      <c r="R252" s="207" t="s">
        <v>35</v>
      </c>
      <c r="S252" s="203">
        <v>3.5000000000000003E-2</v>
      </c>
      <c r="T252" s="199" t="s">
        <v>32</v>
      </c>
      <c r="U252" s="199">
        <v>2008</v>
      </c>
      <c r="V252" s="256" t="s">
        <v>1178</v>
      </c>
      <c r="W252" s="188" t="s">
        <v>34</v>
      </c>
      <c r="X252" s="220" t="s">
        <v>120</v>
      </c>
      <c r="Y252" s="270" t="s">
        <v>1954</v>
      </c>
    </row>
    <row r="253" spans="1:25" s="29" customFormat="1" ht="151.80000000000001" x14ac:dyDescent="0.3">
      <c r="A253" s="250" t="s">
        <v>1859</v>
      </c>
      <c r="B253" s="251" t="s">
        <v>917</v>
      </c>
      <c r="C253" s="251" t="s">
        <v>75</v>
      </c>
      <c r="D253" s="184" t="s">
        <v>91</v>
      </c>
      <c r="E253" s="253" t="s">
        <v>464</v>
      </c>
      <c r="F253" s="184" t="s">
        <v>2027</v>
      </c>
      <c r="G253" s="105">
        <v>1837</v>
      </c>
      <c r="H253" s="184" t="s">
        <v>2027</v>
      </c>
      <c r="I253" s="254" t="s">
        <v>1320</v>
      </c>
      <c r="J253" s="184" t="s">
        <v>51</v>
      </c>
      <c r="K253" s="184" t="s">
        <v>734</v>
      </c>
      <c r="L253" s="184" t="s">
        <v>2027</v>
      </c>
      <c r="M253" s="184" t="s">
        <v>81</v>
      </c>
      <c r="N253" s="256" t="s">
        <v>1013</v>
      </c>
      <c r="O253" s="184" t="s">
        <v>2027</v>
      </c>
      <c r="P253" s="184" t="s">
        <v>595</v>
      </c>
      <c r="Q253" s="255" t="s">
        <v>125</v>
      </c>
      <c r="R253" s="207" t="s">
        <v>35</v>
      </c>
      <c r="S253" s="203">
        <v>3.5000000000000003E-2</v>
      </c>
      <c r="T253" s="199" t="s">
        <v>32</v>
      </c>
      <c r="U253" s="199">
        <v>2008</v>
      </c>
      <c r="V253" s="256" t="s">
        <v>1204</v>
      </c>
      <c r="W253" s="188" t="s">
        <v>34</v>
      </c>
      <c r="X253" s="220" t="s">
        <v>119</v>
      </c>
      <c r="Y253" s="270" t="s">
        <v>1954</v>
      </c>
    </row>
    <row r="254" spans="1:25" s="29" customFormat="1" ht="151.80000000000001" x14ac:dyDescent="0.3">
      <c r="A254" s="250" t="s">
        <v>1860</v>
      </c>
      <c r="B254" s="251" t="s">
        <v>917</v>
      </c>
      <c r="C254" s="251" t="s">
        <v>75</v>
      </c>
      <c r="D254" s="184" t="s">
        <v>92</v>
      </c>
      <c r="E254" s="253" t="s">
        <v>464</v>
      </c>
      <c r="F254" s="184" t="s">
        <v>2027</v>
      </c>
      <c r="G254" s="105">
        <v>2089</v>
      </c>
      <c r="H254" s="184" t="s">
        <v>2027</v>
      </c>
      <c r="I254" s="254" t="s">
        <v>1321</v>
      </c>
      <c r="J254" s="184" t="s">
        <v>51</v>
      </c>
      <c r="K254" s="184" t="s">
        <v>734</v>
      </c>
      <c r="L254" s="184" t="s">
        <v>2027</v>
      </c>
      <c r="M254" s="184" t="s">
        <v>93</v>
      </c>
      <c r="N254" s="256" t="s">
        <v>1014</v>
      </c>
      <c r="O254" s="184" t="s">
        <v>2027</v>
      </c>
      <c r="P254" s="184" t="s">
        <v>595</v>
      </c>
      <c r="Q254" s="255" t="s">
        <v>125</v>
      </c>
      <c r="R254" s="207" t="s">
        <v>35</v>
      </c>
      <c r="S254" s="203">
        <v>3.5000000000000003E-2</v>
      </c>
      <c r="T254" s="199" t="s">
        <v>32</v>
      </c>
      <c r="U254" s="199">
        <v>2008</v>
      </c>
      <c r="V254" s="256" t="s">
        <v>1204</v>
      </c>
      <c r="W254" s="188" t="s">
        <v>34</v>
      </c>
      <c r="X254" s="220" t="s">
        <v>119</v>
      </c>
      <c r="Y254" s="270" t="s">
        <v>1954</v>
      </c>
    </row>
    <row r="255" spans="1:25" s="29" customFormat="1" ht="151.80000000000001" x14ac:dyDescent="0.3">
      <c r="A255" s="250" t="s">
        <v>1861</v>
      </c>
      <c r="B255" s="251" t="s">
        <v>917</v>
      </c>
      <c r="C255" s="251" t="s">
        <v>75</v>
      </c>
      <c r="D255" s="184" t="s">
        <v>94</v>
      </c>
      <c r="E255" s="253" t="s">
        <v>464</v>
      </c>
      <c r="F255" s="184" t="s">
        <v>2027</v>
      </c>
      <c r="G255" s="105">
        <v>2686</v>
      </c>
      <c r="H255" s="184" t="s">
        <v>2027</v>
      </c>
      <c r="I255" s="254" t="s">
        <v>1322</v>
      </c>
      <c r="J255" s="184" t="s">
        <v>51</v>
      </c>
      <c r="K255" s="184" t="s">
        <v>734</v>
      </c>
      <c r="L255" s="184" t="s">
        <v>2027</v>
      </c>
      <c r="M255" s="184" t="s">
        <v>26</v>
      </c>
      <c r="N255" s="256" t="s">
        <v>1015</v>
      </c>
      <c r="O255" s="184" t="s">
        <v>2027</v>
      </c>
      <c r="P255" s="184" t="s">
        <v>595</v>
      </c>
      <c r="Q255" s="255" t="s">
        <v>125</v>
      </c>
      <c r="R255" s="207" t="s">
        <v>35</v>
      </c>
      <c r="S255" s="203">
        <v>3.5000000000000003E-2</v>
      </c>
      <c r="T255" s="199" t="s">
        <v>32</v>
      </c>
      <c r="U255" s="199">
        <v>2008</v>
      </c>
      <c r="V255" s="256" t="s">
        <v>1204</v>
      </c>
      <c r="W255" s="188" t="s">
        <v>34</v>
      </c>
      <c r="X255" s="220" t="s">
        <v>119</v>
      </c>
      <c r="Y255" s="270" t="s">
        <v>1954</v>
      </c>
    </row>
    <row r="256" spans="1:25" s="29" customFormat="1" ht="151.80000000000001" x14ac:dyDescent="0.3">
      <c r="A256" s="250" t="s">
        <v>1862</v>
      </c>
      <c r="B256" s="251" t="s">
        <v>917</v>
      </c>
      <c r="C256" s="251" t="s">
        <v>75</v>
      </c>
      <c r="D256" s="184" t="s">
        <v>95</v>
      </c>
      <c r="E256" s="253" t="s">
        <v>464</v>
      </c>
      <c r="F256" s="184" t="s">
        <v>2027</v>
      </c>
      <c r="G256" s="105">
        <v>3151</v>
      </c>
      <c r="H256" s="184" t="s">
        <v>2027</v>
      </c>
      <c r="I256" s="254" t="s">
        <v>1324</v>
      </c>
      <c r="J256" s="184" t="s">
        <v>51</v>
      </c>
      <c r="K256" s="184" t="s">
        <v>734</v>
      </c>
      <c r="L256" s="184" t="s">
        <v>2027</v>
      </c>
      <c r="M256" s="184" t="s">
        <v>26</v>
      </c>
      <c r="N256" s="256" t="s">
        <v>1018</v>
      </c>
      <c r="O256" s="184" t="s">
        <v>2027</v>
      </c>
      <c r="P256" s="184" t="s">
        <v>595</v>
      </c>
      <c r="Q256" s="255" t="s">
        <v>125</v>
      </c>
      <c r="R256" s="207" t="s">
        <v>35</v>
      </c>
      <c r="S256" s="203">
        <v>3.5000000000000003E-2</v>
      </c>
      <c r="T256" s="199" t="s">
        <v>32</v>
      </c>
      <c r="U256" s="199">
        <v>2008</v>
      </c>
      <c r="V256" s="256" t="s">
        <v>1204</v>
      </c>
      <c r="W256" s="188" t="s">
        <v>34</v>
      </c>
      <c r="X256" s="220" t="s">
        <v>119</v>
      </c>
      <c r="Y256" s="270" t="s">
        <v>1954</v>
      </c>
    </row>
    <row r="257" spans="1:25" s="29" customFormat="1" ht="151.80000000000001" x14ac:dyDescent="0.3">
      <c r="A257" s="250" t="s">
        <v>1863</v>
      </c>
      <c r="B257" s="251" t="s">
        <v>917</v>
      </c>
      <c r="C257" s="251" t="s">
        <v>75</v>
      </c>
      <c r="D257" s="184" t="s">
        <v>100</v>
      </c>
      <c r="E257" s="253" t="s">
        <v>464</v>
      </c>
      <c r="F257" s="184" t="s">
        <v>2027</v>
      </c>
      <c r="G257" s="105">
        <v>5992</v>
      </c>
      <c r="H257" s="184" t="s">
        <v>2027</v>
      </c>
      <c r="I257" s="254" t="s">
        <v>1327</v>
      </c>
      <c r="J257" s="184" t="s">
        <v>51</v>
      </c>
      <c r="K257" s="184" t="s">
        <v>734</v>
      </c>
      <c r="L257" s="184" t="s">
        <v>2027</v>
      </c>
      <c r="M257" s="184" t="s">
        <v>101</v>
      </c>
      <c r="N257" s="256" t="s">
        <v>1022</v>
      </c>
      <c r="O257" s="184" t="s">
        <v>2027</v>
      </c>
      <c r="P257" s="184" t="s">
        <v>595</v>
      </c>
      <c r="Q257" s="255" t="s">
        <v>125</v>
      </c>
      <c r="R257" s="207" t="s">
        <v>35</v>
      </c>
      <c r="S257" s="203">
        <v>3.5000000000000003E-2</v>
      </c>
      <c r="T257" s="199" t="s">
        <v>32</v>
      </c>
      <c r="U257" s="199">
        <v>2008</v>
      </c>
      <c r="V257" s="256" t="s">
        <v>1204</v>
      </c>
      <c r="W257" s="188" t="s">
        <v>34</v>
      </c>
      <c r="X257" s="220" t="s">
        <v>119</v>
      </c>
      <c r="Y257" s="270" t="s">
        <v>1954</v>
      </c>
    </row>
    <row r="258" spans="1:25" s="29" customFormat="1" ht="193.2" x14ac:dyDescent="0.3">
      <c r="A258" s="250" t="s">
        <v>1864</v>
      </c>
      <c r="B258" s="251" t="s">
        <v>917</v>
      </c>
      <c r="C258" s="251" t="s">
        <v>75</v>
      </c>
      <c r="D258" s="184" t="s">
        <v>102</v>
      </c>
      <c r="E258" s="253" t="s">
        <v>464</v>
      </c>
      <c r="F258" s="184" t="s">
        <v>2027</v>
      </c>
      <c r="G258" s="105">
        <v>7200</v>
      </c>
      <c r="H258" s="184" t="s">
        <v>2027</v>
      </c>
      <c r="I258" s="255" t="s">
        <v>1329</v>
      </c>
      <c r="J258" s="184" t="s">
        <v>51</v>
      </c>
      <c r="K258" s="184" t="s">
        <v>734</v>
      </c>
      <c r="L258" s="184" t="s">
        <v>2027</v>
      </c>
      <c r="M258" s="184" t="s">
        <v>103</v>
      </c>
      <c r="N258" s="201" t="s">
        <v>1843</v>
      </c>
      <c r="O258" s="184" t="s">
        <v>2027</v>
      </c>
      <c r="P258" s="184" t="s">
        <v>595</v>
      </c>
      <c r="Q258" s="255" t="s">
        <v>125</v>
      </c>
      <c r="R258" s="207" t="s">
        <v>35</v>
      </c>
      <c r="S258" s="203">
        <v>3.5000000000000003E-2</v>
      </c>
      <c r="T258" s="199" t="s">
        <v>32</v>
      </c>
      <c r="U258" s="199">
        <v>2009</v>
      </c>
      <c r="V258" s="256" t="s">
        <v>1177</v>
      </c>
      <c r="W258" s="188" t="s">
        <v>34</v>
      </c>
      <c r="X258" s="220" t="s">
        <v>118</v>
      </c>
      <c r="Y258" s="270" t="s">
        <v>1954</v>
      </c>
    </row>
    <row r="259" spans="1:25" s="178" customFormat="1" ht="151.80000000000001" x14ac:dyDescent="0.3">
      <c r="A259" s="250" t="s">
        <v>1865</v>
      </c>
      <c r="B259" s="235" t="s">
        <v>917</v>
      </c>
      <c r="C259" s="235" t="s">
        <v>61</v>
      </c>
      <c r="D259" s="236" t="s">
        <v>1844</v>
      </c>
      <c r="E259" s="253" t="s">
        <v>464</v>
      </c>
      <c r="F259" s="184" t="s">
        <v>2027</v>
      </c>
      <c r="G259" s="237" t="s">
        <v>1770</v>
      </c>
      <c r="H259" s="184" t="s">
        <v>2027</v>
      </c>
      <c r="I259" s="201" t="s">
        <v>1771</v>
      </c>
      <c r="J259" s="199" t="s">
        <v>36</v>
      </c>
      <c r="K259" s="199" t="s">
        <v>734</v>
      </c>
      <c r="L259" s="199" t="s">
        <v>1845</v>
      </c>
      <c r="M259" s="201" t="s">
        <v>26</v>
      </c>
      <c r="N259" s="201" t="s">
        <v>1772</v>
      </c>
      <c r="O259" s="256" t="s">
        <v>133</v>
      </c>
      <c r="P259" s="199" t="s">
        <v>619</v>
      </c>
      <c r="Q259" s="201" t="s">
        <v>125</v>
      </c>
      <c r="R259" s="207" t="s">
        <v>35</v>
      </c>
      <c r="S259" s="238">
        <v>3.5000000000000003E-2</v>
      </c>
      <c r="T259" s="199" t="s">
        <v>32</v>
      </c>
      <c r="U259" s="199">
        <v>2012</v>
      </c>
      <c r="V259" s="256" t="s">
        <v>1773</v>
      </c>
      <c r="W259" s="277" t="s">
        <v>34</v>
      </c>
      <c r="X259" s="220" t="s">
        <v>1774</v>
      </c>
      <c r="Y259" s="270" t="s">
        <v>1954</v>
      </c>
    </row>
    <row r="260" spans="1:25" s="178" customFormat="1" ht="110.4" x14ac:dyDescent="0.3">
      <c r="A260" s="250" t="s">
        <v>1866</v>
      </c>
      <c r="B260" s="235" t="s">
        <v>917</v>
      </c>
      <c r="C260" s="235" t="s">
        <v>61</v>
      </c>
      <c r="D260" s="236" t="s">
        <v>1846</v>
      </c>
      <c r="E260" s="253" t="s">
        <v>464</v>
      </c>
      <c r="F260" s="184" t="s">
        <v>2027</v>
      </c>
      <c r="G260" s="237" t="s">
        <v>1775</v>
      </c>
      <c r="H260" s="184" t="s">
        <v>2027</v>
      </c>
      <c r="I260" s="201" t="s">
        <v>1776</v>
      </c>
      <c r="J260" s="199" t="s">
        <v>36</v>
      </c>
      <c r="K260" s="199" t="s">
        <v>734</v>
      </c>
      <c r="L260" s="199" t="s">
        <v>1845</v>
      </c>
      <c r="M260" s="201" t="s">
        <v>26</v>
      </c>
      <c r="N260" s="201" t="s">
        <v>1777</v>
      </c>
      <c r="O260" s="256" t="s">
        <v>133</v>
      </c>
      <c r="P260" s="199" t="s">
        <v>619</v>
      </c>
      <c r="Q260" s="201" t="s">
        <v>125</v>
      </c>
      <c r="R260" s="207" t="s">
        <v>35</v>
      </c>
      <c r="S260" s="238">
        <v>3.5000000000000003E-2</v>
      </c>
      <c r="T260" s="199" t="s">
        <v>32</v>
      </c>
      <c r="U260" s="199">
        <v>2012</v>
      </c>
      <c r="V260" s="256" t="s">
        <v>1773</v>
      </c>
      <c r="W260" s="277" t="s">
        <v>34</v>
      </c>
      <c r="X260" s="220" t="s">
        <v>1774</v>
      </c>
      <c r="Y260" s="270" t="s">
        <v>1954</v>
      </c>
    </row>
    <row r="261" spans="1:25" s="178" customFormat="1" ht="193.2" x14ac:dyDescent="0.3">
      <c r="A261" s="250" t="s">
        <v>1867</v>
      </c>
      <c r="B261" s="235" t="s">
        <v>917</v>
      </c>
      <c r="C261" s="235" t="s">
        <v>61</v>
      </c>
      <c r="D261" s="236" t="s">
        <v>1847</v>
      </c>
      <c r="E261" s="253" t="s">
        <v>464</v>
      </c>
      <c r="F261" s="184" t="s">
        <v>2027</v>
      </c>
      <c r="G261" s="237" t="s">
        <v>1778</v>
      </c>
      <c r="H261" s="184" t="s">
        <v>2027</v>
      </c>
      <c r="I261" s="201" t="s">
        <v>1779</v>
      </c>
      <c r="J261" s="199" t="s">
        <v>36</v>
      </c>
      <c r="K261" s="199" t="s">
        <v>734</v>
      </c>
      <c r="L261" s="199" t="s">
        <v>1845</v>
      </c>
      <c r="M261" s="201" t="s">
        <v>26</v>
      </c>
      <c r="N261" s="201" t="s">
        <v>1780</v>
      </c>
      <c r="O261" s="256" t="s">
        <v>133</v>
      </c>
      <c r="P261" s="199" t="s">
        <v>619</v>
      </c>
      <c r="Q261" s="201" t="s">
        <v>125</v>
      </c>
      <c r="R261" s="207" t="s">
        <v>35</v>
      </c>
      <c r="S261" s="238">
        <v>3.5000000000000003E-2</v>
      </c>
      <c r="T261" s="199" t="s">
        <v>32</v>
      </c>
      <c r="U261" s="199">
        <v>2012</v>
      </c>
      <c r="V261" s="256" t="s">
        <v>1773</v>
      </c>
      <c r="W261" s="277" t="s">
        <v>34</v>
      </c>
      <c r="X261" s="220" t="s">
        <v>1774</v>
      </c>
      <c r="Y261" s="270" t="s">
        <v>1954</v>
      </c>
    </row>
    <row r="262" spans="1:25" s="178" customFormat="1" ht="165.6" x14ac:dyDescent="0.3">
      <c r="A262" s="250" t="s">
        <v>1868</v>
      </c>
      <c r="B262" s="235" t="s">
        <v>917</v>
      </c>
      <c r="C262" s="235" t="s">
        <v>61</v>
      </c>
      <c r="D262" s="236" t="s">
        <v>1848</v>
      </c>
      <c r="E262" s="253" t="s">
        <v>464</v>
      </c>
      <c r="F262" s="184" t="s">
        <v>2027</v>
      </c>
      <c r="G262" s="237" t="s">
        <v>2765</v>
      </c>
      <c r="H262" s="184" t="s">
        <v>2027</v>
      </c>
      <c r="I262" s="201" t="s">
        <v>1781</v>
      </c>
      <c r="J262" s="199" t="s">
        <v>36</v>
      </c>
      <c r="K262" s="199" t="s">
        <v>734</v>
      </c>
      <c r="L262" s="199" t="s">
        <v>1845</v>
      </c>
      <c r="M262" s="201" t="s">
        <v>26</v>
      </c>
      <c r="N262" s="201" t="s">
        <v>1782</v>
      </c>
      <c r="O262" s="256" t="s">
        <v>133</v>
      </c>
      <c r="P262" s="199" t="s">
        <v>619</v>
      </c>
      <c r="Q262" s="201" t="s">
        <v>125</v>
      </c>
      <c r="R262" s="207" t="s">
        <v>35</v>
      </c>
      <c r="S262" s="238">
        <v>3.5000000000000003E-2</v>
      </c>
      <c r="T262" s="199" t="s">
        <v>32</v>
      </c>
      <c r="U262" s="199">
        <v>2012</v>
      </c>
      <c r="V262" s="256" t="s">
        <v>1773</v>
      </c>
      <c r="W262" s="277" t="s">
        <v>34</v>
      </c>
      <c r="X262" s="220" t="s">
        <v>1774</v>
      </c>
      <c r="Y262" s="270" t="s">
        <v>1954</v>
      </c>
    </row>
    <row r="263" spans="1:25" s="178" customFormat="1" ht="204" customHeight="1" x14ac:dyDescent="0.3">
      <c r="A263" s="250" t="s">
        <v>2064</v>
      </c>
      <c r="B263" s="235" t="s">
        <v>917</v>
      </c>
      <c r="C263" s="235" t="s">
        <v>61</v>
      </c>
      <c r="D263" s="236" t="s">
        <v>2065</v>
      </c>
      <c r="E263" s="253" t="s">
        <v>464</v>
      </c>
      <c r="F263" s="196" t="s">
        <v>2066</v>
      </c>
      <c r="G263" s="207" t="s">
        <v>2648</v>
      </c>
      <c r="H263" s="255" t="s">
        <v>2027</v>
      </c>
      <c r="I263" s="201" t="s">
        <v>2650</v>
      </c>
      <c r="J263" s="199" t="s">
        <v>2067</v>
      </c>
      <c r="K263" s="199" t="s">
        <v>635</v>
      </c>
      <c r="L263" s="199" t="s">
        <v>2651</v>
      </c>
      <c r="M263" s="201" t="s">
        <v>2652</v>
      </c>
      <c r="N263" s="201" t="s">
        <v>2649</v>
      </c>
      <c r="O263" s="256" t="s">
        <v>2068</v>
      </c>
      <c r="P263" s="199" t="s">
        <v>619</v>
      </c>
      <c r="Q263" s="201" t="s">
        <v>2069</v>
      </c>
      <c r="R263" s="199" t="s">
        <v>1444</v>
      </c>
      <c r="S263" s="238">
        <v>3.5000000000000003E-2</v>
      </c>
      <c r="T263" s="199" t="s">
        <v>32</v>
      </c>
      <c r="U263" s="199">
        <v>2018</v>
      </c>
      <c r="V263" s="256" t="s">
        <v>2070</v>
      </c>
      <c r="W263" s="188" t="s">
        <v>34</v>
      </c>
      <c r="X263" s="240" t="s">
        <v>2027</v>
      </c>
      <c r="Y263" s="187">
        <v>2019</v>
      </c>
    </row>
    <row r="264" spans="1:25" s="178" customFormat="1" ht="204" customHeight="1" x14ac:dyDescent="0.3">
      <c r="A264" s="250" t="s">
        <v>2072</v>
      </c>
      <c r="B264" s="235" t="s">
        <v>917</v>
      </c>
      <c r="C264" s="235" t="s">
        <v>2073</v>
      </c>
      <c r="D264" s="236" t="s">
        <v>2074</v>
      </c>
      <c r="E264" s="253" t="s">
        <v>464</v>
      </c>
      <c r="F264" s="201" t="s">
        <v>2027</v>
      </c>
      <c r="G264" s="237">
        <v>482</v>
      </c>
      <c r="H264" s="255" t="s">
        <v>2027</v>
      </c>
      <c r="I264" s="201" t="s">
        <v>2653</v>
      </c>
      <c r="J264" s="199" t="s">
        <v>2075</v>
      </c>
      <c r="K264" s="199" t="s">
        <v>635</v>
      </c>
      <c r="L264" s="199" t="s">
        <v>2076</v>
      </c>
      <c r="M264" s="201" t="s">
        <v>26</v>
      </c>
      <c r="N264" s="201" t="s">
        <v>2654</v>
      </c>
      <c r="O264" s="256" t="s">
        <v>52</v>
      </c>
      <c r="P264" s="199" t="s">
        <v>2080</v>
      </c>
      <c r="Q264" s="201" t="s">
        <v>2077</v>
      </c>
      <c r="R264" s="199" t="s">
        <v>332</v>
      </c>
      <c r="S264" s="238" t="s">
        <v>1908</v>
      </c>
      <c r="T264" s="199" t="s">
        <v>32</v>
      </c>
      <c r="U264" s="199">
        <v>2011</v>
      </c>
      <c r="V264" s="256" t="s">
        <v>2741</v>
      </c>
      <c r="W264" s="188" t="s">
        <v>34</v>
      </c>
      <c r="X264" s="255" t="s">
        <v>2027</v>
      </c>
      <c r="Y264" s="187">
        <v>2019</v>
      </c>
    </row>
    <row r="265" spans="1:25" ht="138" x14ac:dyDescent="0.3">
      <c r="A265" s="250" t="s">
        <v>2288</v>
      </c>
      <c r="B265" s="251" t="s">
        <v>917</v>
      </c>
      <c r="C265" s="251" t="s">
        <v>61</v>
      </c>
      <c r="D265" s="236" t="s">
        <v>2280</v>
      </c>
      <c r="E265" s="253" t="s">
        <v>464</v>
      </c>
      <c r="F265" s="196" t="s">
        <v>2281</v>
      </c>
      <c r="G265" s="196" t="s">
        <v>2282</v>
      </c>
      <c r="H265" s="196" t="s">
        <v>2282</v>
      </c>
      <c r="I265" s="196" t="s">
        <v>2283</v>
      </c>
      <c r="J265" s="196" t="s">
        <v>2204</v>
      </c>
      <c r="K265" s="196" t="s">
        <v>2284</v>
      </c>
      <c r="L265" s="196" t="s">
        <v>2285</v>
      </c>
      <c r="M265" s="196" t="s">
        <v>26</v>
      </c>
      <c r="N265" s="196" t="s">
        <v>2742</v>
      </c>
      <c r="O265" s="196" t="s">
        <v>133</v>
      </c>
      <c r="P265" s="196" t="s">
        <v>595</v>
      </c>
      <c r="Q265" s="201" t="s">
        <v>2286</v>
      </c>
      <c r="R265" s="201" t="s">
        <v>35</v>
      </c>
      <c r="S265" s="267">
        <v>3.5000000000000003E-2</v>
      </c>
      <c r="T265" s="201" t="s">
        <v>32</v>
      </c>
      <c r="U265" s="201">
        <v>2015</v>
      </c>
      <c r="V265" s="256" t="s">
        <v>2287</v>
      </c>
      <c r="W265" s="261" t="s">
        <v>34</v>
      </c>
      <c r="X265" s="184" t="s">
        <v>2027</v>
      </c>
      <c r="Y265" s="187">
        <v>2019</v>
      </c>
    </row>
    <row r="266" spans="1:25" ht="124.2" x14ac:dyDescent="0.3">
      <c r="A266" s="250" t="s">
        <v>2349</v>
      </c>
      <c r="B266" s="251" t="s">
        <v>917</v>
      </c>
      <c r="C266" s="251" t="s">
        <v>61</v>
      </c>
      <c r="D266" s="184" t="s">
        <v>2021</v>
      </c>
      <c r="E266" s="253" t="s">
        <v>464</v>
      </c>
      <c r="F266" s="184" t="s">
        <v>2341</v>
      </c>
      <c r="G266" s="257" t="s">
        <v>2027</v>
      </c>
      <c r="H266" s="255" t="s">
        <v>2027</v>
      </c>
      <c r="I266" s="184" t="s">
        <v>2342</v>
      </c>
      <c r="J266" s="184" t="s">
        <v>58</v>
      </c>
      <c r="K266" s="184" t="s">
        <v>2252</v>
      </c>
      <c r="L266" s="184" t="s">
        <v>2343</v>
      </c>
      <c r="M266" s="184" t="s">
        <v>2317</v>
      </c>
      <c r="N266" s="184" t="s">
        <v>2344</v>
      </c>
      <c r="O266" s="184" t="s">
        <v>2345</v>
      </c>
      <c r="P266" s="184" t="s">
        <v>2027</v>
      </c>
      <c r="Q266" s="255" t="s">
        <v>2346</v>
      </c>
      <c r="R266" s="187" t="s">
        <v>173</v>
      </c>
      <c r="S266" s="190" t="s">
        <v>2317</v>
      </c>
      <c r="T266" s="184" t="s">
        <v>2347</v>
      </c>
      <c r="U266" s="184">
        <v>2012</v>
      </c>
      <c r="V266" s="256" t="s">
        <v>2348</v>
      </c>
      <c r="W266" s="261" t="s">
        <v>34</v>
      </c>
      <c r="X266" s="184" t="s">
        <v>2027</v>
      </c>
      <c r="Y266" s="187">
        <v>2019</v>
      </c>
    </row>
    <row r="267" spans="1:25" s="30" customFormat="1" ht="151.80000000000001" x14ac:dyDescent="0.3">
      <c r="A267" s="250" t="s">
        <v>1094</v>
      </c>
      <c r="B267" s="251" t="s">
        <v>177</v>
      </c>
      <c r="C267" s="251" t="s">
        <v>139</v>
      </c>
      <c r="D267" s="199" t="s">
        <v>2721</v>
      </c>
      <c r="E267" s="253" t="s">
        <v>464</v>
      </c>
      <c r="F267" s="254" t="s">
        <v>1047</v>
      </c>
      <c r="G267" s="186" t="s">
        <v>2027</v>
      </c>
      <c r="H267" s="184" t="s">
        <v>2027</v>
      </c>
      <c r="I267" s="255" t="s">
        <v>1256</v>
      </c>
      <c r="J267" s="184" t="s">
        <v>58</v>
      </c>
      <c r="K267" s="184" t="s">
        <v>397</v>
      </c>
      <c r="L267" s="184" t="s">
        <v>2027</v>
      </c>
      <c r="M267" s="239" t="s">
        <v>142</v>
      </c>
      <c r="N267" s="201" t="s">
        <v>1257</v>
      </c>
      <c r="O267" s="201" t="s">
        <v>567</v>
      </c>
      <c r="P267" s="199" t="s">
        <v>595</v>
      </c>
      <c r="Q267" s="199" t="s">
        <v>141</v>
      </c>
      <c r="R267" s="207" t="s">
        <v>173</v>
      </c>
      <c r="S267" s="197">
        <v>0.03</v>
      </c>
      <c r="T267" s="199" t="s">
        <v>782</v>
      </c>
      <c r="U267" s="199">
        <v>2010</v>
      </c>
      <c r="V267" s="256" t="s">
        <v>2722</v>
      </c>
      <c r="W267" s="205" t="s">
        <v>34</v>
      </c>
      <c r="X267" s="220" t="s">
        <v>146</v>
      </c>
      <c r="Y267" s="270" t="s">
        <v>1954</v>
      </c>
    </row>
    <row r="268" spans="1:25" s="30" customFormat="1" ht="69" x14ac:dyDescent="0.3">
      <c r="A268" s="250" t="s">
        <v>1095</v>
      </c>
      <c r="B268" s="251" t="s">
        <v>177</v>
      </c>
      <c r="C268" s="251" t="s">
        <v>139</v>
      </c>
      <c r="D268" s="199" t="s">
        <v>562</v>
      </c>
      <c r="E268" s="253" t="s">
        <v>464</v>
      </c>
      <c r="F268" s="254" t="s">
        <v>1048</v>
      </c>
      <c r="G268" s="186" t="s">
        <v>2027</v>
      </c>
      <c r="H268" s="184" t="s">
        <v>2027</v>
      </c>
      <c r="I268" s="199" t="s">
        <v>565</v>
      </c>
      <c r="J268" s="184" t="s">
        <v>58</v>
      </c>
      <c r="K268" s="184" t="s">
        <v>1391</v>
      </c>
      <c r="L268" s="184" t="s">
        <v>2027</v>
      </c>
      <c r="M268" s="194" t="s">
        <v>2027</v>
      </c>
      <c r="N268" s="199" t="s">
        <v>583</v>
      </c>
      <c r="O268" s="199" t="s">
        <v>145</v>
      </c>
      <c r="P268" s="199" t="s">
        <v>595</v>
      </c>
      <c r="Q268" s="199" t="s">
        <v>897</v>
      </c>
      <c r="R268" s="207" t="s">
        <v>35</v>
      </c>
      <c r="S268" s="203">
        <v>3.5000000000000003E-2</v>
      </c>
      <c r="T268" s="199" t="s">
        <v>32</v>
      </c>
      <c r="U268" s="199">
        <v>2016</v>
      </c>
      <c r="V268" s="254" t="s">
        <v>1174</v>
      </c>
      <c r="W268" s="205" t="s">
        <v>34</v>
      </c>
      <c r="X268" s="184" t="s">
        <v>2027</v>
      </c>
      <c r="Y268" s="270" t="s">
        <v>1954</v>
      </c>
    </row>
    <row r="269" spans="1:25" s="30" customFormat="1" ht="69" x14ac:dyDescent="0.3">
      <c r="A269" s="250" t="s">
        <v>1096</v>
      </c>
      <c r="B269" s="251" t="s">
        <v>177</v>
      </c>
      <c r="C269" s="251" t="s">
        <v>139</v>
      </c>
      <c r="D269" s="199" t="s">
        <v>562</v>
      </c>
      <c r="E269" s="253" t="s">
        <v>464</v>
      </c>
      <c r="F269" s="254" t="s">
        <v>1043</v>
      </c>
      <c r="G269" s="186" t="s">
        <v>2027</v>
      </c>
      <c r="H269" s="184" t="s">
        <v>2027</v>
      </c>
      <c r="I269" s="199" t="s">
        <v>1787</v>
      </c>
      <c r="J269" s="184" t="s">
        <v>58</v>
      </c>
      <c r="K269" s="184" t="s">
        <v>1391</v>
      </c>
      <c r="L269" s="184" t="s">
        <v>2027</v>
      </c>
      <c r="M269" s="194" t="s">
        <v>2027</v>
      </c>
      <c r="N269" s="199" t="s">
        <v>583</v>
      </c>
      <c r="O269" s="199" t="s">
        <v>145</v>
      </c>
      <c r="P269" s="199" t="s">
        <v>595</v>
      </c>
      <c r="Q269" s="199" t="s">
        <v>897</v>
      </c>
      <c r="R269" s="207" t="s">
        <v>35</v>
      </c>
      <c r="S269" s="203">
        <v>3.5000000000000003E-2</v>
      </c>
      <c r="T269" s="199" t="s">
        <v>32</v>
      </c>
      <c r="U269" s="199">
        <v>2016</v>
      </c>
      <c r="V269" s="254" t="s">
        <v>1174</v>
      </c>
      <c r="W269" s="205" t="s">
        <v>34</v>
      </c>
      <c r="X269" s="184" t="s">
        <v>2027</v>
      </c>
      <c r="Y269" s="270" t="s">
        <v>1954</v>
      </c>
    </row>
    <row r="270" spans="1:25" s="30" customFormat="1" ht="69" x14ac:dyDescent="0.3">
      <c r="A270" s="250" t="s">
        <v>1097</v>
      </c>
      <c r="B270" s="251" t="s">
        <v>177</v>
      </c>
      <c r="C270" s="251" t="s">
        <v>139</v>
      </c>
      <c r="D270" s="199" t="s">
        <v>562</v>
      </c>
      <c r="E270" s="253" t="s">
        <v>464</v>
      </c>
      <c r="F270" s="254" t="s">
        <v>1042</v>
      </c>
      <c r="G270" s="186" t="s">
        <v>2027</v>
      </c>
      <c r="H270" s="184" t="s">
        <v>2027</v>
      </c>
      <c r="I270" s="199" t="s">
        <v>564</v>
      </c>
      <c r="J270" s="184" t="s">
        <v>58</v>
      </c>
      <c r="K270" s="184" t="s">
        <v>1391</v>
      </c>
      <c r="L270" s="184" t="s">
        <v>2027</v>
      </c>
      <c r="M270" s="194" t="s">
        <v>2027</v>
      </c>
      <c r="N270" s="199" t="s">
        <v>583</v>
      </c>
      <c r="O270" s="199" t="s">
        <v>145</v>
      </c>
      <c r="P270" s="199" t="s">
        <v>595</v>
      </c>
      <c r="Q270" s="199" t="s">
        <v>897</v>
      </c>
      <c r="R270" s="207" t="s">
        <v>35</v>
      </c>
      <c r="S270" s="203">
        <v>3.5000000000000003E-2</v>
      </c>
      <c r="T270" s="199" t="s">
        <v>32</v>
      </c>
      <c r="U270" s="199">
        <v>2016</v>
      </c>
      <c r="V270" s="254" t="s">
        <v>1174</v>
      </c>
      <c r="W270" s="205" t="s">
        <v>34</v>
      </c>
      <c r="X270" s="184" t="s">
        <v>2027</v>
      </c>
      <c r="Y270" s="270" t="s">
        <v>1954</v>
      </c>
    </row>
    <row r="271" spans="1:25" s="30" customFormat="1" ht="69" x14ac:dyDescent="0.3">
      <c r="A271" s="250" t="s">
        <v>1098</v>
      </c>
      <c r="B271" s="251" t="s">
        <v>177</v>
      </c>
      <c r="C271" s="251" t="s">
        <v>139</v>
      </c>
      <c r="D271" s="199" t="s">
        <v>562</v>
      </c>
      <c r="E271" s="253" t="s">
        <v>464</v>
      </c>
      <c r="F271" s="211" t="s">
        <v>1041</v>
      </c>
      <c r="G271" s="186" t="s">
        <v>2027</v>
      </c>
      <c r="H271" s="184" t="s">
        <v>2027</v>
      </c>
      <c r="I271" s="199" t="s">
        <v>563</v>
      </c>
      <c r="J271" s="184" t="s">
        <v>58</v>
      </c>
      <c r="K271" s="184" t="s">
        <v>1391</v>
      </c>
      <c r="L271" s="184" t="s">
        <v>2027</v>
      </c>
      <c r="M271" s="194" t="s">
        <v>2027</v>
      </c>
      <c r="N271" s="199" t="s">
        <v>583</v>
      </c>
      <c r="O271" s="199" t="s">
        <v>145</v>
      </c>
      <c r="P271" s="199" t="s">
        <v>595</v>
      </c>
      <c r="Q271" s="199" t="s">
        <v>897</v>
      </c>
      <c r="R271" s="207" t="s">
        <v>35</v>
      </c>
      <c r="S271" s="203">
        <v>3.5000000000000003E-2</v>
      </c>
      <c r="T271" s="199" t="s">
        <v>32</v>
      </c>
      <c r="U271" s="199">
        <v>2016</v>
      </c>
      <c r="V271" s="254" t="s">
        <v>1174</v>
      </c>
      <c r="W271" s="205" t="s">
        <v>34</v>
      </c>
      <c r="X271" s="184" t="s">
        <v>2027</v>
      </c>
      <c r="Y271" s="270" t="s">
        <v>1954</v>
      </c>
    </row>
    <row r="272" spans="1:25" s="30" customFormat="1" ht="69" x14ac:dyDescent="0.3">
      <c r="A272" s="250" t="s">
        <v>1099</v>
      </c>
      <c r="B272" s="251" t="s">
        <v>177</v>
      </c>
      <c r="C272" s="251" t="s">
        <v>139</v>
      </c>
      <c r="D272" s="199" t="s">
        <v>562</v>
      </c>
      <c r="E272" s="253" t="s">
        <v>464</v>
      </c>
      <c r="F272" s="254" t="s">
        <v>1040</v>
      </c>
      <c r="G272" s="186" t="s">
        <v>2027</v>
      </c>
      <c r="H272" s="184" t="s">
        <v>2027</v>
      </c>
      <c r="I272" s="199" t="s">
        <v>566</v>
      </c>
      <c r="J272" s="184" t="s">
        <v>58</v>
      </c>
      <c r="K272" s="184" t="s">
        <v>1391</v>
      </c>
      <c r="L272" s="184" t="s">
        <v>2027</v>
      </c>
      <c r="M272" s="194" t="s">
        <v>2027</v>
      </c>
      <c r="N272" s="199" t="s">
        <v>583</v>
      </c>
      <c r="O272" s="199" t="s">
        <v>145</v>
      </c>
      <c r="P272" s="199" t="s">
        <v>595</v>
      </c>
      <c r="Q272" s="199" t="s">
        <v>897</v>
      </c>
      <c r="R272" s="207" t="s">
        <v>35</v>
      </c>
      <c r="S272" s="203">
        <v>3.5000000000000003E-2</v>
      </c>
      <c r="T272" s="199" t="s">
        <v>32</v>
      </c>
      <c r="U272" s="199">
        <v>2016</v>
      </c>
      <c r="V272" s="254" t="s">
        <v>1174</v>
      </c>
      <c r="W272" s="205" t="s">
        <v>34</v>
      </c>
      <c r="X272" s="184" t="s">
        <v>2027</v>
      </c>
      <c r="Y272" s="270" t="s">
        <v>1954</v>
      </c>
    </row>
    <row r="273" spans="1:25" s="30" customFormat="1" ht="317.39999999999998" x14ac:dyDescent="0.3">
      <c r="A273" s="250" t="s">
        <v>1100</v>
      </c>
      <c r="B273" s="251" t="s">
        <v>177</v>
      </c>
      <c r="C273" s="251" t="s">
        <v>139</v>
      </c>
      <c r="D273" s="184" t="s">
        <v>562</v>
      </c>
      <c r="E273" s="253" t="s">
        <v>464</v>
      </c>
      <c r="F273" s="184" t="s">
        <v>2027</v>
      </c>
      <c r="G273" s="186" t="s">
        <v>2027</v>
      </c>
      <c r="H273" s="254" t="s">
        <v>328</v>
      </c>
      <c r="I273" s="184" t="s">
        <v>1788</v>
      </c>
      <c r="J273" s="184" t="s">
        <v>335</v>
      </c>
      <c r="K273" s="184" t="s">
        <v>397</v>
      </c>
      <c r="L273" s="184" t="s">
        <v>333</v>
      </c>
      <c r="M273" s="184" t="s">
        <v>334</v>
      </c>
      <c r="N273" s="184" t="s">
        <v>1789</v>
      </c>
      <c r="O273" s="184" t="s">
        <v>27</v>
      </c>
      <c r="P273" s="184" t="s">
        <v>595</v>
      </c>
      <c r="Q273" s="184" t="s">
        <v>109</v>
      </c>
      <c r="R273" s="187" t="s">
        <v>332</v>
      </c>
      <c r="S273" s="221" t="s">
        <v>331</v>
      </c>
      <c r="T273" s="184" t="s">
        <v>414</v>
      </c>
      <c r="U273" s="184">
        <v>2015</v>
      </c>
      <c r="V273" s="254" t="s">
        <v>1790</v>
      </c>
      <c r="W273" s="188" t="s">
        <v>34</v>
      </c>
      <c r="X273" s="220" t="s">
        <v>574</v>
      </c>
      <c r="Y273" s="270" t="s">
        <v>1954</v>
      </c>
    </row>
    <row r="274" spans="1:25" s="30" customFormat="1" ht="262.2" x14ac:dyDescent="0.3">
      <c r="A274" s="250" t="s">
        <v>1101</v>
      </c>
      <c r="B274" s="251" t="s">
        <v>177</v>
      </c>
      <c r="C274" s="251" t="s">
        <v>139</v>
      </c>
      <c r="D274" s="184" t="s">
        <v>562</v>
      </c>
      <c r="E274" s="253" t="s">
        <v>464</v>
      </c>
      <c r="F274" s="184" t="s">
        <v>2027</v>
      </c>
      <c r="G274" s="186" t="s">
        <v>2027</v>
      </c>
      <c r="H274" s="254" t="s">
        <v>328</v>
      </c>
      <c r="I274" s="184" t="s">
        <v>1370</v>
      </c>
      <c r="J274" s="184" t="s">
        <v>36</v>
      </c>
      <c r="K274" s="184" t="s">
        <v>397</v>
      </c>
      <c r="L274" s="184" t="s">
        <v>336</v>
      </c>
      <c r="M274" s="187" t="s">
        <v>337</v>
      </c>
      <c r="N274" s="184" t="s">
        <v>338</v>
      </c>
      <c r="O274" s="187" t="s">
        <v>27</v>
      </c>
      <c r="P274" s="187" t="s">
        <v>595</v>
      </c>
      <c r="Q274" s="184" t="s">
        <v>287</v>
      </c>
      <c r="R274" s="187" t="s">
        <v>173</v>
      </c>
      <c r="S274" s="241">
        <v>0.03</v>
      </c>
      <c r="T274" s="184" t="s">
        <v>784</v>
      </c>
      <c r="U274" s="184">
        <v>2016</v>
      </c>
      <c r="V274" s="254" t="s">
        <v>1166</v>
      </c>
      <c r="W274" s="188" t="s">
        <v>34</v>
      </c>
      <c r="X274" s="184" t="s">
        <v>2027</v>
      </c>
      <c r="Y274" s="270" t="s">
        <v>1954</v>
      </c>
    </row>
    <row r="275" spans="1:25" s="30" customFormat="1" ht="207" x14ac:dyDescent="0.3">
      <c r="A275" s="250" t="s">
        <v>1102</v>
      </c>
      <c r="B275" s="251" t="s">
        <v>177</v>
      </c>
      <c r="C275" s="251" t="s">
        <v>139</v>
      </c>
      <c r="D275" s="184" t="s">
        <v>562</v>
      </c>
      <c r="E275" s="253" t="s">
        <v>464</v>
      </c>
      <c r="F275" s="254" t="s">
        <v>1038</v>
      </c>
      <c r="G275" s="186" t="s">
        <v>2027</v>
      </c>
      <c r="H275" s="254" t="s">
        <v>328</v>
      </c>
      <c r="I275" s="184" t="s">
        <v>1371</v>
      </c>
      <c r="J275" s="184" t="s">
        <v>341</v>
      </c>
      <c r="K275" s="184" t="s">
        <v>397</v>
      </c>
      <c r="L275" s="184" t="s">
        <v>339</v>
      </c>
      <c r="M275" s="194" t="s">
        <v>2027</v>
      </c>
      <c r="N275" s="184" t="s">
        <v>524</v>
      </c>
      <c r="O275" s="187" t="s">
        <v>27</v>
      </c>
      <c r="P275" s="187" t="s">
        <v>595</v>
      </c>
      <c r="Q275" s="184" t="s">
        <v>342</v>
      </c>
      <c r="R275" s="187" t="s">
        <v>173</v>
      </c>
      <c r="S275" s="187" t="s">
        <v>2027</v>
      </c>
      <c r="T275" s="184" t="s">
        <v>779</v>
      </c>
      <c r="U275" s="184">
        <v>2015</v>
      </c>
      <c r="V275" s="254" t="s">
        <v>1165</v>
      </c>
      <c r="W275" s="188" t="s">
        <v>34</v>
      </c>
      <c r="X275" s="184" t="s">
        <v>2027</v>
      </c>
      <c r="Y275" s="270" t="s">
        <v>1954</v>
      </c>
    </row>
    <row r="276" spans="1:25" s="30" customFormat="1" ht="234.6" x14ac:dyDescent="0.3">
      <c r="A276" s="250" t="s">
        <v>1103</v>
      </c>
      <c r="B276" s="251" t="s">
        <v>177</v>
      </c>
      <c r="C276" s="251" t="s">
        <v>139</v>
      </c>
      <c r="D276" s="184" t="s">
        <v>562</v>
      </c>
      <c r="E276" s="253" t="s">
        <v>464</v>
      </c>
      <c r="F276" s="184" t="s">
        <v>2027</v>
      </c>
      <c r="G276" s="186" t="s">
        <v>2027</v>
      </c>
      <c r="H276" s="254" t="s">
        <v>328</v>
      </c>
      <c r="I276" s="184" t="s">
        <v>573</v>
      </c>
      <c r="J276" s="184" t="s">
        <v>36</v>
      </c>
      <c r="K276" s="184" t="s">
        <v>397</v>
      </c>
      <c r="L276" s="184" t="s">
        <v>344</v>
      </c>
      <c r="M276" s="184" t="s">
        <v>343</v>
      </c>
      <c r="N276" s="184" t="s">
        <v>899</v>
      </c>
      <c r="O276" s="184" t="s">
        <v>345</v>
      </c>
      <c r="P276" s="184" t="s">
        <v>595</v>
      </c>
      <c r="Q276" s="184" t="s">
        <v>346</v>
      </c>
      <c r="R276" s="187" t="s">
        <v>206</v>
      </c>
      <c r="S276" s="242">
        <v>0.05</v>
      </c>
      <c r="T276" s="184" t="s">
        <v>300</v>
      </c>
      <c r="U276" s="184">
        <v>2015</v>
      </c>
      <c r="V276" s="254" t="s">
        <v>1164</v>
      </c>
      <c r="W276" s="188" t="s">
        <v>34</v>
      </c>
      <c r="X276" s="220" t="s">
        <v>1413</v>
      </c>
      <c r="Y276" s="270" t="s">
        <v>1954</v>
      </c>
    </row>
    <row r="277" spans="1:25" s="30" customFormat="1" ht="193.2" x14ac:dyDescent="0.3">
      <c r="A277" s="250" t="s">
        <v>1104</v>
      </c>
      <c r="B277" s="251" t="s">
        <v>177</v>
      </c>
      <c r="C277" s="251" t="s">
        <v>139</v>
      </c>
      <c r="D277" s="201" t="s">
        <v>149</v>
      </c>
      <c r="E277" s="253" t="s">
        <v>464</v>
      </c>
      <c r="F277" s="219" t="s">
        <v>1039</v>
      </c>
      <c r="G277" s="186" t="s">
        <v>2027</v>
      </c>
      <c r="H277" s="184" t="s">
        <v>2027</v>
      </c>
      <c r="I277" s="184" t="s">
        <v>1258</v>
      </c>
      <c r="J277" s="184" t="s">
        <v>58</v>
      </c>
      <c r="K277" s="184" t="s">
        <v>396</v>
      </c>
      <c r="L277" s="184" t="s">
        <v>2027</v>
      </c>
      <c r="M277" s="184" t="s">
        <v>26</v>
      </c>
      <c r="N277" s="199" t="s">
        <v>1791</v>
      </c>
      <c r="O277" s="199" t="s">
        <v>147</v>
      </c>
      <c r="P277" s="199" t="s">
        <v>595</v>
      </c>
      <c r="Q277" s="199" t="s">
        <v>148</v>
      </c>
      <c r="R277" s="207" t="s">
        <v>35</v>
      </c>
      <c r="S277" s="187" t="s">
        <v>2027</v>
      </c>
      <c r="T277" s="199" t="s">
        <v>32</v>
      </c>
      <c r="U277" s="199">
        <v>2011</v>
      </c>
      <c r="V277" s="256" t="s">
        <v>1171</v>
      </c>
      <c r="W277" s="188" t="s">
        <v>34</v>
      </c>
      <c r="X277" s="220" t="s">
        <v>146</v>
      </c>
      <c r="Y277" s="270" t="s">
        <v>1954</v>
      </c>
    </row>
    <row r="278" spans="1:25" s="30" customFormat="1" ht="358.8" x14ac:dyDescent="0.3">
      <c r="A278" s="250" t="s">
        <v>1105</v>
      </c>
      <c r="B278" s="251" t="s">
        <v>177</v>
      </c>
      <c r="C278" s="251" t="s">
        <v>139</v>
      </c>
      <c r="D278" s="201" t="s">
        <v>238</v>
      </c>
      <c r="E278" s="253" t="s">
        <v>464</v>
      </c>
      <c r="F278" s="256" t="s">
        <v>1065</v>
      </c>
      <c r="G278" s="186" t="s">
        <v>2027</v>
      </c>
      <c r="H278" s="184" t="s">
        <v>2027</v>
      </c>
      <c r="I278" s="254" t="s">
        <v>568</v>
      </c>
      <c r="J278" s="184" t="s">
        <v>58</v>
      </c>
      <c r="K278" s="184" t="s">
        <v>396</v>
      </c>
      <c r="L278" s="184" t="s">
        <v>2027</v>
      </c>
      <c r="M278" s="194" t="s">
        <v>2027</v>
      </c>
      <c r="N278" s="184" t="s">
        <v>1792</v>
      </c>
      <c r="O278" s="199" t="s">
        <v>157</v>
      </c>
      <c r="P278" s="199" t="s">
        <v>595</v>
      </c>
      <c r="Q278" s="187" t="s">
        <v>2027</v>
      </c>
      <c r="R278" s="207" t="s">
        <v>35</v>
      </c>
      <c r="S278" s="187" t="s">
        <v>2027</v>
      </c>
      <c r="T278" s="199" t="s">
        <v>32</v>
      </c>
      <c r="U278" s="199">
        <v>2013</v>
      </c>
      <c r="V278" s="254" t="s">
        <v>1173</v>
      </c>
      <c r="W278" s="188" t="s">
        <v>34</v>
      </c>
      <c r="X278" s="184" t="s">
        <v>2027</v>
      </c>
      <c r="Y278" s="270" t="s">
        <v>1954</v>
      </c>
    </row>
    <row r="279" spans="1:25" s="30" customFormat="1" ht="110.4" x14ac:dyDescent="0.3">
      <c r="A279" s="250" t="s">
        <v>1499</v>
      </c>
      <c r="B279" s="251" t="s">
        <v>177</v>
      </c>
      <c r="C279" s="251" t="s">
        <v>139</v>
      </c>
      <c r="D279" s="201" t="s">
        <v>569</v>
      </c>
      <c r="E279" s="253" t="s">
        <v>464</v>
      </c>
      <c r="F279" s="256" t="s">
        <v>294</v>
      </c>
      <c r="G279" s="186" t="s">
        <v>2027</v>
      </c>
      <c r="H279" s="184" t="s">
        <v>2027</v>
      </c>
      <c r="I279" s="184" t="s">
        <v>202</v>
      </c>
      <c r="J279" s="184" t="s">
        <v>58</v>
      </c>
      <c r="K279" s="184" t="s">
        <v>397</v>
      </c>
      <c r="L279" s="184" t="s">
        <v>2027</v>
      </c>
      <c r="M279" s="194" t="s">
        <v>2027</v>
      </c>
      <c r="N279" s="184" t="s">
        <v>1032</v>
      </c>
      <c r="O279" s="184" t="s">
        <v>2027</v>
      </c>
      <c r="P279" s="187" t="s">
        <v>595</v>
      </c>
      <c r="Q279" s="187" t="s">
        <v>2027</v>
      </c>
      <c r="R279" s="207" t="s">
        <v>173</v>
      </c>
      <c r="S279" s="187" t="s">
        <v>2027</v>
      </c>
      <c r="T279" s="199" t="s">
        <v>779</v>
      </c>
      <c r="U279" s="199">
        <v>2010</v>
      </c>
      <c r="V279" s="256" t="s">
        <v>1259</v>
      </c>
      <c r="W279" s="188" t="s">
        <v>34</v>
      </c>
      <c r="X279" s="184" t="s">
        <v>2027</v>
      </c>
      <c r="Y279" s="270" t="s">
        <v>1954</v>
      </c>
    </row>
    <row r="280" spans="1:25" s="30" customFormat="1" ht="165.6" x14ac:dyDescent="0.3">
      <c r="A280" s="250" t="s">
        <v>1500</v>
      </c>
      <c r="B280" s="251" t="s">
        <v>177</v>
      </c>
      <c r="C280" s="251" t="s">
        <v>139</v>
      </c>
      <c r="D280" s="201" t="s">
        <v>238</v>
      </c>
      <c r="E280" s="253" t="s">
        <v>464</v>
      </c>
      <c r="F280" s="256" t="s">
        <v>1066</v>
      </c>
      <c r="G280" s="186" t="s">
        <v>2027</v>
      </c>
      <c r="H280" s="184" t="s">
        <v>2027</v>
      </c>
      <c r="I280" s="184" t="s">
        <v>1260</v>
      </c>
      <c r="J280" s="184" t="s">
        <v>58</v>
      </c>
      <c r="K280" s="184" t="s">
        <v>396</v>
      </c>
      <c r="L280" s="184" t="s">
        <v>2027</v>
      </c>
      <c r="M280" s="194" t="s">
        <v>2027</v>
      </c>
      <c r="N280" s="184" t="s">
        <v>1261</v>
      </c>
      <c r="O280" s="184" t="s">
        <v>2027</v>
      </c>
      <c r="P280" s="187" t="s">
        <v>595</v>
      </c>
      <c r="Q280" s="184" t="s">
        <v>196</v>
      </c>
      <c r="R280" s="207" t="s">
        <v>35</v>
      </c>
      <c r="S280" s="203">
        <v>3.5000000000000003E-2</v>
      </c>
      <c r="T280" s="199" t="s">
        <v>775</v>
      </c>
      <c r="U280" s="199">
        <v>2006</v>
      </c>
      <c r="V280" s="256" t="s">
        <v>1172</v>
      </c>
      <c r="W280" s="188" t="s">
        <v>34</v>
      </c>
      <c r="X280" s="184" t="s">
        <v>2027</v>
      </c>
      <c r="Y280" s="270" t="s">
        <v>1954</v>
      </c>
    </row>
    <row r="281" spans="1:25" s="30" customFormat="1" ht="82.8" x14ac:dyDescent="0.3">
      <c r="A281" s="250" t="s">
        <v>1501</v>
      </c>
      <c r="B281" s="251" t="s">
        <v>177</v>
      </c>
      <c r="C281" s="251" t="s">
        <v>139</v>
      </c>
      <c r="D281" s="184" t="s">
        <v>552</v>
      </c>
      <c r="E281" s="253" t="s">
        <v>464</v>
      </c>
      <c r="F281" s="184" t="s">
        <v>2027</v>
      </c>
      <c r="G281" s="186" t="s">
        <v>2027</v>
      </c>
      <c r="H281" s="184" t="s">
        <v>2027</v>
      </c>
      <c r="I281" s="184" t="s">
        <v>570</v>
      </c>
      <c r="J281" s="255" t="s">
        <v>2027</v>
      </c>
      <c r="K281" s="184" t="s">
        <v>397</v>
      </c>
      <c r="L281" s="184" t="s">
        <v>2027</v>
      </c>
      <c r="M281" s="194" t="s">
        <v>2027</v>
      </c>
      <c r="N281" s="184" t="s">
        <v>575</v>
      </c>
      <c r="O281" s="199" t="s">
        <v>769</v>
      </c>
      <c r="P281" s="187" t="s">
        <v>595</v>
      </c>
      <c r="Q281" s="199" t="s">
        <v>572</v>
      </c>
      <c r="R281" s="207" t="s">
        <v>35</v>
      </c>
      <c r="S281" s="190">
        <v>3.5000000000000003E-2</v>
      </c>
      <c r="T281" s="199" t="s">
        <v>571</v>
      </c>
      <c r="U281" s="199">
        <v>2011</v>
      </c>
      <c r="V281" s="256" t="s">
        <v>1171</v>
      </c>
      <c r="W281" s="188" t="s">
        <v>34</v>
      </c>
      <c r="X281" s="184" t="s">
        <v>2027</v>
      </c>
      <c r="Y281" s="270" t="s">
        <v>1954</v>
      </c>
    </row>
    <row r="282" spans="1:25" s="30" customFormat="1" ht="124.2" x14ac:dyDescent="0.3">
      <c r="A282" s="250" t="s">
        <v>1502</v>
      </c>
      <c r="B282" s="251" t="s">
        <v>177</v>
      </c>
      <c r="C282" s="251" t="s">
        <v>139</v>
      </c>
      <c r="D282" s="184" t="s">
        <v>208</v>
      </c>
      <c r="E282" s="253" t="s">
        <v>464</v>
      </c>
      <c r="F282" s="243" t="s">
        <v>295</v>
      </c>
      <c r="G282" s="186" t="s">
        <v>2027</v>
      </c>
      <c r="H282" s="184" t="s">
        <v>2027</v>
      </c>
      <c r="I282" s="184" t="s">
        <v>1263</v>
      </c>
      <c r="J282" s="184" t="s">
        <v>58</v>
      </c>
      <c r="K282" s="184" t="s">
        <v>396</v>
      </c>
      <c r="L282" s="184" t="s">
        <v>2027</v>
      </c>
      <c r="M282" s="194" t="s">
        <v>2027</v>
      </c>
      <c r="N282" s="184" t="s">
        <v>1262</v>
      </c>
      <c r="O282" s="184" t="s">
        <v>2027</v>
      </c>
      <c r="P282" s="187" t="s">
        <v>595</v>
      </c>
      <c r="Q282" s="187" t="s">
        <v>2027</v>
      </c>
      <c r="R282" s="207" t="s">
        <v>173</v>
      </c>
      <c r="S282" s="187" t="s">
        <v>2027</v>
      </c>
      <c r="T282" s="199" t="s">
        <v>783</v>
      </c>
      <c r="U282" s="199">
        <v>2004</v>
      </c>
      <c r="V282" s="256" t="s">
        <v>1170</v>
      </c>
      <c r="W282" s="188" t="s">
        <v>34</v>
      </c>
      <c r="X282" s="184" t="s">
        <v>2027</v>
      </c>
      <c r="Y282" s="270" t="s">
        <v>1954</v>
      </c>
    </row>
    <row r="283" spans="1:25" s="30" customFormat="1" ht="124.2" x14ac:dyDescent="0.3">
      <c r="A283" s="250" t="s">
        <v>1503</v>
      </c>
      <c r="B283" s="251" t="s">
        <v>177</v>
      </c>
      <c r="C283" s="251" t="s">
        <v>139</v>
      </c>
      <c r="D283" s="184" t="s">
        <v>238</v>
      </c>
      <c r="E283" s="253" t="s">
        <v>464</v>
      </c>
      <c r="F283" s="254" t="s">
        <v>296</v>
      </c>
      <c r="G283" s="186" t="s">
        <v>2027</v>
      </c>
      <c r="H283" s="184" t="s">
        <v>2027</v>
      </c>
      <c r="I283" s="184" t="s">
        <v>239</v>
      </c>
      <c r="J283" s="184" t="s">
        <v>58</v>
      </c>
      <c r="K283" s="184" t="s">
        <v>397</v>
      </c>
      <c r="L283" s="184" t="s">
        <v>2027</v>
      </c>
      <c r="M283" s="194" t="s">
        <v>2027</v>
      </c>
      <c r="N283" s="184" t="s">
        <v>240</v>
      </c>
      <c r="O283" s="187" t="s">
        <v>157</v>
      </c>
      <c r="P283" s="187" t="s">
        <v>595</v>
      </c>
      <c r="Q283" s="184" t="s">
        <v>241</v>
      </c>
      <c r="R283" s="187" t="s">
        <v>173</v>
      </c>
      <c r="S283" s="187" t="s">
        <v>2027</v>
      </c>
      <c r="T283" s="184" t="s">
        <v>779</v>
      </c>
      <c r="U283" s="184">
        <v>2008</v>
      </c>
      <c r="V283" s="256" t="s">
        <v>1168</v>
      </c>
      <c r="W283" s="188" t="s">
        <v>34</v>
      </c>
      <c r="X283" s="184" t="s">
        <v>2027</v>
      </c>
      <c r="Y283" s="270" t="s">
        <v>1954</v>
      </c>
    </row>
    <row r="284" spans="1:25" s="30" customFormat="1" ht="193.2" x14ac:dyDescent="0.3">
      <c r="A284" s="250" t="s">
        <v>1504</v>
      </c>
      <c r="B284" s="251" t="s">
        <v>177</v>
      </c>
      <c r="C284" s="251" t="s">
        <v>139</v>
      </c>
      <c r="D284" s="184" t="s">
        <v>238</v>
      </c>
      <c r="E284" s="253" t="s">
        <v>464</v>
      </c>
      <c r="F284" s="254" t="s">
        <v>297</v>
      </c>
      <c r="G284" s="186" t="s">
        <v>2027</v>
      </c>
      <c r="H284" s="184" t="s">
        <v>2027</v>
      </c>
      <c r="I284" s="184" t="s">
        <v>1264</v>
      </c>
      <c r="J284" s="255" t="s">
        <v>2027</v>
      </c>
      <c r="K284" s="184" t="s">
        <v>397</v>
      </c>
      <c r="L284" s="184" t="s">
        <v>275</v>
      </c>
      <c r="M284" s="184" t="s">
        <v>278</v>
      </c>
      <c r="N284" s="184" t="s">
        <v>276</v>
      </c>
      <c r="O284" s="184" t="s">
        <v>2027</v>
      </c>
      <c r="P284" s="187" t="s">
        <v>595</v>
      </c>
      <c r="Q284" s="184" t="s">
        <v>277</v>
      </c>
      <c r="R284" s="187" t="s">
        <v>173</v>
      </c>
      <c r="S284" s="197">
        <v>0.03</v>
      </c>
      <c r="T284" s="184" t="s">
        <v>781</v>
      </c>
      <c r="U284" s="184">
        <v>2005</v>
      </c>
      <c r="V284" s="256" t="s">
        <v>1167</v>
      </c>
      <c r="W284" s="188" t="s">
        <v>34</v>
      </c>
      <c r="X284" s="184" t="s">
        <v>2027</v>
      </c>
      <c r="Y284" s="270" t="s">
        <v>1954</v>
      </c>
    </row>
    <row r="285" spans="1:25" ht="202.5" customHeight="1" x14ac:dyDescent="0.3">
      <c r="A285" s="250" t="s">
        <v>2211</v>
      </c>
      <c r="B285" s="251" t="s">
        <v>2200</v>
      </c>
      <c r="C285" s="251" t="s">
        <v>2201</v>
      </c>
      <c r="D285" s="255" t="s">
        <v>2202</v>
      </c>
      <c r="E285" s="253" t="s">
        <v>464</v>
      </c>
      <c r="F285" s="201" t="s">
        <v>2027</v>
      </c>
      <c r="G285" s="257">
        <v>1939</v>
      </c>
      <c r="H285" s="255" t="s">
        <v>2027</v>
      </c>
      <c r="I285" s="255" t="s">
        <v>2203</v>
      </c>
      <c r="J285" s="255" t="s">
        <v>2204</v>
      </c>
      <c r="K285" s="256" t="s">
        <v>1391</v>
      </c>
      <c r="L285" s="255" t="s">
        <v>2205</v>
      </c>
      <c r="M285" s="255" t="s">
        <v>2206</v>
      </c>
      <c r="N285" s="255" t="s">
        <v>2664</v>
      </c>
      <c r="O285" s="255" t="s">
        <v>2207</v>
      </c>
      <c r="P285" s="187" t="s">
        <v>2027</v>
      </c>
      <c r="Q285" s="255" t="s">
        <v>2208</v>
      </c>
      <c r="R285" s="258" t="s">
        <v>35</v>
      </c>
      <c r="S285" s="191" t="s">
        <v>2209</v>
      </c>
      <c r="T285" s="255" t="s">
        <v>32</v>
      </c>
      <c r="U285" s="260">
        <v>2018</v>
      </c>
      <c r="V285" s="254" t="s">
        <v>2473</v>
      </c>
      <c r="W285" s="192" t="s">
        <v>2210</v>
      </c>
      <c r="X285" s="184" t="s">
        <v>2723</v>
      </c>
      <c r="Y285" s="187">
        <v>2019</v>
      </c>
    </row>
    <row r="286" spans="1:25" ht="96.6" x14ac:dyDescent="0.3">
      <c r="A286" s="250" t="s">
        <v>2217</v>
      </c>
      <c r="B286" s="251" t="s">
        <v>2200</v>
      </c>
      <c r="C286" s="251" t="s">
        <v>2201</v>
      </c>
      <c r="D286" s="255" t="s">
        <v>2212</v>
      </c>
      <c r="E286" s="253" t="s">
        <v>464</v>
      </c>
      <c r="F286" s="201" t="s">
        <v>2027</v>
      </c>
      <c r="G286" s="257" t="s">
        <v>249</v>
      </c>
      <c r="H286" s="255" t="s">
        <v>2662</v>
      </c>
      <c r="I286" s="255" t="s">
        <v>2663</v>
      </c>
      <c r="J286" s="255" t="s">
        <v>2204</v>
      </c>
      <c r="K286" s="256" t="s">
        <v>1391</v>
      </c>
      <c r="L286" s="255" t="s">
        <v>2213</v>
      </c>
      <c r="M286" s="255" t="s">
        <v>2214</v>
      </c>
      <c r="N286" s="255" t="s">
        <v>2665</v>
      </c>
      <c r="O286" s="255" t="s">
        <v>2215</v>
      </c>
      <c r="P286" s="187" t="s">
        <v>2027</v>
      </c>
      <c r="Q286" s="255" t="s">
        <v>2216</v>
      </c>
      <c r="R286" s="258" t="s">
        <v>35</v>
      </c>
      <c r="S286" s="259">
        <v>3.5000000000000003E-2</v>
      </c>
      <c r="T286" s="255" t="s">
        <v>32</v>
      </c>
      <c r="U286" s="260">
        <v>2018</v>
      </c>
      <c r="V286" s="254" t="s">
        <v>2473</v>
      </c>
      <c r="W286" s="192" t="s">
        <v>2210</v>
      </c>
      <c r="X286" s="184" t="s">
        <v>2618</v>
      </c>
      <c r="Y286" s="187">
        <v>2019</v>
      </c>
    </row>
    <row r="287" spans="1:25" ht="138" x14ac:dyDescent="0.3">
      <c r="A287" s="250" t="s">
        <v>2335</v>
      </c>
      <c r="B287" s="251" t="s">
        <v>177</v>
      </c>
      <c r="C287" s="251" t="s">
        <v>912</v>
      </c>
      <c r="D287" s="184" t="s">
        <v>2330</v>
      </c>
      <c r="E287" s="253" t="s">
        <v>464</v>
      </c>
      <c r="F287" s="184" t="s">
        <v>2331</v>
      </c>
      <c r="G287" s="257" t="s">
        <v>2027</v>
      </c>
      <c r="H287" s="255" t="s">
        <v>2027</v>
      </c>
      <c r="I287" s="184" t="s">
        <v>2724</v>
      </c>
      <c r="J287" s="184" t="s">
        <v>58</v>
      </c>
      <c r="K287" s="184" t="s">
        <v>2252</v>
      </c>
      <c r="L287" s="184" t="s">
        <v>2332</v>
      </c>
      <c r="M287" s="184" t="s">
        <v>2333</v>
      </c>
      <c r="N287" s="184" t="s">
        <v>2725</v>
      </c>
      <c r="O287" s="184" t="s">
        <v>245</v>
      </c>
      <c r="P287" s="184" t="s">
        <v>2027</v>
      </c>
      <c r="Q287" s="255" t="s">
        <v>2276</v>
      </c>
      <c r="R287" s="187" t="s">
        <v>173</v>
      </c>
      <c r="S287" s="190">
        <v>0.03</v>
      </c>
      <c r="T287" s="184" t="s">
        <v>2334</v>
      </c>
      <c r="U287" s="184">
        <v>2011</v>
      </c>
      <c r="V287" s="256" t="s">
        <v>2726</v>
      </c>
      <c r="W287" s="261" t="s">
        <v>34</v>
      </c>
      <c r="X287" s="184" t="s">
        <v>2027</v>
      </c>
      <c r="Y287" s="187">
        <v>2019</v>
      </c>
    </row>
    <row r="288" spans="1:25" ht="96.6" x14ac:dyDescent="0.3">
      <c r="A288" s="250" t="s">
        <v>2340</v>
      </c>
      <c r="B288" s="251" t="s">
        <v>177</v>
      </c>
      <c r="C288" s="251" t="s">
        <v>912</v>
      </c>
      <c r="D288" s="184" t="s">
        <v>2336</v>
      </c>
      <c r="E288" s="253" t="s">
        <v>464</v>
      </c>
      <c r="F288" s="184" t="s">
        <v>2337</v>
      </c>
      <c r="G288" s="257" t="s">
        <v>2027</v>
      </c>
      <c r="H288" s="255" t="s">
        <v>2027</v>
      </c>
      <c r="I288" s="184" t="s">
        <v>2727</v>
      </c>
      <c r="J288" s="184" t="s">
        <v>58</v>
      </c>
      <c r="K288" s="184" t="s">
        <v>2252</v>
      </c>
      <c r="L288" s="184" t="s">
        <v>2338</v>
      </c>
      <c r="M288" s="184" t="s">
        <v>2333</v>
      </c>
      <c r="N288" s="184" t="s">
        <v>2339</v>
      </c>
      <c r="O288" s="184" t="s">
        <v>245</v>
      </c>
      <c r="P288" s="184" t="s">
        <v>2027</v>
      </c>
      <c r="Q288" s="255" t="s">
        <v>2276</v>
      </c>
      <c r="R288" s="187" t="s">
        <v>173</v>
      </c>
      <c r="S288" s="190">
        <v>0.03</v>
      </c>
      <c r="T288" s="184" t="s">
        <v>2334</v>
      </c>
      <c r="U288" s="184">
        <v>2011</v>
      </c>
      <c r="V288" s="256" t="s">
        <v>2726</v>
      </c>
      <c r="W288" s="261" t="s">
        <v>34</v>
      </c>
      <c r="X288" s="184" t="s">
        <v>2027</v>
      </c>
      <c r="Y288" s="187">
        <v>2019</v>
      </c>
    </row>
    <row r="289" spans="1:25" ht="276" x14ac:dyDescent="0.3">
      <c r="A289" s="250" t="s">
        <v>2577</v>
      </c>
      <c r="B289" s="251" t="s">
        <v>177</v>
      </c>
      <c r="C289" s="251" t="s">
        <v>2573</v>
      </c>
      <c r="D289" s="184" t="s">
        <v>2574</v>
      </c>
      <c r="E289" s="253" t="s">
        <v>464</v>
      </c>
      <c r="F289" s="255" t="s">
        <v>2674</v>
      </c>
      <c r="G289" s="257" t="s">
        <v>2027</v>
      </c>
      <c r="H289" s="255" t="s">
        <v>2027</v>
      </c>
      <c r="I289" s="184" t="s">
        <v>2757</v>
      </c>
      <c r="J289" s="184" t="s">
        <v>58</v>
      </c>
      <c r="K289" s="184" t="s">
        <v>2252</v>
      </c>
      <c r="L289" s="184" t="s">
        <v>2575</v>
      </c>
      <c r="M289" s="184" t="s">
        <v>2254</v>
      </c>
      <c r="N289" s="255" t="s">
        <v>2758</v>
      </c>
      <c r="O289" s="184" t="s">
        <v>133</v>
      </c>
      <c r="P289" s="184" t="s">
        <v>2027</v>
      </c>
      <c r="Q289" s="255" t="s">
        <v>2276</v>
      </c>
      <c r="R289" s="187" t="s">
        <v>173</v>
      </c>
      <c r="S289" s="190">
        <v>0.04</v>
      </c>
      <c r="T289" s="255" t="s">
        <v>779</v>
      </c>
      <c r="U289" s="184">
        <v>1995</v>
      </c>
      <c r="V289" s="256" t="s">
        <v>2576</v>
      </c>
      <c r="W289" s="261" t="s">
        <v>2210</v>
      </c>
      <c r="X289" s="184" t="s">
        <v>2027</v>
      </c>
      <c r="Y289" s="187">
        <v>2019</v>
      </c>
    </row>
    <row r="290" spans="1:25" s="29" customFormat="1" ht="82.8" x14ac:dyDescent="0.3">
      <c r="A290" s="250" t="s">
        <v>1505</v>
      </c>
      <c r="B290" s="251" t="s">
        <v>918</v>
      </c>
      <c r="C290" s="251" t="s">
        <v>160</v>
      </c>
      <c r="D290" s="184" t="s">
        <v>947</v>
      </c>
      <c r="E290" s="253" t="s">
        <v>464</v>
      </c>
      <c r="F290" s="254" t="s">
        <v>1266</v>
      </c>
      <c r="G290" s="186" t="s">
        <v>2027</v>
      </c>
      <c r="H290" s="184" t="s">
        <v>2027</v>
      </c>
      <c r="I290" s="254" t="s">
        <v>1267</v>
      </c>
      <c r="J290" s="184" t="s">
        <v>58</v>
      </c>
      <c r="K290" s="199" t="s">
        <v>397</v>
      </c>
      <c r="L290" s="184" t="s">
        <v>2027</v>
      </c>
      <c r="M290" s="194" t="s">
        <v>2027</v>
      </c>
      <c r="N290" s="184" t="s">
        <v>946</v>
      </c>
      <c r="O290" s="184" t="s">
        <v>2027</v>
      </c>
      <c r="P290" s="184" t="s">
        <v>595</v>
      </c>
      <c r="Q290" s="255" t="s">
        <v>948</v>
      </c>
      <c r="R290" s="199" t="s">
        <v>173</v>
      </c>
      <c r="S290" s="184" t="s">
        <v>887</v>
      </c>
      <c r="T290" s="199" t="s">
        <v>785</v>
      </c>
      <c r="U290" s="199">
        <v>2006</v>
      </c>
      <c r="V290" s="256" t="s">
        <v>1163</v>
      </c>
      <c r="W290" s="188" t="s">
        <v>34</v>
      </c>
      <c r="X290" s="220" t="s">
        <v>886</v>
      </c>
      <c r="Y290" s="270" t="s">
        <v>1954</v>
      </c>
    </row>
    <row r="291" spans="1:25" s="30" customFormat="1" ht="262.2" x14ac:dyDescent="0.3">
      <c r="A291" s="250" t="s">
        <v>1506</v>
      </c>
      <c r="B291" s="251" t="s">
        <v>918</v>
      </c>
      <c r="C291" s="251" t="s">
        <v>160</v>
      </c>
      <c r="D291" s="184" t="s">
        <v>552</v>
      </c>
      <c r="E291" s="253" t="s">
        <v>464</v>
      </c>
      <c r="F291" s="184" t="s">
        <v>2027</v>
      </c>
      <c r="G291" s="186" t="s">
        <v>2027</v>
      </c>
      <c r="H291" s="254" t="s">
        <v>786</v>
      </c>
      <c r="I291" s="184" t="s">
        <v>1268</v>
      </c>
      <c r="J291" s="184" t="s">
        <v>58</v>
      </c>
      <c r="K291" s="184" t="s">
        <v>396</v>
      </c>
      <c r="L291" s="184" t="s">
        <v>770</v>
      </c>
      <c r="M291" s="194" t="s">
        <v>2027</v>
      </c>
      <c r="N291" s="184" t="s">
        <v>810</v>
      </c>
      <c r="O291" s="187" t="s">
        <v>133</v>
      </c>
      <c r="P291" s="187" t="s">
        <v>595</v>
      </c>
      <c r="Q291" s="184" t="s">
        <v>197</v>
      </c>
      <c r="R291" s="184" t="s">
        <v>198</v>
      </c>
      <c r="S291" s="203">
        <v>3.5000000000000003E-2</v>
      </c>
      <c r="T291" s="184" t="s">
        <v>32</v>
      </c>
      <c r="U291" s="184">
        <v>2009</v>
      </c>
      <c r="V291" s="256" t="s">
        <v>1162</v>
      </c>
      <c r="W291" s="188" t="s">
        <v>34</v>
      </c>
      <c r="X291" s="184" t="s">
        <v>2027</v>
      </c>
      <c r="Y291" s="270" t="s">
        <v>1954</v>
      </c>
    </row>
    <row r="292" spans="1:25" s="29" customFormat="1" ht="220.8" x14ac:dyDescent="0.3">
      <c r="A292" s="250" t="s">
        <v>1507</v>
      </c>
      <c r="B292" s="251" t="s">
        <v>918</v>
      </c>
      <c r="C292" s="251" t="s">
        <v>160</v>
      </c>
      <c r="D292" s="184" t="s">
        <v>552</v>
      </c>
      <c r="E292" s="253" t="s">
        <v>464</v>
      </c>
      <c r="F292" s="184" t="s">
        <v>2027</v>
      </c>
      <c r="G292" s="214" t="s">
        <v>231</v>
      </c>
      <c r="H292" s="184" t="s">
        <v>2027</v>
      </c>
      <c r="I292" s="184" t="s">
        <v>1793</v>
      </c>
      <c r="J292" s="184" t="s">
        <v>51</v>
      </c>
      <c r="K292" s="184" t="s">
        <v>397</v>
      </c>
      <c r="L292" s="184" t="s">
        <v>162</v>
      </c>
      <c r="M292" s="184" t="s">
        <v>26</v>
      </c>
      <c r="N292" s="201" t="s">
        <v>1794</v>
      </c>
      <c r="O292" s="199" t="s">
        <v>163</v>
      </c>
      <c r="P292" s="184" t="s">
        <v>595</v>
      </c>
      <c r="Q292" s="184" t="s">
        <v>1795</v>
      </c>
      <c r="R292" s="199" t="s">
        <v>161</v>
      </c>
      <c r="S292" s="184" t="s">
        <v>331</v>
      </c>
      <c r="T292" s="199" t="s">
        <v>776</v>
      </c>
      <c r="U292" s="199">
        <v>2013</v>
      </c>
      <c r="V292" s="254" t="s">
        <v>1161</v>
      </c>
      <c r="W292" s="188" t="s">
        <v>34</v>
      </c>
      <c r="X292" s="184" t="s">
        <v>2027</v>
      </c>
      <c r="Y292" s="270" t="s">
        <v>1954</v>
      </c>
    </row>
    <row r="293" spans="1:25" s="30" customFormat="1" ht="317.39999999999998" x14ac:dyDescent="0.3">
      <c r="A293" s="250" t="s">
        <v>1508</v>
      </c>
      <c r="B293" s="251" t="s">
        <v>918</v>
      </c>
      <c r="C293" s="251" t="s">
        <v>160</v>
      </c>
      <c r="D293" s="184" t="s">
        <v>553</v>
      </c>
      <c r="E293" s="253" t="s">
        <v>464</v>
      </c>
      <c r="F293" s="184" t="s">
        <v>2027</v>
      </c>
      <c r="G293" s="105">
        <v>5278</v>
      </c>
      <c r="H293" s="184" t="s">
        <v>2027</v>
      </c>
      <c r="I293" s="184" t="s">
        <v>1270</v>
      </c>
      <c r="J293" s="184" t="s">
        <v>51</v>
      </c>
      <c r="K293" s="199" t="s">
        <v>734</v>
      </c>
      <c r="L293" s="184" t="s">
        <v>2027</v>
      </c>
      <c r="M293" s="184" t="s">
        <v>26</v>
      </c>
      <c r="N293" s="184" t="s">
        <v>1796</v>
      </c>
      <c r="O293" s="199" t="s">
        <v>366</v>
      </c>
      <c r="P293" s="184" t="s">
        <v>595</v>
      </c>
      <c r="Q293" s="255" t="s">
        <v>125</v>
      </c>
      <c r="R293" s="184" t="s">
        <v>35</v>
      </c>
      <c r="S293" s="203">
        <v>3.5000000000000003E-2</v>
      </c>
      <c r="T293" s="184" t="s">
        <v>32</v>
      </c>
      <c r="U293" s="184">
        <v>2008</v>
      </c>
      <c r="V293" s="256" t="s">
        <v>1159</v>
      </c>
      <c r="W293" s="188" t="s">
        <v>34</v>
      </c>
      <c r="X293" s="220" t="s">
        <v>159</v>
      </c>
      <c r="Y293" s="270" t="s">
        <v>1954</v>
      </c>
    </row>
    <row r="294" spans="1:25" s="30" customFormat="1" ht="220.8" x14ac:dyDescent="0.3">
      <c r="A294" s="250" t="s">
        <v>1509</v>
      </c>
      <c r="B294" s="251" t="s">
        <v>918</v>
      </c>
      <c r="C294" s="251" t="s">
        <v>160</v>
      </c>
      <c r="D294" s="184" t="s">
        <v>553</v>
      </c>
      <c r="E294" s="253" t="s">
        <v>464</v>
      </c>
      <c r="F294" s="184" t="s">
        <v>2027</v>
      </c>
      <c r="G294" s="105">
        <v>9600</v>
      </c>
      <c r="H294" s="184" t="s">
        <v>2027</v>
      </c>
      <c r="I294" s="184" t="s">
        <v>798</v>
      </c>
      <c r="J294" s="184" t="s">
        <v>51</v>
      </c>
      <c r="K294" s="184" t="s">
        <v>397</v>
      </c>
      <c r="L294" s="184" t="s">
        <v>2027</v>
      </c>
      <c r="M294" s="184" t="s">
        <v>26</v>
      </c>
      <c r="N294" s="184" t="s">
        <v>1797</v>
      </c>
      <c r="O294" s="199" t="s">
        <v>133</v>
      </c>
      <c r="P294" s="184" t="s">
        <v>595</v>
      </c>
      <c r="Q294" s="255" t="s">
        <v>125</v>
      </c>
      <c r="R294" s="184" t="s">
        <v>35</v>
      </c>
      <c r="S294" s="203">
        <v>3.5000000000000003E-2</v>
      </c>
      <c r="T294" s="184" t="s">
        <v>32</v>
      </c>
      <c r="U294" s="184">
        <v>2009</v>
      </c>
      <c r="V294" s="256" t="s">
        <v>1160</v>
      </c>
      <c r="W294" s="188" t="s">
        <v>34</v>
      </c>
      <c r="X294" s="220" t="s">
        <v>159</v>
      </c>
      <c r="Y294" s="270" t="s">
        <v>1954</v>
      </c>
    </row>
    <row r="295" spans="1:25" s="30" customFormat="1" ht="317.39999999999998" x14ac:dyDescent="0.3">
      <c r="A295" s="250" t="s">
        <v>1510</v>
      </c>
      <c r="B295" s="251" t="s">
        <v>918</v>
      </c>
      <c r="C295" s="251" t="s">
        <v>160</v>
      </c>
      <c r="D295" s="184" t="s">
        <v>553</v>
      </c>
      <c r="E295" s="253" t="s">
        <v>464</v>
      </c>
      <c r="F295" s="184" t="s">
        <v>2027</v>
      </c>
      <c r="G295" s="105">
        <v>10594</v>
      </c>
      <c r="H295" s="184" t="s">
        <v>2027</v>
      </c>
      <c r="I295" s="244" t="s">
        <v>1269</v>
      </c>
      <c r="J295" s="184" t="s">
        <v>51</v>
      </c>
      <c r="K295" s="199" t="s">
        <v>734</v>
      </c>
      <c r="L295" s="184" t="s">
        <v>2027</v>
      </c>
      <c r="M295" s="184" t="s">
        <v>26</v>
      </c>
      <c r="N295" s="184" t="s">
        <v>1798</v>
      </c>
      <c r="O295" s="199" t="s">
        <v>366</v>
      </c>
      <c r="P295" s="184" t="s">
        <v>595</v>
      </c>
      <c r="Q295" s="255" t="s">
        <v>125</v>
      </c>
      <c r="R295" s="184" t="s">
        <v>35</v>
      </c>
      <c r="S295" s="203">
        <v>3.5000000000000003E-2</v>
      </c>
      <c r="T295" s="184" t="s">
        <v>32</v>
      </c>
      <c r="U295" s="184">
        <v>2008</v>
      </c>
      <c r="V295" s="256" t="s">
        <v>1159</v>
      </c>
      <c r="W295" s="188" t="s">
        <v>34</v>
      </c>
      <c r="X295" s="220" t="s">
        <v>159</v>
      </c>
      <c r="Y295" s="270" t="s">
        <v>1954</v>
      </c>
    </row>
    <row r="296" spans="1:25" s="30" customFormat="1" ht="317.39999999999998" x14ac:dyDescent="0.3">
      <c r="A296" s="250" t="s">
        <v>1511</v>
      </c>
      <c r="B296" s="251" t="s">
        <v>918</v>
      </c>
      <c r="C296" s="251" t="s">
        <v>160</v>
      </c>
      <c r="D296" s="184" t="s">
        <v>553</v>
      </c>
      <c r="E296" s="253" t="s">
        <v>464</v>
      </c>
      <c r="F296" s="184" t="s">
        <v>2027</v>
      </c>
      <c r="G296" s="105">
        <v>177560</v>
      </c>
      <c r="H296" s="184" t="s">
        <v>2027</v>
      </c>
      <c r="I296" s="244" t="s">
        <v>1271</v>
      </c>
      <c r="J296" s="184" t="s">
        <v>51</v>
      </c>
      <c r="K296" s="199" t="s">
        <v>734</v>
      </c>
      <c r="L296" s="184" t="s">
        <v>2027</v>
      </c>
      <c r="M296" s="184" t="s">
        <v>26</v>
      </c>
      <c r="N296" s="184" t="s">
        <v>1799</v>
      </c>
      <c r="O296" s="199" t="s">
        <v>366</v>
      </c>
      <c r="P296" s="184" t="s">
        <v>595</v>
      </c>
      <c r="Q296" s="255" t="s">
        <v>125</v>
      </c>
      <c r="R296" s="184" t="s">
        <v>35</v>
      </c>
      <c r="S296" s="203">
        <v>3.5000000000000003E-2</v>
      </c>
      <c r="T296" s="184" t="s">
        <v>32</v>
      </c>
      <c r="U296" s="184">
        <v>2008</v>
      </c>
      <c r="V296" s="256" t="s">
        <v>1159</v>
      </c>
      <c r="W296" s="188" t="s">
        <v>34</v>
      </c>
      <c r="X296" s="220" t="s">
        <v>159</v>
      </c>
      <c r="Y296" s="270" t="s">
        <v>1954</v>
      </c>
    </row>
    <row r="297" spans="1:25" s="30" customFormat="1" ht="317.39999999999998" x14ac:dyDescent="0.3">
      <c r="A297" s="250" t="s">
        <v>1512</v>
      </c>
      <c r="B297" s="251" t="s">
        <v>918</v>
      </c>
      <c r="C297" s="251" t="s">
        <v>160</v>
      </c>
      <c r="D297" s="184" t="s">
        <v>553</v>
      </c>
      <c r="E297" s="253" t="s">
        <v>464</v>
      </c>
      <c r="F297" s="184" t="s">
        <v>2027</v>
      </c>
      <c r="G297" s="105">
        <v>988404</v>
      </c>
      <c r="H297" s="184" t="s">
        <v>2027</v>
      </c>
      <c r="I297" s="244" t="s">
        <v>1272</v>
      </c>
      <c r="J297" s="184" t="s">
        <v>51</v>
      </c>
      <c r="K297" s="199" t="s">
        <v>734</v>
      </c>
      <c r="L297" s="184" t="s">
        <v>2027</v>
      </c>
      <c r="M297" s="184" t="s">
        <v>26</v>
      </c>
      <c r="N297" s="184" t="s">
        <v>1796</v>
      </c>
      <c r="O297" s="199" t="s">
        <v>366</v>
      </c>
      <c r="P297" s="184" t="s">
        <v>595</v>
      </c>
      <c r="Q297" s="255" t="s">
        <v>125</v>
      </c>
      <c r="R297" s="184" t="s">
        <v>35</v>
      </c>
      <c r="S297" s="203">
        <v>3.5000000000000003E-2</v>
      </c>
      <c r="T297" s="184" t="s">
        <v>32</v>
      </c>
      <c r="U297" s="184">
        <v>2008</v>
      </c>
      <c r="V297" s="256" t="s">
        <v>1159</v>
      </c>
      <c r="W297" s="188" t="s">
        <v>34</v>
      </c>
      <c r="X297" s="220" t="s">
        <v>159</v>
      </c>
      <c r="Y297" s="270" t="s">
        <v>1954</v>
      </c>
    </row>
    <row r="298" spans="1:25" s="30" customFormat="1" ht="138" x14ac:dyDescent="0.3">
      <c r="A298" s="250" t="s">
        <v>1513</v>
      </c>
      <c r="B298" s="251" t="s">
        <v>918</v>
      </c>
      <c r="C298" s="251" t="s">
        <v>160</v>
      </c>
      <c r="D298" s="184" t="s">
        <v>553</v>
      </c>
      <c r="E298" s="253" t="s">
        <v>464</v>
      </c>
      <c r="F298" s="256" t="s">
        <v>1037</v>
      </c>
      <c r="G298" s="186" t="s">
        <v>2027</v>
      </c>
      <c r="H298" s="184" t="s">
        <v>2027</v>
      </c>
      <c r="I298" s="184" t="s">
        <v>1273</v>
      </c>
      <c r="J298" s="184" t="s">
        <v>58</v>
      </c>
      <c r="K298" s="184" t="s">
        <v>396</v>
      </c>
      <c r="L298" s="184" t="s">
        <v>555</v>
      </c>
      <c r="M298" s="184" t="s">
        <v>1800</v>
      </c>
      <c r="N298" s="184" t="s">
        <v>1801</v>
      </c>
      <c r="O298" s="199" t="s">
        <v>133</v>
      </c>
      <c r="P298" s="184" t="s">
        <v>595</v>
      </c>
      <c r="Q298" s="255" t="s">
        <v>165</v>
      </c>
      <c r="R298" s="255" t="s">
        <v>35</v>
      </c>
      <c r="S298" s="203">
        <v>3.5000000000000003E-2</v>
      </c>
      <c r="T298" s="184" t="s">
        <v>554</v>
      </c>
      <c r="U298" s="184">
        <v>2010</v>
      </c>
      <c r="V298" s="256" t="s">
        <v>1802</v>
      </c>
      <c r="W298" s="188" t="s">
        <v>34</v>
      </c>
      <c r="X298" s="220" t="s">
        <v>164</v>
      </c>
      <c r="Y298" s="270" t="s">
        <v>1954</v>
      </c>
    </row>
    <row r="299" spans="1:25" s="29" customFormat="1" ht="138" x14ac:dyDescent="0.3">
      <c r="A299" s="250" t="s">
        <v>1514</v>
      </c>
      <c r="B299" s="251" t="s">
        <v>918</v>
      </c>
      <c r="C299" s="251" t="s">
        <v>160</v>
      </c>
      <c r="D299" s="184" t="s">
        <v>553</v>
      </c>
      <c r="E299" s="253" t="s">
        <v>464</v>
      </c>
      <c r="F299" s="184" t="s">
        <v>2027</v>
      </c>
      <c r="G299" s="186" t="s">
        <v>2027</v>
      </c>
      <c r="H299" s="254" t="s">
        <v>249</v>
      </c>
      <c r="I299" s="184" t="s">
        <v>556</v>
      </c>
      <c r="J299" s="184" t="s">
        <v>51</v>
      </c>
      <c r="K299" s="184" t="s">
        <v>397</v>
      </c>
      <c r="L299" s="184" t="s">
        <v>2027</v>
      </c>
      <c r="M299" s="194" t="s">
        <v>2027</v>
      </c>
      <c r="N299" s="184" t="s">
        <v>557</v>
      </c>
      <c r="O299" s="199" t="s">
        <v>133</v>
      </c>
      <c r="P299" s="187" t="s">
        <v>595</v>
      </c>
      <c r="Q299" s="184" t="s">
        <v>839</v>
      </c>
      <c r="R299" s="184" t="s">
        <v>206</v>
      </c>
      <c r="S299" s="197">
        <v>0.03</v>
      </c>
      <c r="T299" s="184" t="s">
        <v>300</v>
      </c>
      <c r="U299" s="184">
        <v>2011</v>
      </c>
      <c r="V299" s="256" t="s">
        <v>1157</v>
      </c>
      <c r="W299" s="188" t="s">
        <v>34</v>
      </c>
      <c r="X299" s="184" t="s">
        <v>2027</v>
      </c>
      <c r="Y299" s="270" t="s">
        <v>1954</v>
      </c>
    </row>
    <row r="300" spans="1:25" s="30" customFormat="1" ht="124.2" x14ac:dyDescent="0.3">
      <c r="A300" s="250" t="s">
        <v>1515</v>
      </c>
      <c r="B300" s="251" t="s">
        <v>918</v>
      </c>
      <c r="C300" s="251" t="s">
        <v>160</v>
      </c>
      <c r="D300" s="184" t="s">
        <v>243</v>
      </c>
      <c r="E300" s="253" t="s">
        <v>464</v>
      </c>
      <c r="F300" s="219" t="s">
        <v>558</v>
      </c>
      <c r="G300" s="186" t="s">
        <v>2027</v>
      </c>
      <c r="H300" s="184" t="s">
        <v>2027</v>
      </c>
      <c r="I300" s="220" t="s">
        <v>892</v>
      </c>
      <c r="J300" s="184" t="s">
        <v>58</v>
      </c>
      <c r="K300" s="184" t="s">
        <v>396</v>
      </c>
      <c r="L300" s="184" t="s">
        <v>2027</v>
      </c>
      <c r="M300" s="194" t="s">
        <v>2027</v>
      </c>
      <c r="N300" s="220" t="s">
        <v>893</v>
      </c>
      <c r="O300" s="184" t="s">
        <v>2027</v>
      </c>
      <c r="P300" s="221" t="s">
        <v>595</v>
      </c>
      <c r="Q300" s="220" t="s">
        <v>559</v>
      </c>
      <c r="R300" s="184" t="s">
        <v>173</v>
      </c>
      <c r="S300" s="190">
        <v>0.05</v>
      </c>
      <c r="T300" s="184" t="s">
        <v>782</v>
      </c>
      <c r="U300" s="184">
        <v>2007</v>
      </c>
      <c r="V300" s="252" t="s">
        <v>1158</v>
      </c>
      <c r="W300" s="245" t="s">
        <v>34</v>
      </c>
      <c r="X300" s="184" t="s">
        <v>2027</v>
      </c>
      <c r="Y300" s="270" t="s">
        <v>1954</v>
      </c>
    </row>
    <row r="301" spans="1:25" s="27" customFormat="1" ht="124.2" x14ac:dyDescent="0.3">
      <c r="A301" s="250" t="s">
        <v>2297</v>
      </c>
      <c r="B301" s="251" t="s">
        <v>918</v>
      </c>
      <c r="C301" s="251" t="s">
        <v>160</v>
      </c>
      <c r="D301" s="184" t="s">
        <v>243</v>
      </c>
      <c r="E301" s="253" t="s">
        <v>464</v>
      </c>
      <c r="F301" s="219" t="s">
        <v>558</v>
      </c>
      <c r="G301" s="186" t="s">
        <v>2027</v>
      </c>
      <c r="H301" s="184" t="s">
        <v>2027</v>
      </c>
      <c r="I301" s="220" t="s">
        <v>892</v>
      </c>
      <c r="J301" s="184" t="s">
        <v>58</v>
      </c>
      <c r="K301" s="184" t="s">
        <v>396</v>
      </c>
      <c r="L301" s="184" t="s">
        <v>2027</v>
      </c>
      <c r="M301" s="194" t="s">
        <v>2027</v>
      </c>
      <c r="N301" s="220" t="s">
        <v>893</v>
      </c>
      <c r="O301" s="184" t="s">
        <v>2027</v>
      </c>
      <c r="P301" s="221" t="s">
        <v>595</v>
      </c>
      <c r="Q301" s="220" t="s">
        <v>559</v>
      </c>
      <c r="R301" s="184" t="s">
        <v>173</v>
      </c>
      <c r="S301" s="190">
        <v>0.05</v>
      </c>
      <c r="T301" s="184" t="s">
        <v>782</v>
      </c>
      <c r="U301" s="184">
        <v>2007</v>
      </c>
      <c r="V301" s="252" t="s">
        <v>1158</v>
      </c>
      <c r="W301" s="245" t="s">
        <v>34</v>
      </c>
      <c r="X301" s="184" t="s">
        <v>2027</v>
      </c>
      <c r="Y301" s="270" t="s">
        <v>1954</v>
      </c>
    </row>
    <row r="302" spans="1:25" s="27" customFormat="1" ht="124.2" x14ac:dyDescent="0.3">
      <c r="A302" s="250" t="s">
        <v>2311</v>
      </c>
      <c r="B302" s="251" t="s">
        <v>918</v>
      </c>
      <c r="C302" s="251" t="s">
        <v>160</v>
      </c>
      <c r="D302" s="184" t="s">
        <v>243</v>
      </c>
      <c r="E302" s="253" t="s">
        <v>464</v>
      </c>
      <c r="F302" s="219" t="s">
        <v>558</v>
      </c>
      <c r="G302" s="186" t="s">
        <v>2027</v>
      </c>
      <c r="H302" s="184" t="s">
        <v>2027</v>
      </c>
      <c r="I302" s="220" t="s">
        <v>892</v>
      </c>
      <c r="J302" s="184" t="s">
        <v>58</v>
      </c>
      <c r="K302" s="184" t="s">
        <v>396</v>
      </c>
      <c r="L302" s="184" t="s">
        <v>2027</v>
      </c>
      <c r="M302" s="194" t="s">
        <v>2027</v>
      </c>
      <c r="N302" s="220" t="s">
        <v>893</v>
      </c>
      <c r="O302" s="184" t="s">
        <v>2027</v>
      </c>
      <c r="P302" s="221" t="s">
        <v>595</v>
      </c>
      <c r="Q302" s="220" t="s">
        <v>559</v>
      </c>
      <c r="R302" s="184" t="s">
        <v>173</v>
      </c>
      <c r="S302" s="190">
        <v>0.05</v>
      </c>
      <c r="T302" s="184" t="s">
        <v>782</v>
      </c>
      <c r="U302" s="184">
        <v>2007</v>
      </c>
      <c r="V302" s="252" t="s">
        <v>1158</v>
      </c>
      <c r="W302" s="245" t="s">
        <v>34</v>
      </c>
      <c r="X302" s="184" t="s">
        <v>2027</v>
      </c>
      <c r="Y302" s="270" t="s">
        <v>1954</v>
      </c>
    </row>
    <row r="303" spans="1:25" s="27" customFormat="1" ht="124.2" x14ac:dyDescent="0.3">
      <c r="A303" s="250" t="s">
        <v>2460</v>
      </c>
      <c r="B303" s="251" t="s">
        <v>918</v>
      </c>
      <c r="C303" s="251" t="s">
        <v>160</v>
      </c>
      <c r="D303" s="184" t="s">
        <v>243</v>
      </c>
      <c r="E303" s="253" t="s">
        <v>464</v>
      </c>
      <c r="F303" s="219" t="s">
        <v>558</v>
      </c>
      <c r="G303" s="186" t="s">
        <v>2027</v>
      </c>
      <c r="H303" s="184" t="s">
        <v>2027</v>
      </c>
      <c r="I303" s="220" t="s">
        <v>892</v>
      </c>
      <c r="J303" s="184" t="s">
        <v>58</v>
      </c>
      <c r="K303" s="184" t="s">
        <v>396</v>
      </c>
      <c r="L303" s="184" t="s">
        <v>2027</v>
      </c>
      <c r="M303" s="194" t="s">
        <v>2027</v>
      </c>
      <c r="N303" s="220" t="s">
        <v>893</v>
      </c>
      <c r="O303" s="184" t="s">
        <v>2027</v>
      </c>
      <c r="P303" s="221" t="s">
        <v>595</v>
      </c>
      <c r="Q303" s="220" t="s">
        <v>559</v>
      </c>
      <c r="R303" s="184" t="s">
        <v>173</v>
      </c>
      <c r="S303" s="190">
        <v>0.05</v>
      </c>
      <c r="T303" s="184" t="s">
        <v>782</v>
      </c>
      <c r="U303" s="184">
        <v>2007</v>
      </c>
      <c r="V303" s="252" t="s">
        <v>1158</v>
      </c>
      <c r="W303" s="245" t="s">
        <v>34</v>
      </c>
      <c r="X303" s="184" t="s">
        <v>2027</v>
      </c>
      <c r="Y303" s="270" t="s">
        <v>1954</v>
      </c>
    </row>
    <row r="304" spans="1:25" ht="151.80000000000001" x14ac:dyDescent="0.3">
      <c r="A304" s="250" t="s">
        <v>2461</v>
      </c>
      <c r="B304" s="251" t="s">
        <v>918</v>
      </c>
      <c r="C304" s="251" t="s">
        <v>912</v>
      </c>
      <c r="D304" s="184" t="s">
        <v>2289</v>
      </c>
      <c r="E304" s="253" t="s">
        <v>464</v>
      </c>
      <c r="F304" s="184" t="s">
        <v>2290</v>
      </c>
      <c r="G304" s="257" t="s">
        <v>2027</v>
      </c>
      <c r="H304" s="255" t="s">
        <v>2027</v>
      </c>
      <c r="I304" s="184" t="s">
        <v>2291</v>
      </c>
      <c r="J304" s="184" t="s">
        <v>58</v>
      </c>
      <c r="K304" s="184" t="s">
        <v>2252</v>
      </c>
      <c r="L304" s="184" t="s">
        <v>2292</v>
      </c>
      <c r="M304" s="184" t="s">
        <v>2293</v>
      </c>
      <c r="N304" s="184" t="s">
        <v>2294</v>
      </c>
      <c r="O304" s="184" t="s">
        <v>147</v>
      </c>
      <c r="P304" s="184" t="s">
        <v>2027</v>
      </c>
      <c r="Q304" s="184" t="s">
        <v>2295</v>
      </c>
      <c r="R304" s="184" t="s">
        <v>173</v>
      </c>
      <c r="S304" s="249">
        <v>0.03</v>
      </c>
      <c r="T304" s="184" t="s">
        <v>779</v>
      </c>
      <c r="U304" s="184">
        <v>2014</v>
      </c>
      <c r="V304" s="184" t="s">
        <v>2296</v>
      </c>
      <c r="W304" s="245" t="s">
        <v>34</v>
      </c>
      <c r="X304" s="184" t="s">
        <v>2027</v>
      </c>
      <c r="Y304" s="187">
        <v>2019</v>
      </c>
    </row>
    <row r="305" spans="1:25" ht="179.4" x14ac:dyDescent="0.3">
      <c r="A305" s="250" t="s">
        <v>2462</v>
      </c>
      <c r="B305" s="251" t="s">
        <v>918</v>
      </c>
      <c r="C305" s="251" t="s">
        <v>912</v>
      </c>
      <c r="D305" s="184" t="s">
        <v>2305</v>
      </c>
      <c r="E305" s="253" t="s">
        <v>464</v>
      </c>
      <c r="F305" s="219" t="s">
        <v>2306</v>
      </c>
      <c r="G305" s="257" t="s">
        <v>2027</v>
      </c>
      <c r="H305" s="255" t="s">
        <v>2027</v>
      </c>
      <c r="I305" s="219" t="s">
        <v>2307</v>
      </c>
      <c r="J305" s="184" t="s">
        <v>58</v>
      </c>
      <c r="K305" s="219" t="s">
        <v>2252</v>
      </c>
      <c r="L305" s="219" t="s">
        <v>2308</v>
      </c>
      <c r="M305" s="219" t="s">
        <v>2293</v>
      </c>
      <c r="N305" s="219" t="s">
        <v>2728</v>
      </c>
      <c r="O305" s="219" t="s">
        <v>2309</v>
      </c>
      <c r="P305" s="184" t="s">
        <v>2027</v>
      </c>
      <c r="Q305" s="255" t="s">
        <v>2276</v>
      </c>
      <c r="R305" s="187" t="s">
        <v>173</v>
      </c>
      <c r="S305" s="190">
        <v>0.03</v>
      </c>
      <c r="T305" s="184" t="s">
        <v>779</v>
      </c>
      <c r="U305" s="184">
        <v>2010</v>
      </c>
      <c r="V305" s="256" t="s">
        <v>2310</v>
      </c>
      <c r="W305" s="261" t="s">
        <v>34</v>
      </c>
      <c r="X305" s="184" t="s">
        <v>2027</v>
      </c>
      <c r="Y305" s="187">
        <v>2019</v>
      </c>
    </row>
    <row r="306" spans="1:25" ht="138" x14ac:dyDescent="0.3">
      <c r="A306" s="250" t="s">
        <v>2584</v>
      </c>
      <c r="B306" s="251" t="s">
        <v>918</v>
      </c>
      <c r="C306" s="251" t="s">
        <v>912</v>
      </c>
      <c r="D306" s="184" t="s">
        <v>2578</v>
      </c>
      <c r="E306" s="253" t="s">
        <v>464</v>
      </c>
      <c r="F306" s="184" t="s">
        <v>2691</v>
      </c>
      <c r="G306" s="257" t="s">
        <v>2027</v>
      </c>
      <c r="H306" s="255" t="s">
        <v>2027</v>
      </c>
      <c r="I306" s="184" t="s">
        <v>2692</v>
      </c>
      <c r="J306" s="184" t="s">
        <v>58</v>
      </c>
      <c r="K306" s="184" t="s">
        <v>2252</v>
      </c>
      <c r="L306" s="184" t="s">
        <v>2579</v>
      </c>
      <c r="M306" s="184" t="s">
        <v>2580</v>
      </c>
      <c r="N306" s="255" t="s">
        <v>2581</v>
      </c>
      <c r="O306" s="184" t="s">
        <v>52</v>
      </c>
      <c r="P306" s="184" t="s">
        <v>2027</v>
      </c>
      <c r="Q306" s="255" t="s">
        <v>2276</v>
      </c>
      <c r="R306" s="187" t="s">
        <v>173</v>
      </c>
      <c r="S306" s="187" t="s">
        <v>331</v>
      </c>
      <c r="T306" s="255" t="s">
        <v>2582</v>
      </c>
      <c r="U306" s="184">
        <v>2013</v>
      </c>
      <c r="V306" s="256" t="s">
        <v>2583</v>
      </c>
      <c r="W306" s="261" t="s">
        <v>2210</v>
      </c>
      <c r="X306" s="184" t="s">
        <v>2027</v>
      </c>
      <c r="Y306" s="187">
        <v>2019</v>
      </c>
    </row>
    <row r="307" spans="1:25" ht="144" customHeight="1" x14ac:dyDescent="0.3">
      <c r="A307" s="250" t="s">
        <v>1932</v>
      </c>
      <c r="B307" s="251" t="s">
        <v>1891</v>
      </c>
      <c r="C307" s="251" t="s">
        <v>1892</v>
      </c>
      <c r="D307" s="184" t="s">
        <v>1893</v>
      </c>
      <c r="E307" s="253" t="s">
        <v>464</v>
      </c>
      <c r="F307" s="246">
        <v>5.08</v>
      </c>
      <c r="G307" s="257" t="s">
        <v>2027</v>
      </c>
      <c r="H307" s="255" t="s">
        <v>2027</v>
      </c>
      <c r="I307" s="220" t="s">
        <v>2656</v>
      </c>
      <c r="J307" s="184" t="s">
        <v>1894</v>
      </c>
      <c r="K307" s="184" t="s">
        <v>1894</v>
      </c>
      <c r="L307" s="184" t="s">
        <v>1895</v>
      </c>
      <c r="M307" s="184" t="s">
        <v>26</v>
      </c>
      <c r="N307" s="236" t="s">
        <v>2657</v>
      </c>
      <c r="O307" s="187" t="s">
        <v>767</v>
      </c>
      <c r="P307" s="220" t="s">
        <v>1897</v>
      </c>
      <c r="Q307" s="220" t="s">
        <v>1896</v>
      </c>
      <c r="R307" s="184" t="s">
        <v>35</v>
      </c>
      <c r="S307" s="203" t="s">
        <v>2655</v>
      </c>
      <c r="T307" s="184" t="s">
        <v>32</v>
      </c>
      <c r="U307" s="184">
        <v>2017</v>
      </c>
      <c r="V307" s="252" t="s">
        <v>2474</v>
      </c>
      <c r="W307" s="264" t="s">
        <v>2027</v>
      </c>
      <c r="X307" s="188" t="s">
        <v>2617</v>
      </c>
      <c r="Y307" s="187">
        <v>2019</v>
      </c>
    </row>
    <row r="308" spans="1:25" ht="129" customHeight="1" x14ac:dyDescent="0.3">
      <c r="A308" s="250" t="s">
        <v>1933</v>
      </c>
      <c r="B308" s="251" t="s">
        <v>1891</v>
      </c>
      <c r="C308" s="251" t="s">
        <v>1899</v>
      </c>
      <c r="D308" s="184" t="s">
        <v>1898</v>
      </c>
      <c r="E308" s="253" t="s">
        <v>464</v>
      </c>
      <c r="F308" s="247">
        <v>1.58</v>
      </c>
      <c r="G308" s="257" t="s">
        <v>2027</v>
      </c>
      <c r="H308" s="255" t="s">
        <v>2027</v>
      </c>
      <c r="I308" s="220" t="s">
        <v>1903</v>
      </c>
      <c r="J308" s="184" t="s">
        <v>1945</v>
      </c>
      <c r="K308" s="184" t="s">
        <v>1894</v>
      </c>
      <c r="L308" s="184" t="s">
        <v>1900</v>
      </c>
      <c r="M308" s="184" t="s">
        <v>26</v>
      </c>
      <c r="N308" s="236" t="s">
        <v>2659</v>
      </c>
      <c r="O308" s="187" t="s">
        <v>1931</v>
      </c>
      <c r="P308" s="220" t="s">
        <v>1897</v>
      </c>
      <c r="Q308" s="220" t="s">
        <v>2658</v>
      </c>
      <c r="R308" s="184" t="s">
        <v>1901</v>
      </c>
      <c r="S308" s="203" t="s">
        <v>2655</v>
      </c>
      <c r="T308" s="184" t="s">
        <v>32</v>
      </c>
      <c r="U308" s="184">
        <v>2017</v>
      </c>
      <c r="V308" s="252" t="s">
        <v>2474</v>
      </c>
      <c r="W308" s="264" t="s">
        <v>2027</v>
      </c>
      <c r="X308" s="188" t="s">
        <v>2617</v>
      </c>
      <c r="Y308" s="187">
        <v>2019</v>
      </c>
    </row>
    <row r="309" spans="1:25" ht="84" customHeight="1" x14ac:dyDescent="0.3">
      <c r="A309" s="250" t="s">
        <v>1934</v>
      </c>
      <c r="B309" s="251" t="s">
        <v>1891</v>
      </c>
      <c r="C309" s="251" t="s">
        <v>1902</v>
      </c>
      <c r="D309" s="184" t="s">
        <v>1904</v>
      </c>
      <c r="E309" s="253" t="s">
        <v>464</v>
      </c>
      <c r="F309" s="247">
        <v>2.37</v>
      </c>
      <c r="G309" s="257" t="s">
        <v>2027</v>
      </c>
      <c r="H309" s="255" t="s">
        <v>2027</v>
      </c>
      <c r="I309" s="220" t="s">
        <v>1905</v>
      </c>
      <c r="J309" s="184" t="s">
        <v>1945</v>
      </c>
      <c r="K309" s="184" t="s">
        <v>1894</v>
      </c>
      <c r="L309" s="255" t="s">
        <v>1908</v>
      </c>
      <c r="M309" s="184" t="s">
        <v>26</v>
      </c>
      <c r="N309" s="236" t="s">
        <v>2660</v>
      </c>
      <c r="O309" s="187" t="s">
        <v>52</v>
      </c>
      <c r="P309" s="220" t="s">
        <v>2062</v>
      </c>
      <c r="Q309" s="220" t="s">
        <v>1906</v>
      </c>
      <c r="R309" s="184" t="s">
        <v>1907</v>
      </c>
      <c r="S309" s="190" t="s">
        <v>1908</v>
      </c>
      <c r="T309" s="184" t="s">
        <v>32</v>
      </c>
      <c r="U309" s="184">
        <v>2017</v>
      </c>
      <c r="V309" s="252" t="s">
        <v>2474</v>
      </c>
      <c r="W309" s="264" t="s">
        <v>2027</v>
      </c>
      <c r="X309" s="188" t="s">
        <v>2617</v>
      </c>
      <c r="Y309" s="187">
        <v>2019</v>
      </c>
    </row>
    <row r="310" spans="1:25" ht="90" customHeight="1" x14ac:dyDescent="0.3">
      <c r="A310" s="250" t="s">
        <v>1935</v>
      </c>
      <c r="B310" s="251" t="s">
        <v>1891</v>
      </c>
      <c r="C310" s="251" t="s">
        <v>1909</v>
      </c>
      <c r="D310" s="184" t="s">
        <v>1910</v>
      </c>
      <c r="E310" s="253" t="s">
        <v>464</v>
      </c>
      <c r="F310" s="247">
        <v>2</v>
      </c>
      <c r="G310" s="257" t="s">
        <v>2027</v>
      </c>
      <c r="H310" s="255" t="s">
        <v>2027</v>
      </c>
      <c r="I310" s="220" t="s">
        <v>1911</v>
      </c>
      <c r="J310" s="184" t="s">
        <v>1912</v>
      </c>
      <c r="K310" s="184" t="s">
        <v>1894</v>
      </c>
      <c r="L310" s="255" t="s">
        <v>2729</v>
      </c>
      <c r="M310" s="184" t="s">
        <v>26</v>
      </c>
      <c r="N310" s="236" t="s">
        <v>2661</v>
      </c>
      <c r="O310" s="187" t="s">
        <v>431</v>
      </c>
      <c r="P310" s="220" t="s">
        <v>2063</v>
      </c>
      <c r="Q310" s="220" t="s">
        <v>2730</v>
      </c>
      <c r="R310" s="184" t="s">
        <v>198</v>
      </c>
      <c r="S310" s="203" t="s">
        <v>2655</v>
      </c>
      <c r="T310" s="184" t="s">
        <v>32</v>
      </c>
      <c r="U310" s="184">
        <v>2017</v>
      </c>
      <c r="V310" s="252" t="s">
        <v>2474</v>
      </c>
      <c r="W310" s="264" t="s">
        <v>2027</v>
      </c>
      <c r="X310" s="188" t="s">
        <v>2617</v>
      </c>
      <c r="Y310" s="187">
        <v>2019</v>
      </c>
    </row>
    <row r="311" spans="1:25" ht="297" customHeight="1" x14ac:dyDescent="0.3">
      <c r="A311" s="250" t="s">
        <v>1936</v>
      </c>
      <c r="B311" s="251" t="s">
        <v>1891</v>
      </c>
      <c r="C311" s="251" t="s">
        <v>1913</v>
      </c>
      <c r="D311" s="255" t="s">
        <v>1914</v>
      </c>
      <c r="E311" s="253" t="s">
        <v>464</v>
      </c>
      <c r="F311" s="278">
        <v>2.6</v>
      </c>
      <c r="G311" s="257" t="s">
        <v>2027</v>
      </c>
      <c r="H311" s="255" t="s">
        <v>2027</v>
      </c>
      <c r="I311" s="220" t="s">
        <v>2731</v>
      </c>
      <c r="J311" s="220" t="s">
        <v>1945</v>
      </c>
      <c r="K311" s="221" t="s">
        <v>1894</v>
      </c>
      <c r="L311" s="217" t="s">
        <v>1915</v>
      </c>
      <c r="M311" s="221" t="s">
        <v>26</v>
      </c>
      <c r="N311" s="220" t="s">
        <v>2061</v>
      </c>
      <c r="O311" s="221" t="s">
        <v>23</v>
      </c>
      <c r="P311" s="220" t="s">
        <v>1916</v>
      </c>
      <c r="Q311" s="220" t="s">
        <v>2732</v>
      </c>
      <c r="R311" s="221" t="s">
        <v>35</v>
      </c>
      <c r="S311" s="203" t="s">
        <v>2655</v>
      </c>
      <c r="T311" s="221" t="s">
        <v>32</v>
      </c>
      <c r="U311" s="221">
        <v>2017</v>
      </c>
      <c r="V311" s="252" t="s">
        <v>2474</v>
      </c>
      <c r="W311" s="264" t="s">
        <v>2027</v>
      </c>
      <c r="X311" s="188" t="s">
        <v>2617</v>
      </c>
      <c r="Y311" s="187">
        <v>2019</v>
      </c>
    </row>
    <row r="312" spans="1:25" ht="255.75" customHeight="1" x14ac:dyDescent="0.3">
      <c r="A312" s="250" t="s">
        <v>1937</v>
      </c>
      <c r="B312" s="251" t="s">
        <v>1891</v>
      </c>
      <c r="C312" s="251" t="s">
        <v>1917</v>
      </c>
      <c r="D312" s="255" t="s">
        <v>1918</v>
      </c>
      <c r="E312" s="253" t="s">
        <v>464</v>
      </c>
      <c r="F312" s="278">
        <v>2.93</v>
      </c>
      <c r="G312" s="257" t="s">
        <v>2027</v>
      </c>
      <c r="H312" s="255" t="s">
        <v>2027</v>
      </c>
      <c r="I312" s="220" t="s">
        <v>2733</v>
      </c>
      <c r="J312" s="184" t="s">
        <v>58</v>
      </c>
      <c r="K312" s="221" t="s">
        <v>1894</v>
      </c>
      <c r="L312" s="217" t="s">
        <v>2641</v>
      </c>
      <c r="M312" s="221" t="s">
        <v>26</v>
      </c>
      <c r="N312" s="220" t="s">
        <v>2696</v>
      </c>
      <c r="O312" s="221" t="s">
        <v>27</v>
      </c>
      <c r="P312" s="220" t="s">
        <v>619</v>
      </c>
      <c r="Q312" s="220" t="s">
        <v>1919</v>
      </c>
      <c r="R312" s="221" t="s">
        <v>35</v>
      </c>
      <c r="S312" s="203" t="s">
        <v>2655</v>
      </c>
      <c r="T312" s="221" t="s">
        <v>32</v>
      </c>
      <c r="U312" s="221">
        <v>2017</v>
      </c>
      <c r="V312" s="252" t="s">
        <v>2474</v>
      </c>
      <c r="W312" s="264" t="s">
        <v>2027</v>
      </c>
      <c r="X312" s="188" t="s">
        <v>2617</v>
      </c>
      <c r="Y312" s="187">
        <v>2019</v>
      </c>
    </row>
    <row r="313" spans="1:25" ht="180.75" customHeight="1" x14ac:dyDescent="0.3">
      <c r="A313" s="250" t="s">
        <v>1938</v>
      </c>
      <c r="B313" s="251" t="s">
        <v>1891</v>
      </c>
      <c r="C313" s="251" t="s">
        <v>1929</v>
      </c>
      <c r="D313" s="255" t="s">
        <v>1920</v>
      </c>
      <c r="E313" s="253" t="s">
        <v>464</v>
      </c>
      <c r="F313" s="278">
        <v>1.26</v>
      </c>
      <c r="G313" s="257" t="s">
        <v>2027</v>
      </c>
      <c r="H313" s="255" t="s">
        <v>2027</v>
      </c>
      <c r="I313" s="220" t="s">
        <v>2697</v>
      </c>
      <c r="J313" s="220" t="s">
        <v>1927</v>
      </c>
      <c r="K313" s="221" t="s">
        <v>1894</v>
      </c>
      <c r="L313" s="217" t="s">
        <v>1921</v>
      </c>
      <c r="M313" s="221" t="s">
        <v>26</v>
      </c>
      <c r="N313" s="220" t="s">
        <v>2698</v>
      </c>
      <c r="O313" s="221" t="s">
        <v>23</v>
      </c>
      <c r="P313" s="220" t="s">
        <v>1922</v>
      </c>
      <c r="Q313" s="220" t="s">
        <v>1923</v>
      </c>
      <c r="R313" s="221" t="s">
        <v>35</v>
      </c>
      <c r="S313" s="203" t="s">
        <v>2655</v>
      </c>
      <c r="T313" s="221" t="s">
        <v>32</v>
      </c>
      <c r="U313" s="221">
        <v>2017</v>
      </c>
      <c r="V313" s="252" t="s">
        <v>2474</v>
      </c>
      <c r="W313" s="264" t="s">
        <v>2027</v>
      </c>
      <c r="X313" s="188" t="s">
        <v>2617</v>
      </c>
      <c r="Y313" s="187">
        <v>2019</v>
      </c>
    </row>
    <row r="314" spans="1:25" ht="151.5" customHeight="1" x14ac:dyDescent="0.3">
      <c r="A314" s="250" t="s">
        <v>1939</v>
      </c>
      <c r="B314" s="251" t="s">
        <v>1891</v>
      </c>
      <c r="C314" s="251" t="s">
        <v>1928</v>
      </c>
      <c r="D314" s="255" t="s">
        <v>2699</v>
      </c>
      <c r="E314" s="253" t="s">
        <v>464</v>
      </c>
      <c r="F314" s="278">
        <v>1.52</v>
      </c>
      <c r="G314" s="257" t="s">
        <v>2027</v>
      </c>
      <c r="H314" s="255" t="s">
        <v>2027</v>
      </c>
      <c r="I314" s="220" t="s">
        <v>1926</v>
      </c>
      <c r="J314" s="220" t="s">
        <v>1894</v>
      </c>
      <c r="K314" s="221" t="s">
        <v>1894</v>
      </c>
      <c r="L314" s="217" t="s">
        <v>1924</v>
      </c>
      <c r="M314" s="221" t="s">
        <v>26</v>
      </c>
      <c r="N314" s="220" t="s">
        <v>2060</v>
      </c>
      <c r="O314" s="221" t="s">
        <v>431</v>
      </c>
      <c r="P314" s="220" t="s">
        <v>619</v>
      </c>
      <c r="Q314" s="220" t="s">
        <v>1925</v>
      </c>
      <c r="R314" s="221" t="s">
        <v>35</v>
      </c>
      <c r="S314" s="203" t="s">
        <v>2655</v>
      </c>
      <c r="T314" s="221" t="s">
        <v>32</v>
      </c>
      <c r="U314" s="221">
        <v>2017</v>
      </c>
      <c r="V314" s="252" t="s">
        <v>2474</v>
      </c>
      <c r="W314" s="264" t="s">
        <v>2027</v>
      </c>
      <c r="X314" s="188" t="s">
        <v>2617</v>
      </c>
      <c r="Y314" s="187">
        <v>2019</v>
      </c>
    </row>
    <row r="315" spans="1:25" ht="189" customHeight="1" x14ac:dyDescent="0.3">
      <c r="A315" s="250" t="s">
        <v>2104</v>
      </c>
      <c r="B315" s="251" t="s">
        <v>1891</v>
      </c>
      <c r="C315" s="251" t="s">
        <v>2136</v>
      </c>
      <c r="D315" s="255" t="s">
        <v>2105</v>
      </c>
      <c r="E315" s="253" t="s">
        <v>464</v>
      </c>
      <c r="F315" s="278" t="s">
        <v>2119</v>
      </c>
      <c r="G315" s="275">
        <v>4500</v>
      </c>
      <c r="H315" s="255" t="s">
        <v>2027</v>
      </c>
      <c r="I315" s="220" t="s">
        <v>2155</v>
      </c>
      <c r="J315" s="220" t="s">
        <v>635</v>
      </c>
      <c r="K315" s="220" t="s">
        <v>2153</v>
      </c>
      <c r="L315" s="217" t="s">
        <v>2641</v>
      </c>
      <c r="M315" s="221" t="s">
        <v>26</v>
      </c>
      <c r="N315" s="220" t="s">
        <v>2027</v>
      </c>
      <c r="O315" s="221" t="s">
        <v>1990</v>
      </c>
      <c r="P315" s="184" t="s">
        <v>2027</v>
      </c>
      <c r="Q315" s="220" t="s">
        <v>2158</v>
      </c>
      <c r="R315" s="217" t="s">
        <v>214</v>
      </c>
      <c r="S315" s="279">
        <v>3.5000000000000003E-2</v>
      </c>
      <c r="T315" s="220" t="s">
        <v>2154</v>
      </c>
      <c r="U315" s="221">
        <v>2011</v>
      </c>
      <c r="V315" s="252" t="s">
        <v>2027</v>
      </c>
      <c r="W315" s="280" t="s">
        <v>34</v>
      </c>
      <c r="X315" s="236" t="s">
        <v>2027</v>
      </c>
      <c r="Y315" s="187">
        <v>2019</v>
      </c>
    </row>
    <row r="316" spans="1:25" ht="117.75" customHeight="1" x14ac:dyDescent="0.3">
      <c r="A316" s="250" t="s">
        <v>2120</v>
      </c>
      <c r="B316" s="251" t="s">
        <v>1891</v>
      </c>
      <c r="C316" s="251" t="s">
        <v>2133</v>
      </c>
      <c r="D316" s="255" t="s">
        <v>149</v>
      </c>
      <c r="E316" s="253" t="s">
        <v>464</v>
      </c>
      <c r="F316" s="278" t="s">
        <v>2149</v>
      </c>
      <c r="G316" s="257" t="s">
        <v>2027</v>
      </c>
      <c r="H316" s="255" t="s">
        <v>2027</v>
      </c>
      <c r="I316" s="220" t="s">
        <v>2156</v>
      </c>
      <c r="J316" s="220" t="s">
        <v>635</v>
      </c>
      <c r="K316" s="220" t="s">
        <v>2153</v>
      </c>
      <c r="L316" s="217" t="s">
        <v>2157</v>
      </c>
      <c r="M316" s="221" t="s">
        <v>26</v>
      </c>
      <c r="N316" s="220" t="s">
        <v>2027</v>
      </c>
      <c r="O316" s="221" t="s">
        <v>147</v>
      </c>
      <c r="P316" s="184" t="s">
        <v>2027</v>
      </c>
      <c r="Q316" s="220" t="s">
        <v>2159</v>
      </c>
      <c r="R316" s="221" t="s">
        <v>2027</v>
      </c>
      <c r="S316" s="279">
        <v>3.5000000000000003E-2</v>
      </c>
      <c r="T316" s="220" t="s">
        <v>2154</v>
      </c>
      <c r="U316" s="221">
        <v>2011</v>
      </c>
      <c r="V316" s="252" t="s">
        <v>2027</v>
      </c>
      <c r="W316" s="280" t="s">
        <v>34</v>
      </c>
      <c r="X316" s="236" t="s">
        <v>2027</v>
      </c>
      <c r="Y316" s="187">
        <v>2019</v>
      </c>
    </row>
    <row r="317" spans="1:25" ht="173.25" customHeight="1" x14ac:dyDescent="0.3">
      <c r="A317" s="250" t="s">
        <v>2121</v>
      </c>
      <c r="B317" s="251" t="s">
        <v>1891</v>
      </c>
      <c r="C317" s="251" t="s">
        <v>1899</v>
      </c>
      <c r="D317" s="255" t="s">
        <v>2106</v>
      </c>
      <c r="E317" s="253" t="s">
        <v>464</v>
      </c>
      <c r="F317" s="278" t="s">
        <v>2140</v>
      </c>
      <c r="G317" s="257" t="s">
        <v>2027</v>
      </c>
      <c r="H317" s="255" t="s">
        <v>2027</v>
      </c>
      <c r="I317" s="220" t="s">
        <v>2161</v>
      </c>
      <c r="J317" s="220" t="s">
        <v>635</v>
      </c>
      <c r="K317" s="220" t="s">
        <v>2153</v>
      </c>
      <c r="L317" s="217" t="s">
        <v>2162</v>
      </c>
      <c r="M317" s="221" t="s">
        <v>26</v>
      </c>
      <c r="N317" s="220" t="s">
        <v>2163</v>
      </c>
      <c r="O317" s="221" t="s">
        <v>27</v>
      </c>
      <c r="P317" s="184" t="s">
        <v>2027</v>
      </c>
      <c r="Q317" s="220" t="s">
        <v>2160</v>
      </c>
      <c r="R317" s="221" t="s">
        <v>2027</v>
      </c>
      <c r="S317" s="279">
        <v>3.5000000000000003E-2</v>
      </c>
      <c r="T317" s="220" t="s">
        <v>2154</v>
      </c>
      <c r="U317" s="221">
        <v>2011</v>
      </c>
      <c r="V317" s="252" t="s">
        <v>2027</v>
      </c>
      <c r="W317" s="280" t="s">
        <v>34</v>
      </c>
      <c r="X317" s="236" t="s">
        <v>2027</v>
      </c>
      <c r="Y317" s="187">
        <v>2019</v>
      </c>
    </row>
    <row r="318" spans="1:25" ht="132.75" customHeight="1" x14ac:dyDescent="0.3">
      <c r="A318" s="250" t="s">
        <v>2122</v>
      </c>
      <c r="B318" s="251" t="s">
        <v>1891</v>
      </c>
      <c r="C318" s="251" t="s">
        <v>2134</v>
      </c>
      <c r="D318" s="255" t="s">
        <v>2114</v>
      </c>
      <c r="E318" s="253" t="s">
        <v>464</v>
      </c>
      <c r="F318" s="278" t="s">
        <v>2138</v>
      </c>
      <c r="G318" s="257" t="s">
        <v>2027</v>
      </c>
      <c r="H318" s="221" t="s">
        <v>2165</v>
      </c>
      <c r="I318" s="220" t="s">
        <v>2164</v>
      </c>
      <c r="J318" s="220" t="s">
        <v>635</v>
      </c>
      <c r="K318" s="220" t="s">
        <v>2153</v>
      </c>
      <c r="L318" s="217" t="s">
        <v>2641</v>
      </c>
      <c r="M318" s="221" t="s">
        <v>26</v>
      </c>
      <c r="N318" s="220" t="s">
        <v>2027</v>
      </c>
      <c r="O318" s="221" t="s">
        <v>2027</v>
      </c>
      <c r="P318" s="184" t="s">
        <v>2027</v>
      </c>
      <c r="Q318" s="220" t="s">
        <v>2160</v>
      </c>
      <c r="R318" s="221" t="s">
        <v>2027</v>
      </c>
      <c r="S318" s="279">
        <v>3.5000000000000003E-2</v>
      </c>
      <c r="T318" s="220" t="s">
        <v>2154</v>
      </c>
      <c r="U318" s="221">
        <v>2011</v>
      </c>
      <c r="V318" s="252" t="s">
        <v>2027</v>
      </c>
      <c r="W318" s="280" t="s">
        <v>34</v>
      </c>
      <c r="X318" s="236" t="s">
        <v>2027</v>
      </c>
      <c r="Y318" s="187">
        <v>2019</v>
      </c>
    </row>
    <row r="319" spans="1:25" ht="197.25" customHeight="1" x14ac:dyDescent="0.3">
      <c r="A319" s="250" t="s">
        <v>2123</v>
      </c>
      <c r="B319" s="251" t="s">
        <v>1891</v>
      </c>
      <c r="C319" s="251" t="s">
        <v>2134</v>
      </c>
      <c r="D319" s="255" t="s">
        <v>2115</v>
      </c>
      <c r="E319" s="253" t="s">
        <v>464</v>
      </c>
      <c r="F319" s="278" t="s">
        <v>2139</v>
      </c>
      <c r="G319" s="257" t="s">
        <v>2027</v>
      </c>
      <c r="H319" s="255" t="s">
        <v>2027</v>
      </c>
      <c r="I319" s="220" t="s">
        <v>2166</v>
      </c>
      <c r="J319" s="220" t="s">
        <v>635</v>
      </c>
      <c r="K319" s="220" t="s">
        <v>2153</v>
      </c>
      <c r="L319" s="217" t="s">
        <v>2167</v>
      </c>
      <c r="M319" s="221" t="s">
        <v>26</v>
      </c>
      <c r="N319" s="220" t="s">
        <v>2027</v>
      </c>
      <c r="O319" s="221" t="s">
        <v>27</v>
      </c>
      <c r="P319" s="184" t="s">
        <v>2027</v>
      </c>
      <c r="Q319" s="220" t="s">
        <v>2160</v>
      </c>
      <c r="R319" s="221" t="s">
        <v>2027</v>
      </c>
      <c r="S319" s="279">
        <v>3.5000000000000003E-2</v>
      </c>
      <c r="T319" s="220" t="s">
        <v>2154</v>
      </c>
      <c r="U319" s="221">
        <v>2011</v>
      </c>
      <c r="V319" s="252" t="s">
        <v>2027</v>
      </c>
      <c r="W319" s="280" t="s">
        <v>34</v>
      </c>
      <c r="X319" s="236" t="s">
        <v>2027</v>
      </c>
      <c r="Y319" s="187">
        <v>2019</v>
      </c>
    </row>
    <row r="320" spans="1:25" ht="201.75" customHeight="1" x14ac:dyDescent="0.3">
      <c r="A320" s="250" t="s">
        <v>2124</v>
      </c>
      <c r="B320" s="251" t="s">
        <v>1891</v>
      </c>
      <c r="C320" s="251" t="s">
        <v>1899</v>
      </c>
      <c r="D320" s="255" t="s">
        <v>2107</v>
      </c>
      <c r="E320" s="253" t="s">
        <v>464</v>
      </c>
      <c r="F320" s="278" t="s">
        <v>2141</v>
      </c>
      <c r="G320" s="257" t="s">
        <v>2027</v>
      </c>
      <c r="H320" s="255" t="s">
        <v>2027</v>
      </c>
      <c r="I320" s="220" t="s">
        <v>2168</v>
      </c>
      <c r="J320" s="220" t="s">
        <v>635</v>
      </c>
      <c r="K320" s="220" t="s">
        <v>2153</v>
      </c>
      <c r="L320" s="217" t="s">
        <v>2641</v>
      </c>
      <c r="M320" s="221" t="s">
        <v>26</v>
      </c>
      <c r="N320" s="220" t="s">
        <v>2027</v>
      </c>
      <c r="O320" s="221" t="s">
        <v>2027</v>
      </c>
      <c r="P320" s="184" t="s">
        <v>2027</v>
      </c>
      <c r="Q320" s="220" t="s">
        <v>2160</v>
      </c>
      <c r="R320" s="221" t="s">
        <v>2027</v>
      </c>
      <c r="S320" s="279">
        <v>3.5000000000000003E-2</v>
      </c>
      <c r="T320" s="220" t="s">
        <v>2154</v>
      </c>
      <c r="U320" s="221">
        <v>2011</v>
      </c>
      <c r="V320" s="252" t="s">
        <v>2027</v>
      </c>
      <c r="W320" s="280" t="s">
        <v>34</v>
      </c>
      <c r="X320" s="236" t="s">
        <v>2027</v>
      </c>
      <c r="Y320" s="187">
        <v>2019</v>
      </c>
    </row>
    <row r="321" spans="1:25" ht="123" customHeight="1" x14ac:dyDescent="0.3">
      <c r="A321" s="250" t="s">
        <v>2125</v>
      </c>
      <c r="B321" s="251" t="s">
        <v>1891</v>
      </c>
      <c r="C321" s="251" t="s">
        <v>2135</v>
      </c>
      <c r="D321" s="255" t="s">
        <v>2108</v>
      </c>
      <c r="E321" s="253" t="s">
        <v>464</v>
      </c>
      <c r="F321" s="278" t="s">
        <v>2142</v>
      </c>
      <c r="G321" s="257" t="s">
        <v>2027</v>
      </c>
      <c r="H321" s="255" t="s">
        <v>2027</v>
      </c>
      <c r="I321" s="220" t="s">
        <v>2169</v>
      </c>
      <c r="J321" s="220" t="s">
        <v>635</v>
      </c>
      <c r="K321" s="220" t="s">
        <v>2153</v>
      </c>
      <c r="L321" s="217" t="s">
        <v>2641</v>
      </c>
      <c r="M321" s="221" t="s">
        <v>26</v>
      </c>
      <c r="N321" s="220" t="s">
        <v>2027</v>
      </c>
      <c r="O321" s="221" t="s">
        <v>767</v>
      </c>
      <c r="P321" s="184" t="s">
        <v>2027</v>
      </c>
      <c r="Q321" s="220" t="s">
        <v>2160</v>
      </c>
      <c r="R321" s="221" t="s">
        <v>2027</v>
      </c>
      <c r="S321" s="279">
        <v>3.5000000000000003E-2</v>
      </c>
      <c r="T321" s="220" t="s">
        <v>2154</v>
      </c>
      <c r="U321" s="221">
        <v>2011</v>
      </c>
      <c r="V321" s="252" t="s">
        <v>2027</v>
      </c>
      <c r="W321" s="280" t="s">
        <v>34</v>
      </c>
      <c r="X321" s="236" t="s">
        <v>2027</v>
      </c>
      <c r="Y321" s="187">
        <v>2019</v>
      </c>
    </row>
    <row r="322" spans="1:25" ht="223.5" customHeight="1" x14ac:dyDescent="0.3">
      <c r="A322" s="250" t="s">
        <v>2126</v>
      </c>
      <c r="B322" s="251" t="s">
        <v>1891</v>
      </c>
      <c r="C322" s="251" t="s">
        <v>1909</v>
      </c>
      <c r="D322" s="255" t="s">
        <v>2109</v>
      </c>
      <c r="E322" s="253" t="s">
        <v>464</v>
      </c>
      <c r="F322" s="278" t="s">
        <v>2150</v>
      </c>
      <c r="G322" s="257" t="s">
        <v>2027</v>
      </c>
      <c r="H322" s="255" t="s">
        <v>2027</v>
      </c>
      <c r="I322" s="220" t="s">
        <v>2170</v>
      </c>
      <c r="J322" s="220" t="s">
        <v>635</v>
      </c>
      <c r="K322" s="220" t="s">
        <v>2153</v>
      </c>
      <c r="L322" s="217" t="s">
        <v>2171</v>
      </c>
      <c r="M322" s="221" t="s">
        <v>26</v>
      </c>
      <c r="N322" s="220" t="s">
        <v>2734</v>
      </c>
      <c r="O322" s="221" t="s">
        <v>52</v>
      </c>
      <c r="P322" s="184" t="s">
        <v>2027</v>
      </c>
      <c r="Q322" s="220" t="s">
        <v>2160</v>
      </c>
      <c r="R322" s="221" t="s">
        <v>214</v>
      </c>
      <c r="S322" s="279">
        <v>3.5000000000000003E-2</v>
      </c>
      <c r="T322" s="220" t="s">
        <v>2154</v>
      </c>
      <c r="U322" s="221">
        <v>2011</v>
      </c>
      <c r="V322" s="252" t="s">
        <v>2027</v>
      </c>
      <c r="W322" s="280" t="s">
        <v>34</v>
      </c>
      <c r="X322" s="236" t="s">
        <v>2027</v>
      </c>
      <c r="Y322" s="187">
        <v>2019</v>
      </c>
    </row>
    <row r="323" spans="1:25" ht="126" customHeight="1" x14ac:dyDescent="0.3">
      <c r="A323" s="250" t="s">
        <v>2127</v>
      </c>
      <c r="B323" s="251" t="s">
        <v>1891</v>
      </c>
      <c r="C323" s="251" t="s">
        <v>1913</v>
      </c>
      <c r="D323" s="255" t="s">
        <v>2116</v>
      </c>
      <c r="E323" s="253" t="s">
        <v>464</v>
      </c>
      <c r="F323" s="278" t="s">
        <v>2143</v>
      </c>
      <c r="G323" s="257" t="s">
        <v>2027</v>
      </c>
      <c r="H323" s="255" t="s">
        <v>2027</v>
      </c>
      <c r="I323" s="220" t="s">
        <v>2172</v>
      </c>
      <c r="J323" s="220" t="s">
        <v>635</v>
      </c>
      <c r="K323" s="220" t="s">
        <v>2153</v>
      </c>
      <c r="L323" s="217" t="s">
        <v>2173</v>
      </c>
      <c r="M323" s="221" t="s">
        <v>26</v>
      </c>
      <c r="N323" s="220" t="s">
        <v>2174</v>
      </c>
      <c r="O323" s="221" t="s">
        <v>23</v>
      </c>
      <c r="P323" s="184" t="s">
        <v>2027</v>
      </c>
      <c r="Q323" s="220" t="s">
        <v>2160</v>
      </c>
      <c r="R323" s="221" t="s">
        <v>2027</v>
      </c>
      <c r="S323" s="279">
        <v>3.5000000000000003E-2</v>
      </c>
      <c r="T323" s="220" t="s">
        <v>2154</v>
      </c>
      <c r="U323" s="221">
        <v>2011</v>
      </c>
      <c r="V323" s="252" t="s">
        <v>2027</v>
      </c>
      <c r="W323" s="280" t="s">
        <v>34</v>
      </c>
      <c r="X323" s="236" t="s">
        <v>2027</v>
      </c>
      <c r="Y323" s="187">
        <v>2019</v>
      </c>
    </row>
    <row r="324" spans="1:25" ht="163.5" customHeight="1" x14ac:dyDescent="0.3">
      <c r="A324" s="250" t="s">
        <v>2128</v>
      </c>
      <c r="B324" s="251" t="s">
        <v>1891</v>
      </c>
      <c r="C324" s="251" t="s">
        <v>1917</v>
      </c>
      <c r="D324" s="255" t="s">
        <v>2110</v>
      </c>
      <c r="E324" s="253" t="s">
        <v>464</v>
      </c>
      <c r="F324" s="278" t="s">
        <v>2144</v>
      </c>
      <c r="G324" s="257" t="s">
        <v>2027</v>
      </c>
      <c r="H324" s="221" t="s">
        <v>2165</v>
      </c>
      <c r="I324" s="220" t="s">
        <v>2175</v>
      </c>
      <c r="J324" s="220" t="s">
        <v>635</v>
      </c>
      <c r="K324" s="220" t="s">
        <v>2153</v>
      </c>
      <c r="L324" s="217" t="s">
        <v>2176</v>
      </c>
      <c r="M324" s="221" t="s">
        <v>26</v>
      </c>
      <c r="N324" s="220" t="s">
        <v>2027</v>
      </c>
      <c r="O324" s="221" t="s">
        <v>27</v>
      </c>
      <c r="P324" s="184" t="s">
        <v>2027</v>
      </c>
      <c r="Q324" s="220" t="s">
        <v>2160</v>
      </c>
      <c r="R324" s="221" t="s">
        <v>35</v>
      </c>
      <c r="S324" s="279">
        <v>3.5000000000000003E-2</v>
      </c>
      <c r="T324" s="220" t="s">
        <v>2154</v>
      </c>
      <c r="U324" s="221">
        <v>2011</v>
      </c>
      <c r="V324" s="252" t="s">
        <v>2027</v>
      </c>
      <c r="W324" s="280" t="s">
        <v>34</v>
      </c>
      <c r="X324" s="236" t="s">
        <v>2027</v>
      </c>
      <c r="Y324" s="187">
        <v>2019</v>
      </c>
    </row>
    <row r="325" spans="1:25" ht="76.5" customHeight="1" x14ac:dyDescent="0.3">
      <c r="A325" s="250" t="s">
        <v>2129</v>
      </c>
      <c r="B325" s="251" t="s">
        <v>1891</v>
      </c>
      <c r="C325" s="251" t="s">
        <v>1917</v>
      </c>
      <c r="D325" s="255" t="s">
        <v>2118</v>
      </c>
      <c r="E325" s="253" t="s">
        <v>464</v>
      </c>
      <c r="F325" s="278" t="s">
        <v>2145</v>
      </c>
      <c r="G325" s="257" t="s">
        <v>2027</v>
      </c>
      <c r="H325" s="255" t="s">
        <v>2027</v>
      </c>
      <c r="I325" s="220" t="s">
        <v>2759</v>
      </c>
      <c r="J325" s="220" t="s">
        <v>635</v>
      </c>
      <c r="K325" s="220" t="s">
        <v>2153</v>
      </c>
      <c r="L325" s="217" t="s">
        <v>2641</v>
      </c>
      <c r="M325" s="221" t="s">
        <v>26</v>
      </c>
      <c r="N325" s="220" t="s">
        <v>2027</v>
      </c>
      <c r="O325" s="221" t="s">
        <v>27</v>
      </c>
      <c r="P325" s="184" t="s">
        <v>2027</v>
      </c>
      <c r="Q325" s="220" t="s">
        <v>2160</v>
      </c>
      <c r="R325" s="221" t="s">
        <v>2027</v>
      </c>
      <c r="S325" s="279">
        <v>3.5000000000000003E-2</v>
      </c>
      <c r="T325" s="220" t="s">
        <v>2154</v>
      </c>
      <c r="U325" s="221">
        <v>2011</v>
      </c>
      <c r="V325" s="252" t="s">
        <v>2027</v>
      </c>
      <c r="W325" s="280" t="s">
        <v>34</v>
      </c>
      <c r="X325" s="236" t="s">
        <v>2027</v>
      </c>
      <c r="Y325" s="187">
        <v>2019</v>
      </c>
    </row>
    <row r="326" spans="1:25" ht="131.25" customHeight="1" x14ac:dyDescent="0.3">
      <c r="A326" s="250" t="s">
        <v>2130</v>
      </c>
      <c r="B326" s="251" t="s">
        <v>1891</v>
      </c>
      <c r="C326" s="251" t="s">
        <v>2136</v>
      </c>
      <c r="D326" s="255" t="s">
        <v>2111</v>
      </c>
      <c r="E326" s="253" t="s">
        <v>464</v>
      </c>
      <c r="F326" s="278" t="s">
        <v>2146</v>
      </c>
      <c r="G326" s="275">
        <v>3614</v>
      </c>
      <c r="H326" s="255" t="s">
        <v>2027</v>
      </c>
      <c r="I326" s="220" t="s">
        <v>2177</v>
      </c>
      <c r="J326" s="220" t="s">
        <v>635</v>
      </c>
      <c r="K326" s="220" t="s">
        <v>2153</v>
      </c>
      <c r="L326" s="217" t="s">
        <v>2179</v>
      </c>
      <c r="M326" s="221" t="s">
        <v>26</v>
      </c>
      <c r="N326" s="220" t="s">
        <v>2027</v>
      </c>
      <c r="O326" s="221" t="s">
        <v>431</v>
      </c>
      <c r="P326" s="184" t="s">
        <v>2027</v>
      </c>
      <c r="Q326" s="220" t="s">
        <v>2178</v>
      </c>
      <c r="R326" s="221" t="s">
        <v>35</v>
      </c>
      <c r="S326" s="279">
        <v>3.5000000000000003E-2</v>
      </c>
      <c r="T326" s="220" t="s">
        <v>2154</v>
      </c>
      <c r="U326" s="221">
        <v>2011</v>
      </c>
      <c r="V326" s="252" t="s">
        <v>2027</v>
      </c>
      <c r="W326" s="280" t="s">
        <v>34</v>
      </c>
      <c r="X326" s="236" t="s">
        <v>2027</v>
      </c>
      <c r="Y326" s="187">
        <v>2019</v>
      </c>
    </row>
    <row r="327" spans="1:25" ht="123.75" customHeight="1" x14ac:dyDescent="0.3">
      <c r="A327" s="250" t="s">
        <v>2131</v>
      </c>
      <c r="B327" s="251" t="s">
        <v>1891</v>
      </c>
      <c r="C327" s="251" t="s">
        <v>2137</v>
      </c>
      <c r="D327" s="255" t="s">
        <v>2112</v>
      </c>
      <c r="E327" s="253" t="s">
        <v>464</v>
      </c>
      <c r="F327" s="278" t="s">
        <v>2147</v>
      </c>
      <c r="G327" s="275">
        <v>3402</v>
      </c>
      <c r="H327" s="255" t="s">
        <v>2027</v>
      </c>
      <c r="I327" s="220" t="s">
        <v>2180</v>
      </c>
      <c r="J327" s="220" t="s">
        <v>635</v>
      </c>
      <c r="K327" s="220" t="s">
        <v>2153</v>
      </c>
      <c r="L327" s="217" t="s">
        <v>2181</v>
      </c>
      <c r="M327" s="221" t="s">
        <v>26</v>
      </c>
      <c r="N327" s="220" t="s">
        <v>2182</v>
      </c>
      <c r="O327" s="221" t="s">
        <v>366</v>
      </c>
      <c r="P327" s="184" t="s">
        <v>2027</v>
      </c>
      <c r="Q327" s="220" t="s">
        <v>2178</v>
      </c>
      <c r="R327" s="221" t="s">
        <v>35</v>
      </c>
      <c r="S327" s="279">
        <v>3.5000000000000003E-2</v>
      </c>
      <c r="T327" s="220" t="s">
        <v>2154</v>
      </c>
      <c r="U327" s="221">
        <v>2011</v>
      </c>
      <c r="V327" s="252" t="s">
        <v>2027</v>
      </c>
      <c r="W327" s="280" t="s">
        <v>34</v>
      </c>
      <c r="X327" s="236" t="s">
        <v>2027</v>
      </c>
      <c r="Y327" s="187">
        <v>2019</v>
      </c>
    </row>
    <row r="328" spans="1:25" ht="136.5" customHeight="1" x14ac:dyDescent="0.3">
      <c r="A328" s="250" t="s">
        <v>2132</v>
      </c>
      <c r="B328" s="251" t="s">
        <v>1891</v>
      </c>
      <c r="C328" s="251" t="s">
        <v>1929</v>
      </c>
      <c r="D328" s="255" t="s">
        <v>2113</v>
      </c>
      <c r="E328" s="253" t="s">
        <v>464</v>
      </c>
      <c r="F328" s="278" t="s">
        <v>2148</v>
      </c>
      <c r="G328" s="257" t="s">
        <v>2027</v>
      </c>
      <c r="H328" s="255" t="s">
        <v>2027</v>
      </c>
      <c r="I328" s="220" t="s">
        <v>2183</v>
      </c>
      <c r="J328" s="220" t="s">
        <v>635</v>
      </c>
      <c r="K328" s="220" t="s">
        <v>2153</v>
      </c>
      <c r="L328" s="217" t="s">
        <v>2185</v>
      </c>
      <c r="M328" s="221" t="s">
        <v>26</v>
      </c>
      <c r="N328" s="220" t="s">
        <v>2184</v>
      </c>
      <c r="O328" s="221" t="s">
        <v>2027</v>
      </c>
      <c r="P328" s="184" t="s">
        <v>2027</v>
      </c>
      <c r="Q328" s="220" t="s">
        <v>2160</v>
      </c>
      <c r="R328" s="221" t="s">
        <v>2027</v>
      </c>
      <c r="S328" s="279">
        <v>3.5000000000000003E-2</v>
      </c>
      <c r="T328" s="220" t="s">
        <v>2154</v>
      </c>
      <c r="U328" s="221">
        <v>2011</v>
      </c>
      <c r="V328" s="252" t="s">
        <v>2027</v>
      </c>
      <c r="W328" s="280" t="s">
        <v>34</v>
      </c>
      <c r="X328" s="236" t="s">
        <v>2027</v>
      </c>
      <c r="Y328" s="187">
        <v>2019</v>
      </c>
    </row>
    <row r="329" spans="1:25" ht="200.25" customHeight="1" x14ac:dyDescent="0.3">
      <c r="A329" s="250" t="s">
        <v>2151</v>
      </c>
      <c r="B329" s="251" t="s">
        <v>1891</v>
      </c>
      <c r="C329" s="251" t="s">
        <v>1909</v>
      </c>
      <c r="D329" s="255" t="s">
        <v>2117</v>
      </c>
      <c r="E329" s="253" t="s">
        <v>464</v>
      </c>
      <c r="F329" s="278" t="s">
        <v>2152</v>
      </c>
      <c r="G329" s="257" t="s">
        <v>2027</v>
      </c>
      <c r="H329" s="221" t="s">
        <v>2165</v>
      </c>
      <c r="I329" s="220" t="s">
        <v>2186</v>
      </c>
      <c r="J329" s="220" t="s">
        <v>635</v>
      </c>
      <c r="K329" s="220" t="s">
        <v>2153</v>
      </c>
      <c r="L329" s="217" t="s">
        <v>2187</v>
      </c>
      <c r="M329" s="221" t="s">
        <v>26</v>
      </c>
      <c r="N329" s="220" t="s">
        <v>2027</v>
      </c>
      <c r="O329" s="221" t="s">
        <v>431</v>
      </c>
      <c r="P329" s="184" t="s">
        <v>2027</v>
      </c>
      <c r="Q329" s="220" t="s">
        <v>2160</v>
      </c>
      <c r="R329" s="221" t="s">
        <v>2027</v>
      </c>
      <c r="S329" s="279">
        <v>3.5000000000000003E-2</v>
      </c>
      <c r="T329" s="220" t="s">
        <v>2154</v>
      </c>
      <c r="U329" s="221">
        <v>2011</v>
      </c>
      <c r="V329" s="252" t="s">
        <v>2027</v>
      </c>
      <c r="W329" s="280" t="s">
        <v>34</v>
      </c>
      <c r="X329" s="236" t="s">
        <v>2027</v>
      </c>
      <c r="Y329" s="187">
        <v>2019</v>
      </c>
    </row>
    <row r="330" spans="1:25" ht="151.80000000000001" x14ac:dyDescent="0.3">
      <c r="A330" s="250" t="s">
        <v>2240</v>
      </c>
      <c r="B330" s="251" t="s">
        <v>1891</v>
      </c>
      <c r="C330" s="251" t="s">
        <v>2218</v>
      </c>
      <c r="D330" s="255" t="s">
        <v>2219</v>
      </c>
      <c r="E330" s="253" t="s">
        <v>464</v>
      </c>
      <c r="F330" s="201" t="s">
        <v>2027</v>
      </c>
      <c r="G330" s="257" t="s">
        <v>249</v>
      </c>
      <c r="H330" s="255" t="s">
        <v>2662</v>
      </c>
      <c r="I330" s="255" t="s">
        <v>2735</v>
      </c>
      <c r="J330" s="255" t="s">
        <v>2204</v>
      </c>
      <c r="K330" s="256" t="s">
        <v>1391</v>
      </c>
      <c r="L330" s="255" t="s">
        <v>2678</v>
      </c>
      <c r="M330" s="255" t="s">
        <v>2220</v>
      </c>
      <c r="N330" s="255" t="s">
        <v>2676</v>
      </c>
      <c r="O330" s="255" t="s">
        <v>2221</v>
      </c>
      <c r="P330" s="187" t="s">
        <v>2027</v>
      </c>
      <c r="Q330" s="255" t="s">
        <v>2222</v>
      </c>
      <c r="R330" s="258" t="s">
        <v>35</v>
      </c>
      <c r="S330" s="259">
        <v>3.5000000000000003E-2</v>
      </c>
      <c r="T330" s="255" t="s">
        <v>32</v>
      </c>
      <c r="U330" s="260">
        <v>2018</v>
      </c>
      <c r="V330" s="254" t="s">
        <v>2473</v>
      </c>
      <c r="W330" s="192" t="s">
        <v>2210</v>
      </c>
      <c r="X330" s="184" t="s">
        <v>2619</v>
      </c>
      <c r="Y330" s="187">
        <v>2019</v>
      </c>
    </row>
    <row r="331" spans="1:25" ht="138" x14ac:dyDescent="0.3">
      <c r="A331" s="250" t="s">
        <v>2241</v>
      </c>
      <c r="B331" s="251" t="s">
        <v>1891</v>
      </c>
      <c r="C331" s="251" t="s">
        <v>2218</v>
      </c>
      <c r="D331" s="255" t="s">
        <v>2223</v>
      </c>
      <c r="E331" s="253" t="s">
        <v>464</v>
      </c>
      <c r="F331" s="201" t="s">
        <v>2027</v>
      </c>
      <c r="G331" s="257" t="s">
        <v>249</v>
      </c>
      <c r="H331" s="255" t="s">
        <v>2662</v>
      </c>
      <c r="I331" s="255" t="s">
        <v>2666</v>
      </c>
      <c r="J331" s="255" t="s">
        <v>2204</v>
      </c>
      <c r="K331" s="256" t="s">
        <v>1391</v>
      </c>
      <c r="L331" s="255" t="s">
        <v>2679</v>
      </c>
      <c r="M331" s="255" t="s">
        <v>2220</v>
      </c>
      <c r="N331" s="201" t="s">
        <v>2675</v>
      </c>
      <c r="O331" s="255" t="s">
        <v>2221</v>
      </c>
      <c r="P331" s="187" t="s">
        <v>2027</v>
      </c>
      <c r="Q331" s="255" t="s">
        <v>2222</v>
      </c>
      <c r="R331" s="258" t="s">
        <v>35</v>
      </c>
      <c r="S331" s="259">
        <v>3.5000000000000003E-2</v>
      </c>
      <c r="T331" s="255" t="s">
        <v>32</v>
      </c>
      <c r="U331" s="260">
        <v>2018</v>
      </c>
      <c r="V331" s="254" t="s">
        <v>2473</v>
      </c>
      <c r="W331" s="192" t="s">
        <v>2210</v>
      </c>
      <c r="X331" s="184" t="s">
        <v>2620</v>
      </c>
      <c r="Y331" s="187">
        <v>2019</v>
      </c>
    </row>
    <row r="332" spans="1:25" ht="236.25" customHeight="1" x14ac:dyDescent="0.3">
      <c r="A332" s="250" t="s">
        <v>2242</v>
      </c>
      <c r="B332" s="251" t="s">
        <v>1891</v>
      </c>
      <c r="C332" s="251" t="s">
        <v>2218</v>
      </c>
      <c r="D332" s="255" t="s">
        <v>2224</v>
      </c>
      <c r="E332" s="253" t="s">
        <v>464</v>
      </c>
      <c r="F332" s="201" t="s">
        <v>2027</v>
      </c>
      <c r="G332" s="257" t="s">
        <v>249</v>
      </c>
      <c r="H332" s="255" t="s">
        <v>2662</v>
      </c>
      <c r="I332" s="255" t="s">
        <v>2667</v>
      </c>
      <c r="J332" s="255" t="s">
        <v>2204</v>
      </c>
      <c r="K332" s="256" t="s">
        <v>1391</v>
      </c>
      <c r="L332" s="255" t="s">
        <v>2680</v>
      </c>
      <c r="M332" s="255" t="s">
        <v>2220</v>
      </c>
      <c r="N332" s="255" t="s">
        <v>2677</v>
      </c>
      <c r="O332" s="255" t="s">
        <v>2221</v>
      </c>
      <c r="P332" s="187" t="s">
        <v>2027</v>
      </c>
      <c r="Q332" s="255" t="s">
        <v>2222</v>
      </c>
      <c r="R332" s="258" t="s">
        <v>35</v>
      </c>
      <c r="S332" s="259">
        <v>3.5000000000000003E-2</v>
      </c>
      <c r="T332" s="255" t="s">
        <v>32</v>
      </c>
      <c r="U332" s="260">
        <v>2018</v>
      </c>
      <c r="V332" s="254" t="s">
        <v>2473</v>
      </c>
      <c r="W332" s="192" t="s">
        <v>2210</v>
      </c>
      <c r="X332" s="184" t="s">
        <v>2621</v>
      </c>
      <c r="Y332" s="187">
        <v>2019</v>
      </c>
    </row>
    <row r="333" spans="1:25" ht="221.25" customHeight="1" x14ac:dyDescent="0.3">
      <c r="A333" s="250" t="s">
        <v>2243</v>
      </c>
      <c r="B333" s="251" t="s">
        <v>1891</v>
      </c>
      <c r="C333" s="251" t="s">
        <v>2218</v>
      </c>
      <c r="D333" s="255" t="s">
        <v>2225</v>
      </c>
      <c r="E333" s="253" t="s">
        <v>464</v>
      </c>
      <c r="F333" s="201" t="s">
        <v>2027</v>
      </c>
      <c r="G333" s="257">
        <v>147</v>
      </c>
      <c r="H333" s="255" t="s">
        <v>2027</v>
      </c>
      <c r="I333" s="255" t="s">
        <v>2226</v>
      </c>
      <c r="J333" s="255" t="s">
        <v>2204</v>
      </c>
      <c r="K333" s="256" t="s">
        <v>1391</v>
      </c>
      <c r="L333" s="255" t="s">
        <v>2681</v>
      </c>
      <c r="M333" s="255" t="s">
        <v>2220</v>
      </c>
      <c r="N333" s="201" t="s">
        <v>2668</v>
      </c>
      <c r="O333" s="255" t="s">
        <v>2227</v>
      </c>
      <c r="P333" s="187" t="s">
        <v>2027</v>
      </c>
      <c r="Q333" s="255" t="s">
        <v>2228</v>
      </c>
      <c r="R333" s="258" t="s">
        <v>35</v>
      </c>
      <c r="S333" s="215" t="s">
        <v>2229</v>
      </c>
      <c r="T333" s="255" t="s">
        <v>32</v>
      </c>
      <c r="U333" s="260">
        <v>2018</v>
      </c>
      <c r="V333" s="254" t="s">
        <v>2473</v>
      </c>
      <c r="W333" s="192" t="s">
        <v>2210</v>
      </c>
      <c r="X333" s="184" t="s">
        <v>2622</v>
      </c>
      <c r="Y333" s="187">
        <v>2019</v>
      </c>
    </row>
    <row r="334" spans="1:25" ht="254.25" customHeight="1" x14ac:dyDescent="0.3">
      <c r="A334" s="250" t="s">
        <v>2244</v>
      </c>
      <c r="B334" s="251" t="s">
        <v>1891</v>
      </c>
      <c r="C334" s="251" t="s">
        <v>2218</v>
      </c>
      <c r="D334" s="255" t="s">
        <v>2230</v>
      </c>
      <c r="E334" s="253" t="s">
        <v>464</v>
      </c>
      <c r="F334" s="201" t="s">
        <v>2027</v>
      </c>
      <c r="G334" s="257">
        <v>7365</v>
      </c>
      <c r="H334" s="255" t="s">
        <v>2027</v>
      </c>
      <c r="I334" s="255" t="s">
        <v>2736</v>
      </c>
      <c r="J334" s="255" t="s">
        <v>2204</v>
      </c>
      <c r="K334" s="256" t="s">
        <v>1391</v>
      </c>
      <c r="L334" s="255" t="s">
        <v>2682</v>
      </c>
      <c r="M334" s="255" t="s">
        <v>2220</v>
      </c>
      <c r="N334" s="255" t="s">
        <v>2669</v>
      </c>
      <c r="O334" s="255" t="s">
        <v>2227</v>
      </c>
      <c r="P334" s="187" t="s">
        <v>2027</v>
      </c>
      <c r="Q334" s="255" t="s">
        <v>2228</v>
      </c>
      <c r="R334" s="258" t="s">
        <v>35</v>
      </c>
      <c r="S334" s="215" t="s">
        <v>2229</v>
      </c>
      <c r="T334" s="255" t="s">
        <v>32</v>
      </c>
      <c r="U334" s="260">
        <v>2018</v>
      </c>
      <c r="V334" s="254" t="s">
        <v>2473</v>
      </c>
      <c r="W334" s="192" t="s">
        <v>2210</v>
      </c>
      <c r="X334" s="184" t="s">
        <v>2623</v>
      </c>
      <c r="Y334" s="187">
        <v>2019</v>
      </c>
    </row>
    <row r="335" spans="1:25" ht="138" x14ac:dyDescent="0.3">
      <c r="A335" s="250" t="s">
        <v>2245</v>
      </c>
      <c r="B335" s="251" t="s">
        <v>1891</v>
      </c>
      <c r="C335" s="251" t="s">
        <v>2218</v>
      </c>
      <c r="D335" s="255" t="s">
        <v>2231</v>
      </c>
      <c r="E335" s="253" t="s">
        <v>464</v>
      </c>
      <c r="F335" s="201" t="s">
        <v>2027</v>
      </c>
      <c r="G335" s="257">
        <v>9566</v>
      </c>
      <c r="H335" s="255" t="s">
        <v>2027</v>
      </c>
      <c r="I335" s="255" t="s">
        <v>2232</v>
      </c>
      <c r="J335" s="255" t="s">
        <v>2204</v>
      </c>
      <c r="K335" s="256" t="s">
        <v>1391</v>
      </c>
      <c r="L335" s="255" t="s">
        <v>2683</v>
      </c>
      <c r="M335" s="255" t="s">
        <v>2220</v>
      </c>
      <c r="N335" s="255" t="s">
        <v>2670</v>
      </c>
      <c r="O335" s="255" t="s">
        <v>2227</v>
      </c>
      <c r="P335" s="187" t="s">
        <v>2027</v>
      </c>
      <c r="Q335" s="255" t="s">
        <v>2228</v>
      </c>
      <c r="R335" s="258" t="s">
        <v>35</v>
      </c>
      <c r="S335" s="215" t="s">
        <v>2229</v>
      </c>
      <c r="T335" s="255" t="s">
        <v>32</v>
      </c>
      <c r="U335" s="260">
        <v>2018</v>
      </c>
      <c r="V335" s="254" t="s">
        <v>2473</v>
      </c>
      <c r="W335" s="192" t="s">
        <v>2210</v>
      </c>
      <c r="X335" s="184" t="s">
        <v>2624</v>
      </c>
      <c r="Y335" s="187">
        <v>2019</v>
      </c>
    </row>
    <row r="336" spans="1:25" ht="219" customHeight="1" x14ac:dyDescent="0.3">
      <c r="A336" s="250" t="s">
        <v>2246</v>
      </c>
      <c r="B336" s="251" t="s">
        <v>1891</v>
      </c>
      <c r="C336" s="251" t="s">
        <v>2218</v>
      </c>
      <c r="D336" s="255" t="s">
        <v>2737</v>
      </c>
      <c r="E336" s="253" t="s">
        <v>464</v>
      </c>
      <c r="F336" s="201" t="s">
        <v>2027</v>
      </c>
      <c r="G336" s="257">
        <v>41258</v>
      </c>
      <c r="H336" s="255" t="s">
        <v>2027</v>
      </c>
      <c r="I336" s="255" t="s">
        <v>2233</v>
      </c>
      <c r="J336" s="255" t="s">
        <v>2204</v>
      </c>
      <c r="K336" s="256" t="s">
        <v>1391</v>
      </c>
      <c r="L336" s="255" t="s">
        <v>2234</v>
      </c>
      <c r="M336" s="255" t="s">
        <v>2220</v>
      </c>
      <c r="N336" s="255" t="s">
        <v>2671</v>
      </c>
      <c r="O336" s="255" t="s">
        <v>2227</v>
      </c>
      <c r="P336" s="187" t="s">
        <v>2027</v>
      </c>
      <c r="Q336" s="255" t="s">
        <v>2228</v>
      </c>
      <c r="R336" s="258" t="s">
        <v>35</v>
      </c>
      <c r="S336" s="215" t="s">
        <v>2229</v>
      </c>
      <c r="T336" s="255" t="s">
        <v>32</v>
      </c>
      <c r="U336" s="260">
        <v>2018</v>
      </c>
      <c r="V336" s="254" t="s">
        <v>2473</v>
      </c>
      <c r="W336" s="192" t="s">
        <v>2210</v>
      </c>
      <c r="X336" s="184" t="s">
        <v>2620</v>
      </c>
      <c r="Y336" s="187">
        <v>2019</v>
      </c>
    </row>
    <row r="337" spans="1:25" ht="138" x14ac:dyDescent="0.3">
      <c r="A337" s="250" t="s">
        <v>2247</v>
      </c>
      <c r="B337" s="251" t="s">
        <v>1891</v>
      </c>
      <c r="C337" s="251" t="s">
        <v>2218</v>
      </c>
      <c r="D337" s="255" t="s">
        <v>2684</v>
      </c>
      <c r="E337" s="253" t="s">
        <v>464</v>
      </c>
      <c r="F337" s="201" t="s">
        <v>2027</v>
      </c>
      <c r="G337" s="257">
        <v>17551</v>
      </c>
      <c r="H337" s="255" t="s">
        <v>2027</v>
      </c>
      <c r="I337" s="255" t="s">
        <v>2235</v>
      </c>
      <c r="J337" s="255" t="s">
        <v>2204</v>
      </c>
      <c r="K337" s="256" t="s">
        <v>1391</v>
      </c>
      <c r="L337" s="255" t="s">
        <v>2236</v>
      </c>
      <c r="M337" s="255" t="s">
        <v>2220</v>
      </c>
      <c r="N337" s="255" t="s">
        <v>2672</v>
      </c>
      <c r="O337" s="255" t="s">
        <v>2227</v>
      </c>
      <c r="P337" s="187" t="s">
        <v>2027</v>
      </c>
      <c r="Q337" s="255" t="s">
        <v>2228</v>
      </c>
      <c r="R337" s="258" t="s">
        <v>35</v>
      </c>
      <c r="S337" s="215" t="s">
        <v>2229</v>
      </c>
      <c r="T337" s="255" t="s">
        <v>32</v>
      </c>
      <c r="U337" s="260">
        <v>2018</v>
      </c>
      <c r="V337" s="254" t="s">
        <v>2473</v>
      </c>
      <c r="W337" s="192" t="s">
        <v>2210</v>
      </c>
      <c r="X337" s="184" t="s">
        <v>2625</v>
      </c>
      <c r="Y337" s="187">
        <v>2019</v>
      </c>
    </row>
    <row r="338" spans="1:25" ht="225.75" customHeight="1" x14ac:dyDescent="0.3">
      <c r="A338" s="250" t="s">
        <v>2248</v>
      </c>
      <c r="B338" s="251" t="s">
        <v>1891</v>
      </c>
      <c r="C338" s="251" t="s">
        <v>2218</v>
      </c>
      <c r="D338" s="255" t="s">
        <v>2237</v>
      </c>
      <c r="E338" s="253" t="s">
        <v>464</v>
      </c>
      <c r="F338" s="201" t="s">
        <v>2027</v>
      </c>
      <c r="G338" s="257">
        <v>35083</v>
      </c>
      <c r="H338" s="255" t="s">
        <v>2027</v>
      </c>
      <c r="I338" s="255" t="s">
        <v>2238</v>
      </c>
      <c r="J338" s="255" t="s">
        <v>2204</v>
      </c>
      <c r="K338" s="256" t="s">
        <v>1391</v>
      </c>
      <c r="L338" s="255" t="s">
        <v>2239</v>
      </c>
      <c r="M338" s="255" t="s">
        <v>2220</v>
      </c>
      <c r="N338" s="255" t="s">
        <v>2673</v>
      </c>
      <c r="O338" s="255" t="s">
        <v>2227</v>
      </c>
      <c r="P338" s="187" t="s">
        <v>2027</v>
      </c>
      <c r="Q338" s="255" t="s">
        <v>2228</v>
      </c>
      <c r="R338" s="258" t="s">
        <v>35</v>
      </c>
      <c r="S338" s="215" t="s">
        <v>2229</v>
      </c>
      <c r="T338" s="255" t="s">
        <v>32</v>
      </c>
      <c r="U338" s="260">
        <v>2018</v>
      </c>
      <c r="V338" s="254" t="s">
        <v>2473</v>
      </c>
      <c r="W338" s="192" t="s">
        <v>2210</v>
      </c>
      <c r="X338" s="184" t="s">
        <v>2626</v>
      </c>
      <c r="Y338" s="187">
        <v>2019</v>
      </c>
    </row>
    <row r="339" spans="1:25" ht="165.6" x14ac:dyDescent="0.3">
      <c r="A339" s="250" t="s">
        <v>2506</v>
      </c>
      <c r="B339" s="265" t="s">
        <v>1891</v>
      </c>
      <c r="C339" s="265" t="s">
        <v>2553</v>
      </c>
      <c r="D339" s="255" t="s">
        <v>2554</v>
      </c>
      <c r="E339" s="253" t="s">
        <v>464</v>
      </c>
      <c r="F339" s="255" t="s">
        <v>2555</v>
      </c>
      <c r="G339" s="257" t="s">
        <v>2027</v>
      </c>
      <c r="H339" s="255" t="s">
        <v>2027</v>
      </c>
      <c r="I339" s="255" t="s">
        <v>2556</v>
      </c>
      <c r="J339" s="184" t="s">
        <v>58</v>
      </c>
      <c r="K339" s="255" t="s">
        <v>2252</v>
      </c>
      <c r="L339" s="255" t="s">
        <v>2557</v>
      </c>
      <c r="M339" s="255" t="s">
        <v>2558</v>
      </c>
      <c r="N339" s="255" t="s">
        <v>2559</v>
      </c>
      <c r="O339" s="184" t="s">
        <v>23</v>
      </c>
      <c r="P339" s="184" t="s">
        <v>2027</v>
      </c>
      <c r="Q339" s="255" t="s">
        <v>2560</v>
      </c>
      <c r="R339" s="258" t="s">
        <v>2561</v>
      </c>
      <c r="S339" s="191" t="s">
        <v>2562</v>
      </c>
      <c r="T339" s="255" t="s">
        <v>2563</v>
      </c>
      <c r="U339" s="255">
        <v>2014</v>
      </c>
      <c r="V339" s="201" t="s">
        <v>2564</v>
      </c>
      <c r="W339" s="268" t="s">
        <v>2210</v>
      </c>
      <c r="X339" s="184" t="s">
        <v>2027</v>
      </c>
      <c r="Y339" s="187">
        <v>2019</v>
      </c>
    </row>
    <row r="340" spans="1:25" ht="124.2" x14ac:dyDescent="0.3">
      <c r="A340" s="250" t="s">
        <v>2565</v>
      </c>
      <c r="B340" s="251" t="s">
        <v>1891</v>
      </c>
      <c r="C340" s="251" t="s">
        <v>2498</v>
      </c>
      <c r="D340" s="184" t="s">
        <v>2499</v>
      </c>
      <c r="E340" s="253" t="s">
        <v>464</v>
      </c>
      <c r="F340" s="184" t="s">
        <v>2500</v>
      </c>
      <c r="G340" s="257" t="s">
        <v>2027</v>
      </c>
      <c r="H340" s="255" t="s">
        <v>2027</v>
      </c>
      <c r="I340" s="184" t="s">
        <v>2501</v>
      </c>
      <c r="J340" s="184" t="s">
        <v>58</v>
      </c>
      <c r="K340" s="184" t="s">
        <v>2252</v>
      </c>
      <c r="L340" s="184" t="s">
        <v>2502</v>
      </c>
      <c r="M340" s="184" t="s">
        <v>2254</v>
      </c>
      <c r="N340" s="184" t="s">
        <v>2503</v>
      </c>
      <c r="O340" s="184" t="s">
        <v>52</v>
      </c>
      <c r="P340" s="184" t="s">
        <v>2027</v>
      </c>
      <c r="Q340" s="255" t="s">
        <v>2504</v>
      </c>
      <c r="R340" s="187" t="s">
        <v>35</v>
      </c>
      <c r="S340" s="190" t="s">
        <v>331</v>
      </c>
      <c r="T340" s="255" t="s">
        <v>32</v>
      </c>
      <c r="U340" s="184">
        <v>2013</v>
      </c>
      <c r="V340" s="256" t="s">
        <v>2505</v>
      </c>
      <c r="W340" s="261" t="s">
        <v>2210</v>
      </c>
      <c r="X340" s="184" t="s">
        <v>2027</v>
      </c>
      <c r="Y340" s="187">
        <v>2019</v>
      </c>
    </row>
    <row r="341" spans="1:25" ht="261.75" customHeight="1" x14ac:dyDescent="0.3">
      <c r="A341" s="250" t="s">
        <v>2807</v>
      </c>
      <c r="B341" s="251" t="s">
        <v>1891</v>
      </c>
      <c r="C341" s="251" t="s">
        <v>2791</v>
      </c>
      <c r="D341" s="201" t="s">
        <v>2790</v>
      </c>
      <c r="E341" s="253" t="s">
        <v>464</v>
      </c>
      <c r="F341" s="221" t="s">
        <v>2799</v>
      </c>
      <c r="G341" s="292"/>
      <c r="H341" s="221"/>
      <c r="I341" s="291" t="s">
        <v>2805</v>
      </c>
      <c r="J341" s="221" t="s">
        <v>2027</v>
      </c>
      <c r="K341" s="184" t="s">
        <v>2815</v>
      </c>
      <c r="L341" s="221" t="s">
        <v>2027</v>
      </c>
      <c r="M341" s="221" t="s">
        <v>26</v>
      </c>
      <c r="N341" s="220" t="s">
        <v>2802</v>
      </c>
      <c r="O341" s="290" t="s">
        <v>2798</v>
      </c>
      <c r="P341" s="220" t="s">
        <v>619</v>
      </c>
      <c r="Q341" s="220" t="s">
        <v>109</v>
      </c>
      <c r="R341" s="221" t="s">
        <v>35</v>
      </c>
      <c r="S341" s="221" t="s">
        <v>2027</v>
      </c>
      <c r="T341" s="221" t="s">
        <v>32</v>
      </c>
      <c r="U341" s="184">
        <v>2016</v>
      </c>
      <c r="V341" s="256" t="s">
        <v>1114</v>
      </c>
      <c r="W341" s="188" t="s">
        <v>34</v>
      </c>
      <c r="X341" s="220" t="s">
        <v>2027</v>
      </c>
      <c r="Y341" s="187">
        <v>2019</v>
      </c>
    </row>
    <row r="342" spans="1:25" ht="240.75" customHeight="1" x14ac:dyDescent="0.3">
      <c r="A342" s="250" t="s">
        <v>2808</v>
      </c>
      <c r="B342" s="251" t="s">
        <v>1891</v>
      </c>
      <c r="C342" s="251" t="s">
        <v>61</v>
      </c>
      <c r="D342" s="201" t="s">
        <v>2792</v>
      </c>
      <c r="E342" s="253" t="s">
        <v>464</v>
      </c>
      <c r="F342" s="292"/>
      <c r="G342" s="292"/>
      <c r="H342" s="220" t="s">
        <v>2797</v>
      </c>
      <c r="I342" s="220" t="s">
        <v>2806</v>
      </c>
      <c r="J342" s="221" t="s">
        <v>2027</v>
      </c>
      <c r="K342" s="184" t="s">
        <v>267</v>
      </c>
      <c r="L342" s="221" t="s">
        <v>2027</v>
      </c>
      <c r="M342" s="221" t="s">
        <v>26</v>
      </c>
      <c r="N342" s="220" t="s">
        <v>2800</v>
      </c>
      <c r="O342" s="221" t="s">
        <v>27</v>
      </c>
      <c r="P342" s="220" t="s">
        <v>2794</v>
      </c>
      <c r="Q342" s="220" t="s">
        <v>109</v>
      </c>
      <c r="R342" s="220" t="s">
        <v>35</v>
      </c>
      <c r="S342" s="221" t="s">
        <v>2027</v>
      </c>
      <c r="T342" s="221" t="s">
        <v>32</v>
      </c>
      <c r="U342" s="184">
        <v>2016</v>
      </c>
      <c r="V342" s="256" t="s">
        <v>1114</v>
      </c>
      <c r="W342" s="188" t="s">
        <v>34</v>
      </c>
      <c r="X342" s="220" t="s">
        <v>2793</v>
      </c>
      <c r="Y342" s="187">
        <v>2019</v>
      </c>
    </row>
    <row r="343" spans="1:25" ht="183.75" customHeight="1" x14ac:dyDescent="0.3">
      <c r="A343" s="250" t="s">
        <v>1955</v>
      </c>
      <c r="B343" s="251" t="s">
        <v>1980</v>
      </c>
      <c r="C343" s="251" t="s">
        <v>2268</v>
      </c>
      <c r="D343" s="63" t="s">
        <v>1956</v>
      </c>
      <c r="E343" s="253" t="s">
        <v>464</v>
      </c>
      <c r="F343" s="281" t="s">
        <v>1970</v>
      </c>
      <c r="G343" s="257" t="s">
        <v>2027</v>
      </c>
      <c r="H343" s="255" t="s">
        <v>2027</v>
      </c>
      <c r="I343" s="220" t="s">
        <v>1957</v>
      </c>
      <c r="J343" s="220" t="s">
        <v>1894</v>
      </c>
      <c r="K343" s="221" t="s">
        <v>1894</v>
      </c>
      <c r="L343" s="217" t="s">
        <v>1958</v>
      </c>
      <c r="M343" s="221" t="s">
        <v>26</v>
      </c>
      <c r="N343" s="220" t="s">
        <v>1959</v>
      </c>
      <c r="O343" s="221" t="s">
        <v>431</v>
      </c>
      <c r="P343" s="220" t="s">
        <v>1960</v>
      </c>
      <c r="Q343" s="220" t="s">
        <v>2428</v>
      </c>
      <c r="R343" s="221" t="s">
        <v>35</v>
      </c>
      <c r="S343" s="282" t="s">
        <v>1973</v>
      </c>
      <c r="T343" s="221" t="s">
        <v>32</v>
      </c>
      <c r="U343" s="221">
        <v>2018</v>
      </c>
      <c r="V343" s="252" t="s">
        <v>2429</v>
      </c>
      <c r="W343" s="245" t="s">
        <v>1961</v>
      </c>
      <c r="X343" s="283" t="s">
        <v>2430</v>
      </c>
      <c r="Y343" s="187">
        <v>2019</v>
      </c>
    </row>
    <row r="344" spans="1:25" ht="156" customHeight="1" x14ac:dyDescent="0.3">
      <c r="A344" s="250" t="s">
        <v>1962</v>
      </c>
      <c r="B344" s="251" t="s">
        <v>1980</v>
      </c>
      <c r="C344" s="251" t="s">
        <v>2268</v>
      </c>
      <c r="D344" s="63" t="s">
        <v>1963</v>
      </c>
      <c r="E344" s="253" t="s">
        <v>464</v>
      </c>
      <c r="F344" s="281" t="s">
        <v>1969</v>
      </c>
      <c r="G344" s="257" t="s">
        <v>2027</v>
      </c>
      <c r="H344" s="255" t="s">
        <v>2027</v>
      </c>
      <c r="I344" s="220" t="s">
        <v>1964</v>
      </c>
      <c r="J344" s="220" t="s">
        <v>1894</v>
      </c>
      <c r="K344" s="221" t="s">
        <v>1894</v>
      </c>
      <c r="L344" s="217" t="s">
        <v>1965</v>
      </c>
      <c r="M344" s="221" t="s">
        <v>26</v>
      </c>
      <c r="N344" s="220" t="s">
        <v>1959</v>
      </c>
      <c r="O344" s="221" t="s">
        <v>431</v>
      </c>
      <c r="P344" s="220" t="s">
        <v>1966</v>
      </c>
      <c r="Q344" s="220" t="s">
        <v>2428</v>
      </c>
      <c r="R344" s="221" t="s">
        <v>35</v>
      </c>
      <c r="S344" s="282" t="s">
        <v>1973</v>
      </c>
      <c r="T344" s="221" t="s">
        <v>32</v>
      </c>
      <c r="U344" s="221">
        <v>2018</v>
      </c>
      <c r="V344" s="252" t="s">
        <v>2429</v>
      </c>
      <c r="W344" s="245" t="s">
        <v>1961</v>
      </c>
      <c r="X344" s="252" t="s">
        <v>2431</v>
      </c>
      <c r="Y344" s="187">
        <v>2019</v>
      </c>
    </row>
    <row r="345" spans="1:25" ht="135.75" customHeight="1" x14ac:dyDescent="0.3">
      <c r="A345" s="250" t="s">
        <v>1967</v>
      </c>
      <c r="B345" s="251" t="s">
        <v>1980</v>
      </c>
      <c r="C345" s="251" t="s">
        <v>2268</v>
      </c>
      <c r="D345" s="255" t="s">
        <v>1968</v>
      </c>
      <c r="E345" s="253" t="s">
        <v>464</v>
      </c>
      <c r="F345" s="220" t="s">
        <v>1977</v>
      </c>
      <c r="G345" s="257" t="s">
        <v>2027</v>
      </c>
      <c r="H345" s="255" t="s">
        <v>2027</v>
      </c>
      <c r="I345" s="284" t="s">
        <v>1971</v>
      </c>
      <c r="J345" s="284" t="s">
        <v>1894</v>
      </c>
      <c r="K345" s="284" t="s">
        <v>1894</v>
      </c>
      <c r="L345" s="221" t="s">
        <v>1972</v>
      </c>
      <c r="M345" s="221" t="s">
        <v>26</v>
      </c>
      <c r="N345" s="220" t="s">
        <v>1959</v>
      </c>
      <c r="O345" s="221" t="s">
        <v>431</v>
      </c>
      <c r="P345" s="220" t="s">
        <v>1960</v>
      </c>
      <c r="Q345" s="220" t="s">
        <v>2428</v>
      </c>
      <c r="R345" s="221" t="s">
        <v>35</v>
      </c>
      <c r="S345" s="220" t="s">
        <v>1973</v>
      </c>
      <c r="T345" s="221" t="s">
        <v>32</v>
      </c>
      <c r="U345" s="221">
        <v>2018</v>
      </c>
      <c r="V345" s="252" t="s">
        <v>2429</v>
      </c>
      <c r="W345" s="245" t="s">
        <v>1961</v>
      </c>
      <c r="X345" s="283" t="s">
        <v>2432</v>
      </c>
      <c r="Y345" s="187">
        <v>2019</v>
      </c>
    </row>
    <row r="346" spans="1:25" ht="185.25" customHeight="1" x14ac:dyDescent="0.3">
      <c r="A346" s="250" t="s">
        <v>1974</v>
      </c>
      <c r="B346" s="251" t="s">
        <v>1980</v>
      </c>
      <c r="C346" s="251" t="s">
        <v>2268</v>
      </c>
      <c r="D346" s="255" t="s">
        <v>1975</v>
      </c>
      <c r="E346" s="253" t="s">
        <v>464</v>
      </c>
      <c r="F346" s="220" t="s">
        <v>1976</v>
      </c>
      <c r="G346" s="257" t="s">
        <v>2027</v>
      </c>
      <c r="H346" s="255" t="s">
        <v>2027</v>
      </c>
      <c r="I346" s="284" t="s">
        <v>1978</v>
      </c>
      <c r="J346" s="284" t="s">
        <v>1894</v>
      </c>
      <c r="K346" s="284" t="s">
        <v>1894</v>
      </c>
      <c r="L346" s="221" t="s">
        <v>1979</v>
      </c>
      <c r="M346" s="221" t="s">
        <v>26</v>
      </c>
      <c r="N346" s="220" t="s">
        <v>1959</v>
      </c>
      <c r="O346" s="221" t="s">
        <v>431</v>
      </c>
      <c r="P346" s="220" t="s">
        <v>1960</v>
      </c>
      <c r="Q346" s="220" t="s">
        <v>2428</v>
      </c>
      <c r="R346" s="221" t="s">
        <v>35</v>
      </c>
      <c r="S346" s="220" t="s">
        <v>1973</v>
      </c>
      <c r="T346" s="221" t="s">
        <v>32</v>
      </c>
      <c r="U346" s="221">
        <v>2018</v>
      </c>
      <c r="V346" s="252" t="s">
        <v>2429</v>
      </c>
      <c r="W346" s="245" t="s">
        <v>1961</v>
      </c>
      <c r="X346" s="283" t="s">
        <v>2432</v>
      </c>
      <c r="Y346" s="187">
        <v>2019</v>
      </c>
    </row>
    <row r="347" spans="1:25" ht="178.5" customHeight="1" x14ac:dyDescent="0.3">
      <c r="A347" s="250" t="s">
        <v>1982</v>
      </c>
      <c r="B347" s="251" t="s">
        <v>1980</v>
      </c>
      <c r="C347" s="251" t="s">
        <v>1981</v>
      </c>
      <c r="D347" s="255" t="s">
        <v>1983</v>
      </c>
      <c r="E347" s="253" t="s">
        <v>464</v>
      </c>
      <c r="F347" s="220" t="s">
        <v>1998</v>
      </c>
      <c r="G347" s="257" t="s">
        <v>2027</v>
      </c>
      <c r="H347" s="255" t="s">
        <v>2027</v>
      </c>
      <c r="I347" s="284" t="s">
        <v>1984</v>
      </c>
      <c r="J347" s="284" t="s">
        <v>1894</v>
      </c>
      <c r="K347" s="284" t="s">
        <v>1894</v>
      </c>
      <c r="L347" s="220" t="s">
        <v>1985</v>
      </c>
      <c r="M347" s="221" t="s">
        <v>26</v>
      </c>
      <c r="N347" s="220" t="s">
        <v>2433</v>
      </c>
      <c r="O347" s="221" t="s">
        <v>1986</v>
      </c>
      <c r="P347" s="220" t="s">
        <v>1960</v>
      </c>
      <c r="Q347" s="220" t="s">
        <v>2434</v>
      </c>
      <c r="R347" s="221" t="s">
        <v>35</v>
      </c>
      <c r="S347" s="220" t="s">
        <v>1973</v>
      </c>
      <c r="T347" s="221" t="s">
        <v>32</v>
      </c>
      <c r="U347" s="221">
        <v>2017</v>
      </c>
      <c r="V347" s="252" t="s">
        <v>2435</v>
      </c>
      <c r="W347" s="245" t="s">
        <v>1987</v>
      </c>
      <c r="X347" s="245" t="s">
        <v>2436</v>
      </c>
      <c r="Y347" s="187">
        <v>2019</v>
      </c>
    </row>
    <row r="348" spans="1:25" ht="390" customHeight="1" x14ac:dyDescent="0.3">
      <c r="A348" s="250" t="s">
        <v>1988</v>
      </c>
      <c r="B348" s="251" t="s">
        <v>1980</v>
      </c>
      <c r="C348" s="251" t="s">
        <v>1981</v>
      </c>
      <c r="D348" s="255" t="s">
        <v>1989</v>
      </c>
      <c r="E348" s="253" t="s">
        <v>464</v>
      </c>
      <c r="F348" s="217" t="s">
        <v>2437</v>
      </c>
      <c r="G348" s="257" t="s">
        <v>2027</v>
      </c>
      <c r="H348" s="255" t="s">
        <v>2027</v>
      </c>
      <c r="I348" s="284" t="s">
        <v>2438</v>
      </c>
      <c r="J348" s="284" t="s">
        <v>1894</v>
      </c>
      <c r="K348" s="284" t="s">
        <v>1894</v>
      </c>
      <c r="L348" s="220" t="s">
        <v>1991</v>
      </c>
      <c r="M348" s="221" t="s">
        <v>26</v>
      </c>
      <c r="N348" s="220" t="s">
        <v>2439</v>
      </c>
      <c r="O348" s="221" t="s">
        <v>1990</v>
      </c>
      <c r="P348" s="220" t="s">
        <v>1960</v>
      </c>
      <c r="Q348" s="220" t="s">
        <v>2440</v>
      </c>
      <c r="R348" s="220" t="s">
        <v>35</v>
      </c>
      <c r="S348" s="220" t="s">
        <v>2003</v>
      </c>
      <c r="T348" s="221" t="s">
        <v>32</v>
      </c>
      <c r="U348" s="221">
        <v>2017</v>
      </c>
      <c r="V348" s="252" t="s">
        <v>2435</v>
      </c>
      <c r="W348" s="245" t="s">
        <v>1987</v>
      </c>
      <c r="X348" s="245" t="s">
        <v>2441</v>
      </c>
      <c r="Y348" s="187">
        <v>2019</v>
      </c>
    </row>
    <row r="349" spans="1:25" ht="234.75" customHeight="1" x14ac:dyDescent="0.3">
      <c r="A349" s="250" t="s">
        <v>2279</v>
      </c>
      <c r="B349" s="251" t="s">
        <v>1980</v>
      </c>
      <c r="C349" s="251" t="s">
        <v>1981</v>
      </c>
      <c r="D349" s="255" t="s">
        <v>2743</v>
      </c>
      <c r="E349" s="253" t="s">
        <v>464</v>
      </c>
      <c r="F349" s="220" t="s">
        <v>1999</v>
      </c>
      <c r="G349" s="257" t="s">
        <v>2027</v>
      </c>
      <c r="H349" s="255" t="s">
        <v>2027</v>
      </c>
      <c r="I349" s="220" t="s">
        <v>1993</v>
      </c>
      <c r="J349" s="284" t="s">
        <v>1894</v>
      </c>
      <c r="K349" s="284" t="s">
        <v>1894</v>
      </c>
      <c r="L349" s="217" t="s">
        <v>1994</v>
      </c>
      <c r="M349" s="221" t="s">
        <v>26</v>
      </c>
      <c r="N349" s="220" t="s">
        <v>2442</v>
      </c>
      <c r="O349" s="285" t="s">
        <v>163</v>
      </c>
      <c r="P349" s="220" t="s">
        <v>1960</v>
      </c>
      <c r="Q349" s="220" t="s">
        <v>1992</v>
      </c>
      <c r="R349" s="285" t="s">
        <v>35</v>
      </c>
      <c r="S349" s="220" t="s">
        <v>2003</v>
      </c>
      <c r="T349" s="221" t="s">
        <v>32</v>
      </c>
      <c r="U349" s="221">
        <v>2017</v>
      </c>
      <c r="V349" s="252" t="s">
        <v>2435</v>
      </c>
      <c r="W349" s="245" t="s">
        <v>1987</v>
      </c>
      <c r="X349" s="245" t="s">
        <v>2443</v>
      </c>
      <c r="Y349" s="187">
        <v>2019</v>
      </c>
    </row>
    <row r="350" spans="1:25" ht="157.5" customHeight="1" x14ac:dyDescent="0.3">
      <c r="A350" s="250" t="s">
        <v>2785</v>
      </c>
      <c r="B350" s="251" t="s">
        <v>1980</v>
      </c>
      <c r="C350" s="251" t="s">
        <v>1981</v>
      </c>
      <c r="D350" s="255" t="s">
        <v>1995</v>
      </c>
      <c r="E350" s="253" t="s">
        <v>464</v>
      </c>
      <c r="F350" s="220" t="s">
        <v>2444</v>
      </c>
      <c r="G350" s="257" t="s">
        <v>2027</v>
      </c>
      <c r="H350" s="255" t="s">
        <v>2027</v>
      </c>
      <c r="I350" s="284" t="s">
        <v>1996</v>
      </c>
      <c r="J350" s="284" t="s">
        <v>1894</v>
      </c>
      <c r="K350" s="284" t="s">
        <v>1894</v>
      </c>
      <c r="L350" s="217" t="s">
        <v>1997</v>
      </c>
      <c r="M350" s="221" t="s">
        <v>26</v>
      </c>
      <c r="N350" s="220" t="s">
        <v>2445</v>
      </c>
      <c r="O350" s="285" t="s">
        <v>1990</v>
      </c>
      <c r="P350" s="220" t="s">
        <v>1960</v>
      </c>
      <c r="Q350" s="220" t="s">
        <v>2446</v>
      </c>
      <c r="R350" s="285" t="s">
        <v>35</v>
      </c>
      <c r="S350" s="220" t="s">
        <v>2003</v>
      </c>
      <c r="T350" s="221" t="s">
        <v>32</v>
      </c>
      <c r="U350" s="221">
        <v>2017</v>
      </c>
      <c r="V350" s="252" t="s">
        <v>2435</v>
      </c>
      <c r="W350" s="245" t="s">
        <v>1987</v>
      </c>
      <c r="X350" s="245" t="s">
        <v>2447</v>
      </c>
      <c r="Y350" s="187">
        <v>2019</v>
      </c>
    </row>
    <row r="351" spans="1:25" ht="108" customHeight="1" x14ac:dyDescent="0.3">
      <c r="A351" s="250" t="s">
        <v>2809</v>
      </c>
      <c r="B351" s="251" t="s">
        <v>1980</v>
      </c>
      <c r="C351" s="251" t="s">
        <v>1981</v>
      </c>
      <c r="D351" s="255" t="s">
        <v>2000</v>
      </c>
      <c r="E351" s="253" t="s">
        <v>464</v>
      </c>
      <c r="F351" s="220" t="s">
        <v>2448</v>
      </c>
      <c r="G351" s="257" t="s">
        <v>2027</v>
      </c>
      <c r="H351" s="255" t="s">
        <v>2027</v>
      </c>
      <c r="I351" s="284" t="s">
        <v>2001</v>
      </c>
      <c r="J351" s="284" t="s">
        <v>1894</v>
      </c>
      <c r="K351" s="284" t="s">
        <v>1894</v>
      </c>
      <c r="L351" s="217" t="s">
        <v>2002</v>
      </c>
      <c r="M351" s="221" t="s">
        <v>26</v>
      </c>
      <c r="N351" s="220" t="s">
        <v>2439</v>
      </c>
      <c r="O351" s="285" t="s">
        <v>1990</v>
      </c>
      <c r="P351" s="220" t="s">
        <v>1960</v>
      </c>
      <c r="Q351" s="220" t="s">
        <v>2449</v>
      </c>
      <c r="R351" s="285" t="s">
        <v>35</v>
      </c>
      <c r="S351" s="220" t="s">
        <v>2003</v>
      </c>
      <c r="T351" s="221" t="s">
        <v>32</v>
      </c>
      <c r="U351" s="221">
        <v>2017</v>
      </c>
      <c r="V351" s="252" t="s">
        <v>2435</v>
      </c>
      <c r="W351" s="245" t="s">
        <v>1987</v>
      </c>
      <c r="X351" s="245" t="s">
        <v>2450</v>
      </c>
      <c r="Y351" s="187">
        <v>2019</v>
      </c>
    </row>
    <row r="352" spans="1:25" ht="347.25" customHeight="1" x14ac:dyDescent="0.3">
      <c r="A352" s="250" t="s">
        <v>2810</v>
      </c>
      <c r="B352" s="251" t="s">
        <v>1980</v>
      </c>
      <c r="C352" s="251" t="s">
        <v>1981</v>
      </c>
      <c r="D352" s="255" t="s">
        <v>2004</v>
      </c>
      <c r="E352" s="253" t="s">
        <v>464</v>
      </c>
      <c r="F352" s="220" t="s">
        <v>2451</v>
      </c>
      <c r="G352" s="257" t="s">
        <v>2027</v>
      </c>
      <c r="H352" s="255" t="s">
        <v>2027</v>
      </c>
      <c r="I352" s="284" t="s">
        <v>2452</v>
      </c>
      <c r="J352" s="284" t="s">
        <v>1894</v>
      </c>
      <c r="K352" s="284" t="s">
        <v>1894</v>
      </c>
      <c r="L352" s="217" t="s">
        <v>2005</v>
      </c>
      <c r="M352" s="221" t="s">
        <v>26</v>
      </c>
      <c r="N352" s="220" t="s">
        <v>2453</v>
      </c>
      <c r="O352" s="285" t="s">
        <v>2006</v>
      </c>
      <c r="P352" s="220" t="s">
        <v>1960</v>
      </c>
      <c r="Q352" s="220" t="s">
        <v>2454</v>
      </c>
      <c r="R352" s="285" t="s">
        <v>35</v>
      </c>
      <c r="S352" s="220" t="s">
        <v>1973</v>
      </c>
      <c r="T352" s="221" t="s">
        <v>32</v>
      </c>
      <c r="U352" s="221">
        <v>2017</v>
      </c>
      <c r="V352" s="252" t="s">
        <v>2435</v>
      </c>
      <c r="W352" s="245" t="s">
        <v>1987</v>
      </c>
      <c r="X352" s="245" t="s">
        <v>2455</v>
      </c>
      <c r="Y352" s="187">
        <v>2019</v>
      </c>
    </row>
    <row r="353" spans="1:25" ht="409.5" customHeight="1" x14ac:dyDescent="0.3">
      <c r="A353" s="250" t="s">
        <v>2811</v>
      </c>
      <c r="B353" s="251" t="s">
        <v>1980</v>
      </c>
      <c r="C353" s="251" t="s">
        <v>1981</v>
      </c>
      <c r="D353" s="255" t="s">
        <v>2007</v>
      </c>
      <c r="E353" s="253" t="s">
        <v>464</v>
      </c>
      <c r="F353" s="220" t="s">
        <v>2816</v>
      </c>
      <c r="G353" s="257" t="s">
        <v>2027</v>
      </c>
      <c r="H353" s="255" t="s">
        <v>2027</v>
      </c>
      <c r="I353" s="284" t="s">
        <v>2456</v>
      </c>
      <c r="J353" s="284" t="s">
        <v>1894</v>
      </c>
      <c r="K353" s="284" t="s">
        <v>1894</v>
      </c>
      <c r="L353" s="217" t="s">
        <v>2008</v>
      </c>
      <c r="M353" s="221" t="s">
        <v>26</v>
      </c>
      <c r="N353" s="220" t="s">
        <v>2457</v>
      </c>
      <c r="O353" s="285" t="s">
        <v>1990</v>
      </c>
      <c r="P353" s="220" t="s">
        <v>1960</v>
      </c>
      <c r="Q353" s="220" t="s">
        <v>2458</v>
      </c>
      <c r="R353" s="285" t="s">
        <v>35</v>
      </c>
      <c r="S353" s="220" t="s">
        <v>2003</v>
      </c>
      <c r="T353" s="221" t="s">
        <v>32</v>
      </c>
      <c r="U353" s="221">
        <v>2017</v>
      </c>
      <c r="V353" s="252" t="s">
        <v>2435</v>
      </c>
      <c r="W353" s="245" t="s">
        <v>1987</v>
      </c>
      <c r="X353" s="245" t="s">
        <v>2459</v>
      </c>
      <c r="Y353" s="187">
        <v>2019</v>
      </c>
    </row>
    <row r="354" spans="1:25" ht="110.4" x14ac:dyDescent="0.3">
      <c r="A354" s="250" t="s">
        <v>2812</v>
      </c>
      <c r="B354" s="251" t="s">
        <v>1980</v>
      </c>
      <c r="C354" s="251" t="s">
        <v>2268</v>
      </c>
      <c r="D354" s="184" t="s">
        <v>2269</v>
      </c>
      <c r="E354" s="253" t="s">
        <v>464</v>
      </c>
      <c r="F354" s="184" t="s">
        <v>2270</v>
      </c>
      <c r="G354" s="257" t="s">
        <v>2027</v>
      </c>
      <c r="H354" s="255" t="s">
        <v>2027</v>
      </c>
      <c r="I354" s="184" t="s">
        <v>2271</v>
      </c>
      <c r="J354" s="184" t="s">
        <v>58</v>
      </c>
      <c r="K354" s="184" t="s">
        <v>2252</v>
      </c>
      <c r="L354" s="184" t="s">
        <v>2272</v>
      </c>
      <c r="M354" s="184" t="s">
        <v>2273</v>
      </c>
      <c r="N354" s="184" t="s">
        <v>2274</v>
      </c>
      <c r="O354" s="184" t="s">
        <v>2275</v>
      </c>
      <c r="P354" s="184" t="s">
        <v>2027</v>
      </c>
      <c r="Q354" s="255" t="s">
        <v>2276</v>
      </c>
      <c r="R354" s="187" t="s">
        <v>206</v>
      </c>
      <c r="S354" s="190">
        <v>0.08</v>
      </c>
      <c r="T354" s="184" t="s">
        <v>2277</v>
      </c>
      <c r="U354" s="184">
        <v>2006</v>
      </c>
      <c r="V354" s="256" t="s">
        <v>2278</v>
      </c>
      <c r="W354" s="261" t="s">
        <v>34</v>
      </c>
      <c r="X354" s="184" t="s">
        <v>2027</v>
      </c>
      <c r="Y354" s="187">
        <v>2019</v>
      </c>
    </row>
    <row r="355" spans="1:25" ht="152.25" customHeight="1" x14ac:dyDescent="0.3">
      <c r="A355" s="250" t="s">
        <v>2813</v>
      </c>
      <c r="B355" s="251" t="s">
        <v>1980</v>
      </c>
      <c r="C355" s="251" t="s">
        <v>2268</v>
      </c>
      <c r="D355" s="184" t="s">
        <v>2786</v>
      </c>
      <c r="E355" s="253" t="s">
        <v>464</v>
      </c>
      <c r="F355" s="184"/>
      <c r="G355" s="257"/>
      <c r="H355" s="255" t="s">
        <v>2795</v>
      </c>
      <c r="I355" s="184" t="s">
        <v>2787</v>
      </c>
      <c r="J355" s="184" t="s">
        <v>2788</v>
      </c>
      <c r="K355" s="184" t="s">
        <v>2814</v>
      </c>
      <c r="L355" s="184" t="s">
        <v>2803</v>
      </c>
      <c r="M355" s="184" t="s">
        <v>26</v>
      </c>
      <c r="N355" s="184" t="s">
        <v>2801</v>
      </c>
      <c r="O355" s="184" t="s">
        <v>23</v>
      </c>
      <c r="P355" s="184" t="s">
        <v>2789</v>
      </c>
      <c r="Q355" s="255" t="s">
        <v>109</v>
      </c>
      <c r="R355" s="187" t="s">
        <v>35</v>
      </c>
      <c r="S355" s="190" t="s">
        <v>2027</v>
      </c>
      <c r="T355" s="184" t="s">
        <v>32</v>
      </c>
      <c r="U355" s="184">
        <v>2016</v>
      </c>
      <c r="V355" s="256" t="s">
        <v>1114</v>
      </c>
      <c r="W355" s="188" t="s">
        <v>34</v>
      </c>
      <c r="X355" s="289" t="s">
        <v>2804</v>
      </c>
      <c r="Y355" s="187">
        <v>2019</v>
      </c>
    </row>
    <row r="356" spans="1:25" ht="191.25" customHeight="1" x14ac:dyDescent="0.3">
      <c r="A356" s="250" t="s">
        <v>2028</v>
      </c>
      <c r="B356" s="251" t="s">
        <v>2009</v>
      </c>
      <c r="C356" s="251" t="s">
        <v>814</v>
      </c>
      <c r="D356" s="255" t="s">
        <v>2374</v>
      </c>
      <c r="E356" s="253" t="s">
        <v>464</v>
      </c>
      <c r="F356" s="201" t="s">
        <v>2027</v>
      </c>
      <c r="G356" s="257" t="s">
        <v>2027</v>
      </c>
      <c r="H356" s="273">
        <v>2944260611</v>
      </c>
      <c r="I356" s="284" t="s">
        <v>2744</v>
      </c>
      <c r="J356" s="284" t="s">
        <v>1894</v>
      </c>
      <c r="K356" s="284" t="s">
        <v>1894</v>
      </c>
      <c r="L356" s="217" t="s">
        <v>2376</v>
      </c>
      <c r="M356" s="221" t="s">
        <v>2613</v>
      </c>
      <c r="N356" s="220" t="s">
        <v>2372</v>
      </c>
      <c r="O356" s="285" t="s">
        <v>245</v>
      </c>
      <c r="P356" s="217" t="s">
        <v>2044</v>
      </c>
      <c r="Q356" s="220" t="s">
        <v>2045</v>
      </c>
      <c r="R356" s="285" t="s">
        <v>35</v>
      </c>
      <c r="S356" s="220" t="s">
        <v>2026</v>
      </c>
      <c r="T356" s="221" t="s">
        <v>32</v>
      </c>
      <c r="U356" s="221">
        <v>2018</v>
      </c>
      <c r="V356" s="252" t="s">
        <v>2471</v>
      </c>
      <c r="W356" s="245" t="s">
        <v>2025</v>
      </c>
      <c r="X356" s="245" t="s">
        <v>2010</v>
      </c>
      <c r="Y356" s="187">
        <v>2019</v>
      </c>
    </row>
    <row r="357" spans="1:25" ht="409.5" customHeight="1" x14ac:dyDescent="0.3">
      <c r="A357" s="250" t="s">
        <v>2029</v>
      </c>
      <c r="B357" s="251" t="s">
        <v>2009</v>
      </c>
      <c r="C357" s="251" t="s">
        <v>814</v>
      </c>
      <c r="D357" s="255" t="s">
        <v>2011</v>
      </c>
      <c r="E357" s="253" t="s">
        <v>464</v>
      </c>
      <c r="F357" s="201" t="s">
        <v>2027</v>
      </c>
      <c r="G357" s="257" t="s">
        <v>2027</v>
      </c>
      <c r="H357" s="273">
        <v>2335048000</v>
      </c>
      <c r="I357" s="284" t="s">
        <v>2046</v>
      </c>
      <c r="J357" s="284" t="s">
        <v>1894</v>
      </c>
      <c r="K357" s="284" t="s">
        <v>1894</v>
      </c>
      <c r="L357" s="217" t="s">
        <v>2745</v>
      </c>
      <c r="M357" s="221" t="s">
        <v>2592</v>
      </c>
      <c r="N357" s="220" t="s">
        <v>2372</v>
      </c>
      <c r="O357" s="285" t="s">
        <v>245</v>
      </c>
      <c r="P357" s="217" t="s">
        <v>619</v>
      </c>
      <c r="Q357" s="220" t="s">
        <v>2045</v>
      </c>
      <c r="R357" s="285" t="s">
        <v>35</v>
      </c>
      <c r="S357" s="220" t="s">
        <v>2026</v>
      </c>
      <c r="T357" s="221" t="s">
        <v>32</v>
      </c>
      <c r="U357" s="221">
        <v>2018</v>
      </c>
      <c r="V357" s="252" t="s">
        <v>2471</v>
      </c>
      <c r="W357" s="245" t="s">
        <v>2025</v>
      </c>
      <c r="X357" s="264" t="s">
        <v>2627</v>
      </c>
      <c r="Y357" s="187">
        <v>2019</v>
      </c>
    </row>
    <row r="358" spans="1:25" ht="330" customHeight="1" x14ac:dyDescent="0.3">
      <c r="A358" s="250" t="s">
        <v>2030</v>
      </c>
      <c r="B358" s="251" t="s">
        <v>2009</v>
      </c>
      <c r="C358" s="251" t="s">
        <v>814</v>
      </c>
      <c r="D358" s="255" t="s">
        <v>2012</v>
      </c>
      <c r="E358" s="253" t="s">
        <v>464</v>
      </c>
      <c r="F358" s="201" t="s">
        <v>2027</v>
      </c>
      <c r="G358" s="257" t="s">
        <v>2027</v>
      </c>
      <c r="H358" s="273">
        <v>2138031981</v>
      </c>
      <c r="I358" s="284" t="s">
        <v>2047</v>
      </c>
      <c r="J358" s="284" t="s">
        <v>1894</v>
      </c>
      <c r="K358" s="284" t="s">
        <v>1894</v>
      </c>
      <c r="L358" s="217" t="s">
        <v>2746</v>
      </c>
      <c r="M358" s="285" t="s">
        <v>2615</v>
      </c>
      <c r="N358" s="220" t="s">
        <v>2372</v>
      </c>
      <c r="O358" s="285" t="s">
        <v>245</v>
      </c>
      <c r="P358" s="217" t="s">
        <v>619</v>
      </c>
      <c r="Q358" s="220" t="s">
        <v>2045</v>
      </c>
      <c r="R358" s="285" t="s">
        <v>35</v>
      </c>
      <c r="S358" s="220" t="s">
        <v>2026</v>
      </c>
      <c r="T358" s="221" t="s">
        <v>32</v>
      </c>
      <c r="U358" s="221">
        <v>2018</v>
      </c>
      <c r="V358" s="252" t="s">
        <v>2471</v>
      </c>
      <c r="W358" s="245" t="s">
        <v>2025</v>
      </c>
      <c r="X358" s="264" t="s">
        <v>2628</v>
      </c>
      <c r="Y358" s="187">
        <v>2019</v>
      </c>
    </row>
    <row r="359" spans="1:25" ht="249" customHeight="1" x14ac:dyDescent="0.3">
      <c r="A359" s="250" t="s">
        <v>2031</v>
      </c>
      <c r="B359" s="251" t="s">
        <v>2009</v>
      </c>
      <c r="C359" s="251" t="s">
        <v>814</v>
      </c>
      <c r="D359" s="255" t="s">
        <v>2013</v>
      </c>
      <c r="E359" s="253" t="s">
        <v>464</v>
      </c>
      <c r="F359" s="201" t="s">
        <v>2027</v>
      </c>
      <c r="G359" s="257" t="s">
        <v>2027</v>
      </c>
      <c r="H359" s="273">
        <v>1239313913</v>
      </c>
      <c r="I359" s="217" t="s">
        <v>2747</v>
      </c>
      <c r="J359" s="284" t="s">
        <v>1894</v>
      </c>
      <c r="K359" s="284" t="s">
        <v>1894</v>
      </c>
      <c r="L359" s="217" t="s">
        <v>2748</v>
      </c>
      <c r="M359" s="221" t="s">
        <v>2593</v>
      </c>
      <c r="N359" s="220" t="s">
        <v>2372</v>
      </c>
      <c r="O359" s="285" t="s">
        <v>245</v>
      </c>
      <c r="P359" s="217" t="s">
        <v>619</v>
      </c>
      <c r="Q359" s="220" t="s">
        <v>2045</v>
      </c>
      <c r="R359" s="285" t="s">
        <v>35</v>
      </c>
      <c r="S359" s="220" t="s">
        <v>2026</v>
      </c>
      <c r="T359" s="221" t="s">
        <v>32</v>
      </c>
      <c r="U359" s="221">
        <v>2018</v>
      </c>
      <c r="V359" s="252" t="s">
        <v>2471</v>
      </c>
      <c r="W359" s="245" t="s">
        <v>2025</v>
      </c>
      <c r="X359" s="264" t="s">
        <v>2629</v>
      </c>
      <c r="Y359" s="187">
        <v>2019</v>
      </c>
    </row>
    <row r="360" spans="1:25" ht="163.5" customHeight="1" x14ac:dyDescent="0.3">
      <c r="A360" s="250" t="s">
        <v>2032</v>
      </c>
      <c r="B360" s="251" t="s">
        <v>2009</v>
      </c>
      <c r="C360" s="251" t="s">
        <v>814</v>
      </c>
      <c r="D360" s="255" t="s">
        <v>2014</v>
      </c>
      <c r="E360" s="253" t="s">
        <v>464</v>
      </c>
      <c r="F360" s="201" t="s">
        <v>2027</v>
      </c>
      <c r="G360" s="257" t="s">
        <v>2027</v>
      </c>
      <c r="H360" s="273">
        <v>463131890</v>
      </c>
      <c r="I360" s="286" t="s">
        <v>2048</v>
      </c>
      <c r="J360" s="284" t="s">
        <v>1894</v>
      </c>
      <c r="K360" s="284" t="s">
        <v>1894</v>
      </c>
      <c r="L360" s="217" t="s">
        <v>2377</v>
      </c>
      <c r="M360" s="221" t="s">
        <v>2593</v>
      </c>
      <c r="N360" s="220" t="s">
        <v>2372</v>
      </c>
      <c r="O360" s="285" t="s">
        <v>245</v>
      </c>
      <c r="P360" s="217" t="s">
        <v>1922</v>
      </c>
      <c r="Q360" s="220" t="s">
        <v>2045</v>
      </c>
      <c r="R360" s="285" t="s">
        <v>35</v>
      </c>
      <c r="S360" s="220" t="s">
        <v>2026</v>
      </c>
      <c r="T360" s="221" t="s">
        <v>32</v>
      </c>
      <c r="U360" s="221">
        <v>2018</v>
      </c>
      <c r="V360" s="252" t="s">
        <v>2471</v>
      </c>
      <c r="W360" s="245" t="s">
        <v>2025</v>
      </c>
      <c r="X360" s="264" t="s">
        <v>2630</v>
      </c>
      <c r="Y360" s="187">
        <v>2019</v>
      </c>
    </row>
    <row r="361" spans="1:25" ht="206.25" customHeight="1" x14ac:dyDescent="0.3">
      <c r="A361" s="250" t="s">
        <v>2033</v>
      </c>
      <c r="B361" s="251" t="s">
        <v>2009</v>
      </c>
      <c r="C361" s="251" t="s">
        <v>814</v>
      </c>
      <c r="D361" s="255" t="s">
        <v>2015</v>
      </c>
      <c r="E361" s="253" t="s">
        <v>464</v>
      </c>
      <c r="F361" s="201" t="s">
        <v>2027</v>
      </c>
      <c r="G361" s="257" t="s">
        <v>2027</v>
      </c>
      <c r="H361" s="273">
        <v>5345406</v>
      </c>
      <c r="I361" s="286" t="s">
        <v>2049</v>
      </c>
      <c r="J361" s="284" t="s">
        <v>1894</v>
      </c>
      <c r="K361" s="284" t="s">
        <v>1894</v>
      </c>
      <c r="L361" s="217" t="s">
        <v>2378</v>
      </c>
      <c r="M361" s="221" t="s">
        <v>2594</v>
      </c>
      <c r="N361" s="220" t="s">
        <v>2372</v>
      </c>
      <c r="O361" s="285" t="s">
        <v>245</v>
      </c>
      <c r="P361" s="285" t="s">
        <v>619</v>
      </c>
      <c r="Q361" s="220" t="s">
        <v>2045</v>
      </c>
      <c r="R361" s="285" t="s">
        <v>35</v>
      </c>
      <c r="S361" s="220" t="s">
        <v>2026</v>
      </c>
      <c r="T361" s="221" t="s">
        <v>32</v>
      </c>
      <c r="U361" s="221">
        <v>2018</v>
      </c>
      <c r="V361" s="252" t="s">
        <v>2471</v>
      </c>
      <c r="W361" s="245" t="s">
        <v>2025</v>
      </c>
      <c r="X361" s="264" t="s">
        <v>2631</v>
      </c>
      <c r="Y361" s="187">
        <v>2019</v>
      </c>
    </row>
    <row r="362" spans="1:25" ht="247.5" customHeight="1" x14ac:dyDescent="0.3">
      <c r="A362" s="250" t="s">
        <v>2034</v>
      </c>
      <c r="B362" s="251" t="s">
        <v>2009</v>
      </c>
      <c r="C362" s="251" t="s">
        <v>814</v>
      </c>
      <c r="D362" s="255" t="s">
        <v>661</v>
      </c>
      <c r="E362" s="253" t="s">
        <v>464</v>
      </c>
      <c r="F362" s="201" t="s">
        <v>2027</v>
      </c>
      <c r="G362" s="274">
        <v>438</v>
      </c>
      <c r="H362" s="255" t="s">
        <v>2027</v>
      </c>
      <c r="I362" s="286" t="s">
        <v>2050</v>
      </c>
      <c r="J362" s="284" t="s">
        <v>1894</v>
      </c>
      <c r="K362" s="284" t="s">
        <v>1894</v>
      </c>
      <c r="L362" s="217" t="s">
        <v>2749</v>
      </c>
      <c r="M362" s="221" t="s">
        <v>2595</v>
      </c>
      <c r="N362" s="220" t="s">
        <v>2372</v>
      </c>
      <c r="O362" s="285" t="s">
        <v>245</v>
      </c>
      <c r="P362" s="285" t="s">
        <v>1922</v>
      </c>
      <c r="Q362" s="220" t="s">
        <v>2375</v>
      </c>
      <c r="R362" s="285" t="s">
        <v>35</v>
      </c>
      <c r="S362" s="220" t="s">
        <v>2026</v>
      </c>
      <c r="T362" s="221" t="s">
        <v>32</v>
      </c>
      <c r="U362" s="221">
        <v>2018</v>
      </c>
      <c r="V362" s="252" t="s">
        <v>2471</v>
      </c>
      <c r="W362" s="245" t="s">
        <v>2025</v>
      </c>
      <c r="X362" s="264" t="s">
        <v>2632</v>
      </c>
      <c r="Y362" s="187">
        <v>2019</v>
      </c>
    </row>
    <row r="363" spans="1:25" ht="138" x14ac:dyDescent="0.3">
      <c r="A363" s="250" t="s">
        <v>2035</v>
      </c>
      <c r="B363" s="251" t="s">
        <v>2009</v>
      </c>
      <c r="C363" s="251" t="s">
        <v>814</v>
      </c>
      <c r="D363" s="255" t="s">
        <v>2016</v>
      </c>
      <c r="E363" s="253" t="s">
        <v>464</v>
      </c>
      <c r="F363" s="201" t="s">
        <v>2027</v>
      </c>
      <c r="G363" s="274">
        <v>1440</v>
      </c>
      <c r="H363" s="255" t="s">
        <v>2027</v>
      </c>
      <c r="I363" s="286" t="s">
        <v>2051</v>
      </c>
      <c r="J363" s="284" t="s">
        <v>1894</v>
      </c>
      <c r="K363" s="284" t="s">
        <v>1894</v>
      </c>
      <c r="L363" s="217" t="s">
        <v>2379</v>
      </c>
      <c r="M363" s="221" t="s">
        <v>2596</v>
      </c>
      <c r="N363" s="220" t="s">
        <v>2373</v>
      </c>
      <c r="O363" s="285" t="s">
        <v>245</v>
      </c>
      <c r="P363" s="285" t="s">
        <v>2188</v>
      </c>
      <c r="Q363" s="220" t="s">
        <v>2375</v>
      </c>
      <c r="R363" s="285" t="s">
        <v>35</v>
      </c>
      <c r="S363" s="220" t="s">
        <v>2026</v>
      </c>
      <c r="T363" s="221" t="s">
        <v>32</v>
      </c>
      <c r="U363" s="221">
        <v>2018</v>
      </c>
      <c r="V363" s="252" t="s">
        <v>2471</v>
      </c>
      <c r="W363" s="245" t="s">
        <v>2025</v>
      </c>
      <c r="X363" s="264" t="s">
        <v>2633</v>
      </c>
      <c r="Y363" s="187">
        <v>2019</v>
      </c>
    </row>
    <row r="364" spans="1:25" ht="335.25" customHeight="1" x14ac:dyDescent="0.3">
      <c r="A364" s="250" t="s">
        <v>2036</v>
      </c>
      <c r="B364" s="251" t="s">
        <v>2009</v>
      </c>
      <c r="C364" s="251" t="s">
        <v>814</v>
      </c>
      <c r="D364" s="255" t="s">
        <v>2017</v>
      </c>
      <c r="E364" s="253" t="s">
        <v>464</v>
      </c>
      <c r="F364" s="201" t="s">
        <v>2027</v>
      </c>
      <c r="G364" s="274">
        <v>17794</v>
      </c>
      <c r="H364" s="255" t="s">
        <v>2027</v>
      </c>
      <c r="I364" s="286" t="s">
        <v>2052</v>
      </c>
      <c r="J364" s="284" t="s">
        <v>1894</v>
      </c>
      <c r="K364" s="284" t="s">
        <v>1894</v>
      </c>
      <c r="L364" s="217" t="s">
        <v>2380</v>
      </c>
      <c r="M364" s="221" t="s">
        <v>2597</v>
      </c>
      <c r="N364" s="220" t="s">
        <v>2372</v>
      </c>
      <c r="O364" s="285" t="s">
        <v>245</v>
      </c>
      <c r="P364" s="285" t="s">
        <v>2188</v>
      </c>
      <c r="Q364" s="220" t="s">
        <v>2375</v>
      </c>
      <c r="R364" s="285" t="s">
        <v>35</v>
      </c>
      <c r="S364" s="220" t="s">
        <v>2026</v>
      </c>
      <c r="T364" s="221" t="s">
        <v>32</v>
      </c>
      <c r="U364" s="221">
        <v>2018</v>
      </c>
      <c r="V364" s="252" t="s">
        <v>2471</v>
      </c>
      <c r="W364" s="245" t="s">
        <v>2025</v>
      </c>
      <c r="X364" s="264" t="s">
        <v>2634</v>
      </c>
      <c r="Y364" s="187">
        <v>2019</v>
      </c>
    </row>
    <row r="365" spans="1:25" ht="409.5" customHeight="1" x14ac:dyDescent="0.3">
      <c r="A365" s="250" t="s">
        <v>2037</v>
      </c>
      <c r="B365" s="251" t="s">
        <v>2009</v>
      </c>
      <c r="C365" s="251" t="s">
        <v>814</v>
      </c>
      <c r="D365" s="255" t="s">
        <v>2018</v>
      </c>
      <c r="E365" s="253" t="s">
        <v>464</v>
      </c>
      <c r="F365" s="201" t="s">
        <v>2027</v>
      </c>
      <c r="G365" s="287">
        <v>7620.0556176874798</v>
      </c>
      <c r="H365" s="255" t="s">
        <v>2027</v>
      </c>
      <c r="I365" s="286" t="s">
        <v>2053</v>
      </c>
      <c r="J365" s="284" t="s">
        <v>1894</v>
      </c>
      <c r="K365" s="284" t="s">
        <v>1894</v>
      </c>
      <c r="L365" s="217" t="s">
        <v>2381</v>
      </c>
      <c r="M365" s="221" t="s">
        <v>2614</v>
      </c>
      <c r="N365" s="220" t="s">
        <v>2372</v>
      </c>
      <c r="O365" s="285" t="s">
        <v>245</v>
      </c>
      <c r="P365" s="285" t="s">
        <v>619</v>
      </c>
      <c r="Q365" s="220" t="s">
        <v>2375</v>
      </c>
      <c r="R365" s="285" t="s">
        <v>35</v>
      </c>
      <c r="S365" s="220" t="s">
        <v>2026</v>
      </c>
      <c r="T365" s="221" t="s">
        <v>32</v>
      </c>
      <c r="U365" s="221">
        <v>2018</v>
      </c>
      <c r="V365" s="252" t="s">
        <v>2471</v>
      </c>
      <c r="W365" s="245" t="s">
        <v>2025</v>
      </c>
      <c r="X365" s="264" t="s">
        <v>2635</v>
      </c>
      <c r="Y365" s="187">
        <v>2019</v>
      </c>
    </row>
    <row r="366" spans="1:25" ht="171" customHeight="1" x14ac:dyDescent="0.3">
      <c r="A366" s="250" t="s">
        <v>2038</v>
      </c>
      <c r="B366" s="251" t="s">
        <v>2009</v>
      </c>
      <c r="C366" s="251" t="s">
        <v>814</v>
      </c>
      <c r="D366" s="255" t="s">
        <v>2019</v>
      </c>
      <c r="E366" s="253" t="s">
        <v>464</v>
      </c>
      <c r="F366" s="201" t="s">
        <v>2027</v>
      </c>
      <c r="G366" s="287">
        <v>102315.63419725097</v>
      </c>
      <c r="H366" s="255" t="s">
        <v>2027</v>
      </c>
      <c r="I366" s="286" t="s">
        <v>2054</v>
      </c>
      <c r="J366" s="284" t="s">
        <v>1894</v>
      </c>
      <c r="K366" s="284" t="s">
        <v>1894</v>
      </c>
      <c r="L366" s="217" t="s">
        <v>2750</v>
      </c>
      <c r="M366" s="221" t="s">
        <v>2598</v>
      </c>
      <c r="N366" s="220" t="s">
        <v>2372</v>
      </c>
      <c r="O366" s="285" t="s">
        <v>245</v>
      </c>
      <c r="P366" s="285" t="s">
        <v>619</v>
      </c>
      <c r="Q366" s="220" t="s">
        <v>2375</v>
      </c>
      <c r="R366" s="285" t="s">
        <v>35</v>
      </c>
      <c r="S366" s="220" t="s">
        <v>2026</v>
      </c>
      <c r="T366" s="221" t="s">
        <v>32</v>
      </c>
      <c r="U366" s="221">
        <v>2018</v>
      </c>
      <c r="V366" s="252" t="s">
        <v>2471</v>
      </c>
      <c r="W366" s="245" t="s">
        <v>2025</v>
      </c>
      <c r="X366" s="264" t="s">
        <v>2751</v>
      </c>
      <c r="Y366" s="187">
        <v>2019</v>
      </c>
    </row>
    <row r="367" spans="1:25" ht="195.75" customHeight="1" x14ac:dyDescent="0.3">
      <c r="A367" s="250" t="s">
        <v>2039</v>
      </c>
      <c r="B367" s="251" t="s">
        <v>2009</v>
      </c>
      <c r="C367" s="251" t="s">
        <v>814</v>
      </c>
      <c r="D367" s="255" t="s">
        <v>2020</v>
      </c>
      <c r="E367" s="253" t="s">
        <v>464</v>
      </c>
      <c r="F367" s="201" t="s">
        <v>2027</v>
      </c>
      <c r="G367" s="287">
        <v>5744.27119700602</v>
      </c>
      <c r="H367" s="255" t="s">
        <v>2027</v>
      </c>
      <c r="I367" s="286" t="s">
        <v>2055</v>
      </c>
      <c r="J367" s="284" t="s">
        <v>1894</v>
      </c>
      <c r="K367" s="284" t="s">
        <v>1894</v>
      </c>
      <c r="L367" s="217" t="s">
        <v>2382</v>
      </c>
      <c r="M367" s="221" t="s">
        <v>2599</v>
      </c>
      <c r="N367" s="220" t="s">
        <v>2372</v>
      </c>
      <c r="O367" s="285" t="s">
        <v>245</v>
      </c>
      <c r="P367" s="285" t="s">
        <v>619</v>
      </c>
      <c r="Q367" s="220" t="s">
        <v>2375</v>
      </c>
      <c r="R367" s="285" t="s">
        <v>35</v>
      </c>
      <c r="S367" s="220" t="s">
        <v>2026</v>
      </c>
      <c r="T367" s="221" t="s">
        <v>32</v>
      </c>
      <c r="U367" s="221">
        <v>2018</v>
      </c>
      <c r="V367" s="252" t="s">
        <v>2471</v>
      </c>
      <c r="W367" s="245" t="s">
        <v>2025</v>
      </c>
      <c r="X367" s="264" t="s">
        <v>2636</v>
      </c>
      <c r="Y367" s="187">
        <v>2019</v>
      </c>
    </row>
    <row r="368" spans="1:25" ht="246.75" customHeight="1" x14ac:dyDescent="0.3">
      <c r="A368" s="250" t="s">
        <v>2040</v>
      </c>
      <c r="B368" s="251" t="s">
        <v>2009</v>
      </c>
      <c r="C368" s="251" t="s">
        <v>814</v>
      </c>
      <c r="D368" s="255" t="s">
        <v>2021</v>
      </c>
      <c r="E368" s="253" t="s">
        <v>464</v>
      </c>
      <c r="F368" s="201" t="s">
        <v>2027</v>
      </c>
      <c r="G368" s="287">
        <v>12703.998458967862</v>
      </c>
      <c r="H368" s="255" t="s">
        <v>2027</v>
      </c>
      <c r="I368" s="286" t="s">
        <v>2056</v>
      </c>
      <c r="J368" s="284" t="s">
        <v>1894</v>
      </c>
      <c r="K368" s="284" t="s">
        <v>1894</v>
      </c>
      <c r="L368" s="217" t="s">
        <v>2749</v>
      </c>
      <c r="M368" s="221" t="s">
        <v>2600</v>
      </c>
      <c r="N368" s="220" t="s">
        <v>2372</v>
      </c>
      <c r="O368" s="285" t="s">
        <v>245</v>
      </c>
      <c r="P368" s="285" t="s">
        <v>1922</v>
      </c>
      <c r="Q368" s="220" t="s">
        <v>2375</v>
      </c>
      <c r="R368" s="285" t="s">
        <v>35</v>
      </c>
      <c r="S368" s="220" t="s">
        <v>2026</v>
      </c>
      <c r="T368" s="221" t="s">
        <v>32</v>
      </c>
      <c r="U368" s="221">
        <v>2018</v>
      </c>
      <c r="V368" s="252" t="s">
        <v>2471</v>
      </c>
      <c r="W368" s="245" t="s">
        <v>2025</v>
      </c>
      <c r="X368" s="264" t="s">
        <v>2637</v>
      </c>
      <c r="Y368" s="187">
        <v>2019</v>
      </c>
    </row>
    <row r="369" spans="1:25" ht="220.5" customHeight="1" x14ac:dyDescent="0.3">
      <c r="A369" s="250" t="s">
        <v>2041</v>
      </c>
      <c r="B369" s="251" t="s">
        <v>2009</v>
      </c>
      <c r="C369" s="251" t="s">
        <v>814</v>
      </c>
      <c r="D369" s="255" t="s">
        <v>2022</v>
      </c>
      <c r="E369" s="253" t="s">
        <v>464</v>
      </c>
      <c r="F369" s="201" t="s">
        <v>2027</v>
      </c>
      <c r="G369" s="287">
        <v>21486.241201023713</v>
      </c>
      <c r="H369" s="255" t="s">
        <v>2027</v>
      </c>
      <c r="I369" s="286" t="s">
        <v>2057</v>
      </c>
      <c r="J369" s="284" t="s">
        <v>1894</v>
      </c>
      <c r="K369" s="284" t="s">
        <v>1894</v>
      </c>
      <c r="L369" s="217" t="s">
        <v>2383</v>
      </c>
      <c r="M369" s="221" t="s">
        <v>2601</v>
      </c>
      <c r="N369" s="220" t="s">
        <v>2372</v>
      </c>
      <c r="O369" s="285" t="s">
        <v>245</v>
      </c>
      <c r="P369" s="285" t="s">
        <v>619</v>
      </c>
      <c r="Q369" s="220" t="s">
        <v>2375</v>
      </c>
      <c r="R369" s="285" t="s">
        <v>35</v>
      </c>
      <c r="S369" s="220" t="s">
        <v>2026</v>
      </c>
      <c r="T369" s="221" t="s">
        <v>32</v>
      </c>
      <c r="U369" s="221">
        <v>2018</v>
      </c>
      <c r="V369" s="252" t="s">
        <v>2471</v>
      </c>
      <c r="W369" s="245" t="s">
        <v>2025</v>
      </c>
      <c r="X369" s="264" t="s">
        <v>2638</v>
      </c>
      <c r="Y369" s="187">
        <v>2019</v>
      </c>
    </row>
    <row r="370" spans="1:25" ht="269.25" customHeight="1" x14ac:dyDescent="0.3">
      <c r="A370" s="250" t="s">
        <v>2042</v>
      </c>
      <c r="B370" s="251" t="s">
        <v>2009</v>
      </c>
      <c r="C370" s="251" t="s">
        <v>814</v>
      </c>
      <c r="D370" s="255" t="s">
        <v>2023</v>
      </c>
      <c r="E370" s="253" t="s">
        <v>464</v>
      </c>
      <c r="F370" s="201" t="s">
        <v>2027</v>
      </c>
      <c r="G370" s="287">
        <v>1122862.7693334019</v>
      </c>
      <c r="H370" s="255" t="s">
        <v>2027</v>
      </c>
      <c r="I370" s="286" t="s">
        <v>2058</v>
      </c>
      <c r="J370" s="284" t="s">
        <v>1894</v>
      </c>
      <c r="K370" s="284" t="s">
        <v>1894</v>
      </c>
      <c r="L370" s="217" t="s">
        <v>2384</v>
      </c>
      <c r="M370" s="221" t="s">
        <v>2602</v>
      </c>
      <c r="N370" s="220" t="s">
        <v>2372</v>
      </c>
      <c r="O370" s="285" t="s">
        <v>245</v>
      </c>
      <c r="P370" s="285" t="s">
        <v>619</v>
      </c>
      <c r="Q370" s="220" t="s">
        <v>2375</v>
      </c>
      <c r="R370" s="285" t="s">
        <v>35</v>
      </c>
      <c r="S370" s="220" t="s">
        <v>2026</v>
      </c>
      <c r="T370" s="221" t="s">
        <v>32</v>
      </c>
      <c r="U370" s="221">
        <v>2018</v>
      </c>
      <c r="V370" s="252" t="s">
        <v>2471</v>
      </c>
      <c r="W370" s="245" t="s">
        <v>2025</v>
      </c>
      <c r="X370" s="264" t="s">
        <v>2639</v>
      </c>
      <c r="Y370" s="187">
        <v>2019</v>
      </c>
    </row>
    <row r="371" spans="1:25" ht="288.75" customHeight="1" x14ac:dyDescent="0.3">
      <c r="A371" s="250" t="s">
        <v>2043</v>
      </c>
      <c r="B371" s="251" t="s">
        <v>2009</v>
      </c>
      <c r="C371" s="251" t="s">
        <v>814</v>
      </c>
      <c r="D371" s="255" t="s">
        <v>2024</v>
      </c>
      <c r="E371" s="253" t="s">
        <v>464</v>
      </c>
      <c r="F371" s="201" t="s">
        <v>2027</v>
      </c>
      <c r="G371" s="287">
        <v>38873.629154252296</v>
      </c>
      <c r="H371" s="255" t="s">
        <v>2027</v>
      </c>
      <c r="I371" s="286" t="s">
        <v>2059</v>
      </c>
      <c r="J371" s="284" t="s">
        <v>1894</v>
      </c>
      <c r="K371" s="284" t="s">
        <v>1894</v>
      </c>
      <c r="L371" s="217" t="s">
        <v>2385</v>
      </c>
      <c r="M371" s="221" t="s">
        <v>2603</v>
      </c>
      <c r="N371" s="220" t="s">
        <v>2372</v>
      </c>
      <c r="O371" s="285" t="s">
        <v>245</v>
      </c>
      <c r="P371" s="285" t="s">
        <v>619</v>
      </c>
      <c r="Q371" s="220" t="s">
        <v>2375</v>
      </c>
      <c r="R371" s="285" t="s">
        <v>35</v>
      </c>
      <c r="S371" s="220" t="s">
        <v>2026</v>
      </c>
      <c r="T371" s="221" t="s">
        <v>32</v>
      </c>
      <c r="U371" s="221">
        <v>2018</v>
      </c>
      <c r="V371" s="252" t="s">
        <v>2471</v>
      </c>
      <c r="W371" s="245" t="s">
        <v>2025</v>
      </c>
      <c r="X371" s="264" t="s">
        <v>2640</v>
      </c>
      <c r="Y371" s="187">
        <v>2019</v>
      </c>
    </row>
    <row r="372" spans="1:25" ht="262.2" x14ac:dyDescent="0.3">
      <c r="A372" s="250" t="s">
        <v>2470</v>
      </c>
      <c r="B372" s="251" t="s">
        <v>2320</v>
      </c>
      <c r="C372" s="251" t="s">
        <v>1393</v>
      </c>
      <c r="D372" s="184" t="s">
        <v>2321</v>
      </c>
      <c r="E372" s="253" t="s">
        <v>464</v>
      </c>
      <c r="F372" s="184" t="s">
        <v>2322</v>
      </c>
      <c r="G372" s="257" t="s">
        <v>2027</v>
      </c>
      <c r="H372" s="184" t="s">
        <v>2323</v>
      </c>
      <c r="I372" s="184" t="s">
        <v>2324</v>
      </c>
      <c r="J372" s="184" t="s">
        <v>58</v>
      </c>
      <c r="K372" s="184" t="s">
        <v>2252</v>
      </c>
      <c r="L372" s="184" t="s">
        <v>2325</v>
      </c>
      <c r="M372" s="184" t="s">
        <v>2752</v>
      </c>
      <c r="N372" s="184" t="s">
        <v>2326</v>
      </c>
      <c r="O372" s="184" t="s">
        <v>27</v>
      </c>
      <c r="P372" s="184" t="s">
        <v>2027</v>
      </c>
      <c r="Q372" s="255" t="s">
        <v>2327</v>
      </c>
      <c r="R372" s="187" t="s">
        <v>35</v>
      </c>
      <c r="S372" s="190">
        <v>3.5000000000000003E-2</v>
      </c>
      <c r="T372" s="184" t="s">
        <v>2328</v>
      </c>
      <c r="U372" s="184">
        <v>2013</v>
      </c>
      <c r="V372" s="256" t="s">
        <v>2329</v>
      </c>
      <c r="W372" s="261" t="s">
        <v>34</v>
      </c>
      <c r="X372" s="184" t="s">
        <v>2027</v>
      </c>
      <c r="Y372" s="187">
        <v>2019</v>
      </c>
    </row>
    <row r="373" spans="1:25" ht="110.4" x14ac:dyDescent="0.3">
      <c r="A373" s="250" t="s">
        <v>2529</v>
      </c>
      <c r="B373" s="265" t="s">
        <v>2320</v>
      </c>
      <c r="C373" s="265" t="s">
        <v>2522</v>
      </c>
      <c r="D373" s="255" t="s">
        <v>2523</v>
      </c>
      <c r="E373" s="253" t="s">
        <v>464</v>
      </c>
      <c r="F373" s="255" t="s">
        <v>2524</v>
      </c>
      <c r="G373" s="257" t="s">
        <v>2027</v>
      </c>
      <c r="H373" s="255" t="s">
        <v>2027</v>
      </c>
      <c r="I373" s="255" t="s">
        <v>2754</v>
      </c>
      <c r="J373" s="184" t="s">
        <v>58</v>
      </c>
      <c r="K373" s="255" t="s">
        <v>2252</v>
      </c>
      <c r="L373" s="184" t="s">
        <v>2525</v>
      </c>
      <c r="M373" s="184" t="s">
        <v>2254</v>
      </c>
      <c r="N373" s="255" t="s">
        <v>2526</v>
      </c>
      <c r="O373" s="184" t="s">
        <v>2527</v>
      </c>
      <c r="P373" s="184" t="s">
        <v>2027</v>
      </c>
      <c r="Q373" s="255" t="s">
        <v>2276</v>
      </c>
      <c r="R373" s="258" t="s">
        <v>173</v>
      </c>
      <c r="S373" s="190" t="s">
        <v>331</v>
      </c>
      <c r="T373" s="259" t="s">
        <v>782</v>
      </c>
      <c r="U373" s="255">
        <v>2009</v>
      </c>
      <c r="V373" s="201" t="s">
        <v>2528</v>
      </c>
      <c r="W373" s="261" t="s">
        <v>2210</v>
      </c>
      <c r="X373" s="184" t="s">
        <v>2027</v>
      </c>
      <c r="Y373" s="187">
        <v>2019</v>
      </c>
    </row>
  </sheetData>
  <sheetProtection sort="0" autoFilter="0"/>
  <autoFilter ref="A1:Y373" xr:uid="{00000000-0009-0000-0000-000002000000}"/>
  <hyperlinks>
    <hyperlink ref="W2" r:id="rId1" xr:uid="{00000000-0004-0000-0200-000000000000}"/>
    <hyperlink ref="W4" r:id="rId2" xr:uid="{00000000-0004-0000-0200-000001000000}"/>
    <hyperlink ref="W6" r:id="rId3" xr:uid="{00000000-0004-0000-0200-000002000000}"/>
    <hyperlink ref="W19" r:id="rId4" xr:uid="{00000000-0004-0000-0200-000003000000}"/>
    <hyperlink ref="W20" r:id="rId5" xr:uid="{00000000-0004-0000-0200-000004000000}"/>
    <hyperlink ref="W21" r:id="rId6" xr:uid="{00000000-0004-0000-0200-000005000000}"/>
    <hyperlink ref="W23" r:id="rId7" xr:uid="{00000000-0004-0000-0200-000006000000}"/>
    <hyperlink ref="W22" r:id="rId8" xr:uid="{00000000-0004-0000-0200-000007000000}"/>
    <hyperlink ref="W5" r:id="rId9" xr:uid="{00000000-0004-0000-0200-000008000000}"/>
    <hyperlink ref="W25" r:id="rId10" xr:uid="{00000000-0004-0000-0200-000009000000}"/>
    <hyperlink ref="W3" r:id="rId11" xr:uid="{00000000-0004-0000-0200-00000A000000}"/>
    <hyperlink ref="W8" r:id="rId12" xr:uid="{00000000-0004-0000-0200-00000B000000}"/>
    <hyperlink ref="X19" r:id="rId13" xr:uid="{00000000-0004-0000-0200-00000C000000}"/>
    <hyperlink ref="W24" r:id="rId14" xr:uid="{00000000-0004-0000-0200-00000D000000}"/>
    <hyperlink ref="W10" r:id="rId15" xr:uid="{00000000-0004-0000-0200-00000E000000}"/>
    <hyperlink ref="W29" r:id="rId16" xr:uid="{00000000-0004-0000-0200-00000F000000}"/>
    <hyperlink ref="W28" r:id="rId17" xr:uid="{00000000-0004-0000-0200-000010000000}"/>
    <hyperlink ref="W31" r:id="rId18" xr:uid="{00000000-0004-0000-0200-000011000000}"/>
    <hyperlink ref="W32" r:id="rId19" xr:uid="{00000000-0004-0000-0200-000012000000}"/>
    <hyperlink ref="W33" r:id="rId20" xr:uid="{00000000-0004-0000-0200-000013000000}"/>
    <hyperlink ref="W27" r:id="rId21" xr:uid="{00000000-0004-0000-0200-000014000000}"/>
    <hyperlink ref="W30" r:id="rId22" xr:uid="{00000000-0004-0000-0200-000015000000}"/>
    <hyperlink ref="W34" r:id="rId23" xr:uid="{00000000-0004-0000-0200-000016000000}"/>
    <hyperlink ref="W35" r:id="rId24" xr:uid="{00000000-0004-0000-0200-000017000000}"/>
    <hyperlink ref="W36" r:id="rId25" xr:uid="{00000000-0004-0000-0200-000018000000}"/>
    <hyperlink ref="W37" r:id="rId26" xr:uid="{00000000-0004-0000-0200-000019000000}"/>
    <hyperlink ref="W38" r:id="rId27" xr:uid="{00000000-0004-0000-0200-00001A000000}"/>
    <hyperlink ref="W39" r:id="rId28" xr:uid="{00000000-0004-0000-0200-00001B000000}"/>
    <hyperlink ref="W40" r:id="rId29" location="/abstract" xr:uid="{00000000-0004-0000-0200-00001C000000}"/>
    <hyperlink ref="W41" r:id="rId30" xr:uid="{00000000-0004-0000-0200-00001D000000}"/>
    <hyperlink ref="W42" r:id="rId31" xr:uid="{00000000-0004-0000-0200-00001E000000}"/>
    <hyperlink ref="W43" r:id="rId32" location="/abstract" xr:uid="{00000000-0004-0000-0200-00001F000000}"/>
    <hyperlink ref="W44" r:id="rId33" location="/abstract" xr:uid="{00000000-0004-0000-0200-000020000000}"/>
    <hyperlink ref="X45" r:id="rId34" xr:uid="{00000000-0004-0000-0200-000021000000}"/>
    <hyperlink ref="W52" r:id="rId35" xr:uid="{00000000-0004-0000-0200-000022000000}"/>
    <hyperlink ref="W56" r:id="rId36" xr:uid="{00000000-0004-0000-0200-000023000000}"/>
    <hyperlink ref="W59" r:id="rId37" xr:uid="{00000000-0004-0000-0200-000024000000}"/>
    <hyperlink ref="W60" r:id="rId38" xr:uid="{00000000-0004-0000-0200-000025000000}"/>
    <hyperlink ref="W61" r:id="rId39" xr:uid="{00000000-0004-0000-0200-000026000000}"/>
    <hyperlink ref="W55" r:id="rId40" xr:uid="{00000000-0004-0000-0200-000027000000}"/>
    <hyperlink ref="W54" r:id="rId41" xr:uid="{00000000-0004-0000-0200-000028000000}"/>
    <hyperlink ref="W62" r:id="rId42" xr:uid="{00000000-0004-0000-0200-000029000000}"/>
    <hyperlink ref="W63" r:id="rId43" xr:uid="{00000000-0004-0000-0200-00002A000000}"/>
    <hyperlink ref="X52" r:id="rId44" xr:uid="{00000000-0004-0000-0200-00002B000000}"/>
    <hyperlink ref="W53" r:id="rId45" xr:uid="{00000000-0004-0000-0200-00002C000000}"/>
    <hyperlink ref="X53" r:id="rId46" xr:uid="{00000000-0004-0000-0200-00002D000000}"/>
    <hyperlink ref="W57" r:id="rId47" xr:uid="{00000000-0004-0000-0200-00002E000000}"/>
    <hyperlink ref="W58" r:id="rId48" xr:uid="{00000000-0004-0000-0200-00002F000000}"/>
    <hyperlink ref="W64" r:id="rId49" xr:uid="{00000000-0004-0000-0200-000030000000}"/>
    <hyperlink ref="X64" r:id="rId50" xr:uid="{00000000-0004-0000-0200-000031000000}"/>
    <hyperlink ref="W153" r:id="rId51" xr:uid="{00000000-0004-0000-0200-000032000000}"/>
    <hyperlink ref="W160" r:id="rId52" xr:uid="{00000000-0004-0000-0200-000033000000}"/>
    <hyperlink ref="W169" r:id="rId53" xr:uid="{00000000-0004-0000-0200-000034000000}"/>
    <hyperlink ref="W182" r:id="rId54" xr:uid="{00000000-0004-0000-0200-000035000000}"/>
    <hyperlink ref="W186" r:id="rId55" xr:uid="{00000000-0004-0000-0200-000036000000}"/>
    <hyperlink ref="W164" r:id="rId56" xr:uid="{00000000-0004-0000-0200-000037000000}"/>
    <hyperlink ref="W155" r:id="rId57" location="cost-effectiveness-2" xr:uid="{00000000-0004-0000-0200-000038000000}"/>
    <hyperlink ref="W174" r:id="rId58" xr:uid="{00000000-0004-0000-0200-000039000000}"/>
    <hyperlink ref="W173" r:id="rId59" xr:uid="{00000000-0004-0000-0200-00003A000000}"/>
    <hyperlink ref="W175" r:id="rId60" xr:uid="{00000000-0004-0000-0200-00003B000000}"/>
    <hyperlink ref="W172" r:id="rId61" xr:uid="{00000000-0004-0000-0200-00003C000000}"/>
    <hyperlink ref="W179" r:id="rId62" xr:uid="{00000000-0004-0000-0200-00003D000000}"/>
    <hyperlink ref="W178" r:id="rId63" xr:uid="{00000000-0004-0000-0200-00003E000000}"/>
    <hyperlink ref="W208" r:id="rId64" xr:uid="{00000000-0004-0000-0200-00003F000000}"/>
    <hyperlink ref="W251" r:id="rId65" xr:uid="{00000000-0004-0000-0200-000040000000}"/>
    <hyperlink ref="W258" r:id="rId66" xr:uid="{00000000-0004-0000-0200-000041000000}"/>
    <hyperlink ref="W249" r:id="rId67" xr:uid="{00000000-0004-0000-0200-000042000000}"/>
    <hyperlink ref="W197" r:id="rId68" xr:uid="{00000000-0004-0000-0200-000043000000}"/>
    <hyperlink ref="W171" r:id="rId69" xr:uid="{00000000-0004-0000-0200-000044000000}"/>
    <hyperlink ref="W198" r:id="rId70" xr:uid="{00000000-0004-0000-0200-000045000000}"/>
    <hyperlink ref="W209" r:id="rId71" xr:uid="{00000000-0004-0000-0200-000046000000}"/>
    <hyperlink ref="W211" r:id="rId72" xr:uid="{00000000-0004-0000-0200-000047000000}"/>
    <hyperlink ref="W199:W207" r:id="rId73" display="Link to source" xr:uid="{00000000-0004-0000-0200-000048000000}"/>
    <hyperlink ref="W252" r:id="rId74" xr:uid="{00000000-0004-0000-0200-000049000000}"/>
    <hyperlink ref="X46" r:id="rId75" xr:uid="{00000000-0004-0000-0200-00004A000000}"/>
    <hyperlink ref="X47" r:id="rId76" xr:uid="{00000000-0004-0000-0200-00004B000000}"/>
    <hyperlink ref="X48" r:id="rId77" xr:uid="{00000000-0004-0000-0200-00004C000000}"/>
    <hyperlink ref="W270:W272" r:id="rId78" display="Link to source" xr:uid="{00000000-0004-0000-0200-00004D000000}"/>
    <hyperlink ref="W290" r:id="rId79" xr:uid="{00000000-0004-0000-0200-00004E000000}"/>
    <hyperlink ref="W291" r:id="rId80" xr:uid="{00000000-0004-0000-0200-00004F000000}"/>
    <hyperlink ref="W292" r:id="rId81" xr:uid="{00000000-0004-0000-0200-000050000000}"/>
    <hyperlink ref="W294" r:id="rId82" xr:uid="{00000000-0004-0000-0200-000051000000}"/>
    <hyperlink ref="W298" r:id="rId83" xr:uid="{00000000-0004-0000-0200-000052000000}"/>
    <hyperlink ref="W299" r:id="rId84" location="_i40" xr:uid="{00000000-0004-0000-0200-000053000000}"/>
    <hyperlink ref="W300" r:id="rId85" xr:uid="{00000000-0004-0000-0200-000054000000}"/>
    <hyperlink ref="W267" r:id="rId86" xr:uid="{00000000-0004-0000-0200-000055000000}"/>
    <hyperlink ref="W268" r:id="rId87" xr:uid="{00000000-0004-0000-0200-000056000000}"/>
    <hyperlink ref="W269" r:id="rId88" xr:uid="{00000000-0004-0000-0200-000057000000}"/>
    <hyperlink ref="W270" r:id="rId89" xr:uid="{00000000-0004-0000-0200-000058000000}"/>
    <hyperlink ref="W271" r:id="rId90" xr:uid="{00000000-0004-0000-0200-000059000000}"/>
    <hyperlink ref="W272" r:id="rId91" xr:uid="{00000000-0004-0000-0200-00005A000000}"/>
    <hyperlink ref="W277" r:id="rId92" xr:uid="{00000000-0004-0000-0200-00005B000000}"/>
    <hyperlink ref="W279" r:id="rId93" xr:uid="{00000000-0004-0000-0200-00005C000000}"/>
    <hyperlink ref="W280" r:id="rId94" xr:uid="{00000000-0004-0000-0200-00005D000000}"/>
    <hyperlink ref="W281" r:id="rId95" xr:uid="{00000000-0004-0000-0200-00005E000000}"/>
    <hyperlink ref="W282" r:id="rId96" xr:uid="{00000000-0004-0000-0200-00005F000000}"/>
    <hyperlink ref="W283" r:id="rId97" xr:uid="{00000000-0004-0000-0200-000060000000}"/>
    <hyperlink ref="W284" r:id="rId98" xr:uid="{00000000-0004-0000-0200-000061000000}"/>
    <hyperlink ref="W273" r:id="rId99" xr:uid="{00000000-0004-0000-0200-000062000000}"/>
    <hyperlink ref="W274" r:id="rId100" xr:uid="{00000000-0004-0000-0200-000063000000}"/>
    <hyperlink ref="W275" r:id="rId101" xr:uid="{00000000-0004-0000-0200-000064000000}"/>
    <hyperlink ref="W276" r:id="rId102" xr:uid="{00000000-0004-0000-0200-000065000000}"/>
    <hyperlink ref="W124" r:id="rId103" xr:uid="{00000000-0004-0000-0200-000066000000}"/>
    <hyperlink ref="W107" r:id="rId104" xr:uid="{00000000-0004-0000-0200-000067000000}"/>
    <hyperlink ref="W137" r:id="rId105" xr:uid="{00000000-0004-0000-0200-000068000000}"/>
    <hyperlink ref="W102" r:id="rId106" xr:uid="{00000000-0004-0000-0200-000069000000}"/>
    <hyperlink ref="W104" r:id="rId107" xr:uid="{00000000-0004-0000-0200-00006A000000}"/>
    <hyperlink ref="W154" r:id="rId108" xr:uid="{00000000-0004-0000-0200-00006B000000}"/>
    <hyperlink ref="W166" r:id="rId109" xr:uid="{00000000-0004-0000-0200-00006C000000}"/>
    <hyperlink ref="W125" r:id="rId110" location="the-evidence" xr:uid="{00000000-0004-0000-0200-00006D000000}"/>
    <hyperlink ref="W90" r:id="rId111" xr:uid="{00000000-0004-0000-0200-00006E000000}"/>
    <hyperlink ref="W89" r:id="rId112" xr:uid="{00000000-0004-0000-0200-00006F000000}"/>
    <hyperlink ref="W88" r:id="rId113" xr:uid="{00000000-0004-0000-0200-000070000000}"/>
    <hyperlink ref="W123" r:id="rId114" xr:uid="{00000000-0004-0000-0200-000071000000}"/>
    <hyperlink ref="W122" r:id="rId115" xr:uid="{00000000-0004-0000-0200-000072000000}"/>
    <hyperlink ref="W118" r:id="rId116" xr:uid="{00000000-0004-0000-0200-000073000000}"/>
    <hyperlink ref="W105" r:id="rId117" xr:uid="{00000000-0004-0000-0200-000074000000}"/>
    <hyperlink ref="W106" r:id="rId118" xr:uid="{00000000-0004-0000-0200-000075000000}"/>
    <hyperlink ref="W92:W93" r:id="rId119" display="Link to source" xr:uid="{00000000-0004-0000-0200-000076000000}"/>
    <hyperlink ref="W95" r:id="rId120" xr:uid="{00000000-0004-0000-0200-000077000000}"/>
    <hyperlink ref="W116" r:id="rId121" xr:uid="{00000000-0004-0000-0200-000078000000}"/>
    <hyperlink ref="W117" r:id="rId122" xr:uid="{00000000-0004-0000-0200-000079000000}"/>
    <hyperlink ref="W121" r:id="rId123" xr:uid="{00000000-0004-0000-0200-00007A000000}"/>
    <hyperlink ref="W103" r:id="rId124" xr:uid="{00000000-0004-0000-0200-00007B000000}"/>
    <hyperlink ref="W126" r:id="rId125" xr:uid="{00000000-0004-0000-0200-00007C000000}"/>
    <hyperlink ref="W127" r:id="rId126" xr:uid="{00000000-0004-0000-0200-00007D000000}"/>
    <hyperlink ref="W128" r:id="rId127" xr:uid="{00000000-0004-0000-0200-00007E000000}"/>
    <hyperlink ref="W129" r:id="rId128" xr:uid="{00000000-0004-0000-0200-00007F000000}"/>
    <hyperlink ref="W130" r:id="rId129" xr:uid="{00000000-0004-0000-0200-000080000000}"/>
    <hyperlink ref="W131" r:id="rId130" xr:uid="{00000000-0004-0000-0200-000081000000}"/>
    <hyperlink ref="W132" r:id="rId131" xr:uid="{00000000-0004-0000-0200-000082000000}"/>
    <hyperlink ref="W133:W136" r:id="rId132" display="Link to source" xr:uid="{00000000-0004-0000-0200-000083000000}"/>
    <hyperlink ref="W109" r:id="rId133" xr:uid="{00000000-0004-0000-0200-000084000000}"/>
    <hyperlink ref="W108" r:id="rId134" xr:uid="{00000000-0004-0000-0200-000085000000}"/>
    <hyperlink ref="W110" r:id="rId135" xr:uid="{00000000-0004-0000-0200-000086000000}"/>
    <hyperlink ref="W120" r:id="rId136" xr:uid="{00000000-0004-0000-0200-000087000000}"/>
    <hyperlink ref="W111" r:id="rId137" xr:uid="{00000000-0004-0000-0200-000088000000}"/>
    <hyperlink ref="W113" r:id="rId138" xr:uid="{00000000-0004-0000-0200-000089000000}"/>
    <hyperlink ref="W119" r:id="rId139" xr:uid="{00000000-0004-0000-0200-00008A000000}"/>
    <hyperlink ref="W114" r:id="rId140" xr:uid="{00000000-0004-0000-0200-00008B000000}"/>
    <hyperlink ref="X8" r:id="rId141" xr:uid="{00000000-0004-0000-0200-00008C000000}"/>
    <hyperlink ref="W97" r:id="rId142" xr:uid="{00000000-0004-0000-0200-00008D000000}"/>
    <hyperlink ref="W96" r:id="rId143" xr:uid="{00000000-0004-0000-0200-00008E000000}"/>
    <hyperlink ref="W98" r:id="rId144" xr:uid="{00000000-0004-0000-0200-00008F000000}"/>
    <hyperlink ref="W99" r:id="rId145" xr:uid="{00000000-0004-0000-0200-000090000000}"/>
    <hyperlink ref="W100" r:id="rId146" xr:uid="{00000000-0004-0000-0200-000091000000}"/>
    <hyperlink ref="W101" r:id="rId147" xr:uid="{00000000-0004-0000-0200-000092000000}"/>
    <hyperlink ref="W94" r:id="rId148" xr:uid="{00000000-0004-0000-0200-000093000000}"/>
    <hyperlink ref="W91" r:id="rId149" xr:uid="{00000000-0004-0000-0200-000094000000}"/>
    <hyperlink ref="W167" r:id="rId150" xr:uid="{00000000-0004-0000-0200-000095000000}"/>
    <hyperlink ref="W293" r:id="rId151" xr:uid="{00000000-0004-0000-0200-000096000000}"/>
    <hyperlink ref="W295:W297" r:id="rId152" display="Link to source" xr:uid="{00000000-0004-0000-0200-000097000000}"/>
    <hyperlink ref="W225" r:id="rId153" xr:uid="{00000000-0004-0000-0200-000098000000}"/>
    <hyperlink ref="W226:W229" r:id="rId154" display="Link to source" xr:uid="{00000000-0004-0000-0200-000099000000}"/>
    <hyperlink ref="W112" r:id="rId155" xr:uid="{00000000-0004-0000-0200-00009A000000}"/>
    <hyperlink ref="W183:W185" r:id="rId156" display="Link to source" xr:uid="{00000000-0004-0000-0200-00009B000000}"/>
    <hyperlink ref="W187" r:id="rId157" xr:uid="{00000000-0004-0000-0200-00009C000000}"/>
    <hyperlink ref="W188" r:id="rId158" xr:uid="{00000000-0004-0000-0200-00009D000000}"/>
    <hyperlink ref="W189" r:id="rId159" xr:uid="{00000000-0004-0000-0200-00009E000000}"/>
    <hyperlink ref="W190" r:id="rId160" xr:uid="{00000000-0004-0000-0200-00009F000000}"/>
    <hyperlink ref="W191" r:id="rId161" xr:uid="{00000000-0004-0000-0200-0000A0000000}"/>
    <hyperlink ref="W192" r:id="rId162" xr:uid="{00000000-0004-0000-0200-0000A1000000}"/>
    <hyperlink ref="W193" r:id="rId163" xr:uid="{00000000-0004-0000-0200-0000A2000000}"/>
    <hyperlink ref="W194" r:id="rId164" xr:uid="{00000000-0004-0000-0200-0000A3000000}"/>
    <hyperlink ref="W210" r:id="rId165" xr:uid="{00000000-0004-0000-0200-0000A4000000}"/>
    <hyperlink ref="W180" r:id="rId166" xr:uid="{00000000-0004-0000-0200-0000A5000000}"/>
    <hyperlink ref="W177" r:id="rId167" xr:uid="{00000000-0004-0000-0200-0000A6000000}"/>
    <hyperlink ref="W176" r:id="rId168" xr:uid="{00000000-0004-0000-0200-0000A7000000}"/>
    <hyperlink ref="W165" r:id="rId169" xr:uid="{00000000-0004-0000-0200-0000A8000000}"/>
    <hyperlink ref="W253:W255" r:id="rId170" display="Link to source" xr:uid="{00000000-0004-0000-0200-0000A9000000}"/>
    <hyperlink ref="W256" r:id="rId171" xr:uid="{00000000-0004-0000-0200-0000AA000000}"/>
    <hyperlink ref="W46" r:id="rId172" xr:uid="{00000000-0004-0000-0200-0000AB000000}"/>
    <hyperlink ref="W47" r:id="rId173" xr:uid="{00000000-0004-0000-0200-0000AC000000}"/>
    <hyperlink ref="W48" r:id="rId174" xr:uid="{00000000-0004-0000-0200-0000AD000000}"/>
    <hyperlink ref="W257" r:id="rId175" xr:uid="{00000000-0004-0000-0200-0000AE000000}"/>
    <hyperlink ref="W11" r:id="rId176" xr:uid="{00000000-0004-0000-0200-0000AF000000}"/>
    <hyperlink ref="W214" r:id="rId177" xr:uid="{00000000-0004-0000-0200-0000B0000000}"/>
    <hyperlink ref="W181" r:id="rId178" xr:uid="{00000000-0004-0000-0200-0000B1000000}"/>
    <hyperlink ref="W138" r:id="rId179" xr:uid="{00000000-0004-0000-0200-0000B2000000}"/>
    <hyperlink ref="W278" r:id="rId180" xr:uid="{00000000-0004-0000-0200-0000B3000000}"/>
    <hyperlink ref="W66" r:id="rId181" xr:uid="{00000000-0004-0000-0200-0000B4000000}"/>
    <hyperlink ref="W67" r:id="rId182" xr:uid="{00000000-0004-0000-0200-0000B5000000}"/>
    <hyperlink ref="W68" r:id="rId183" xr:uid="{00000000-0004-0000-0200-0000B6000000}"/>
    <hyperlink ref="W69" r:id="rId184" xr:uid="{00000000-0004-0000-0200-0000B7000000}"/>
    <hyperlink ref="W70" r:id="rId185" xr:uid="{00000000-0004-0000-0200-0000B8000000}"/>
    <hyperlink ref="W159" r:id="rId186" xr:uid="{00000000-0004-0000-0200-0000B9000000}"/>
    <hyperlink ref="W161" r:id="rId187" xr:uid="{00000000-0004-0000-0200-0000BA000000}"/>
    <hyperlink ref="W163" r:id="rId188" xr:uid="{00000000-0004-0000-0200-0000BB000000}"/>
    <hyperlink ref="W162" r:id="rId189" xr:uid="{00000000-0004-0000-0200-0000BC000000}"/>
    <hyperlink ref="W157" r:id="rId190" xr:uid="{00000000-0004-0000-0200-0000BD000000}"/>
    <hyperlink ref="W156" r:id="rId191" xr:uid="{00000000-0004-0000-0200-0000BE000000}"/>
    <hyperlink ref="W158" r:id="rId192" xr:uid="{00000000-0004-0000-0200-0000BF000000}"/>
    <hyperlink ref="W115" r:id="rId193" xr:uid="{00000000-0004-0000-0200-0000C0000000}"/>
    <hyperlink ref="W212" r:id="rId194" xr:uid="{00000000-0004-0000-0200-0000C1000000}"/>
    <hyperlink ref="W213" r:id="rId195" xr:uid="{00000000-0004-0000-0200-0000C2000000}"/>
    <hyperlink ref="W250" r:id="rId196" xr:uid="{00000000-0004-0000-0200-0000C3000000}"/>
    <hyperlink ref="W65" r:id="rId197" xr:uid="{00000000-0004-0000-0200-0000C4000000}"/>
    <hyperlink ref="X65" r:id="rId198" xr:uid="{00000000-0004-0000-0200-0000C5000000}"/>
    <hyperlink ref="W230" r:id="rId199" xr:uid="{00000000-0004-0000-0200-0000C6000000}"/>
    <hyperlink ref="W231" r:id="rId200" xr:uid="{00000000-0004-0000-0200-0000C7000000}"/>
    <hyperlink ref="W232" r:id="rId201" xr:uid="{00000000-0004-0000-0200-0000C8000000}"/>
    <hyperlink ref="W233" r:id="rId202" xr:uid="{00000000-0004-0000-0200-0000C9000000}"/>
    <hyperlink ref="W234" r:id="rId203" xr:uid="{00000000-0004-0000-0200-0000CA000000}"/>
    <hyperlink ref="W235" r:id="rId204" xr:uid="{00000000-0004-0000-0200-0000CB000000}"/>
    <hyperlink ref="W236" r:id="rId205" xr:uid="{00000000-0004-0000-0200-0000CC000000}"/>
    <hyperlink ref="W237" r:id="rId206" xr:uid="{00000000-0004-0000-0200-0000CD000000}"/>
    <hyperlink ref="W238" r:id="rId207" xr:uid="{00000000-0004-0000-0200-0000CE000000}"/>
    <hyperlink ref="W239" r:id="rId208" xr:uid="{00000000-0004-0000-0200-0000CF000000}"/>
    <hyperlink ref="W240" r:id="rId209" xr:uid="{00000000-0004-0000-0200-0000D0000000}"/>
    <hyperlink ref="W241" r:id="rId210" xr:uid="{00000000-0004-0000-0200-0000D1000000}"/>
    <hyperlink ref="W242" r:id="rId211" xr:uid="{00000000-0004-0000-0200-0000D2000000}"/>
    <hyperlink ref="W243" r:id="rId212" xr:uid="{00000000-0004-0000-0200-0000D3000000}"/>
    <hyperlink ref="W244" r:id="rId213" xr:uid="{00000000-0004-0000-0200-0000D4000000}"/>
    <hyperlink ref="W245" r:id="rId214" xr:uid="{00000000-0004-0000-0200-0000D5000000}"/>
    <hyperlink ref="W246" r:id="rId215" xr:uid="{00000000-0004-0000-0200-0000D6000000}"/>
    <hyperlink ref="W247" r:id="rId216" xr:uid="{00000000-0004-0000-0200-0000D7000000}"/>
    <hyperlink ref="W248" r:id="rId217" xr:uid="{00000000-0004-0000-0200-0000D8000000}"/>
    <hyperlink ref="X10" r:id="rId218" xr:uid="{00000000-0004-0000-0200-0000D9000000}"/>
    <hyperlink ref="X11" r:id="rId219" xr:uid="{00000000-0004-0000-0200-0000DA000000}"/>
    <hyperlink ref="X12" r:id="rId220" xr:uid="{00000000-0004-0000-0200-0000DB000000}"/>
    <hyperlink ref="X13" r:id="rId221" xr:uid="{00000000-0004-0000-0200-0000DC000000}"/>
    <hyperlink ref="X14" r:id="rId222" xr:uid="{00000000-0004-0000-0200-0000DD000000}"/>
    <hyperlink ref="X15" r:id="rId223" xr:uid="{00000000-0004-0000-0200-0000DE000000}"/>
    <hyperlink ref="X16" r:id="rId224" xr:uid="{00000000-0004-0000-0200-0000DF000000}"/>
    <hyperlink ref="X17" r:id="rId225" xr:uid="{00000000-0004-0000-0200-0000E0000000}"/>
    <hyperlink ref="X18" r:id="rId226" xr:uid="{00000000-0004-0000-0200-0000E1000000}"/>
    <hyperlink ref="W12" r:id="rId227" xr:uid="{00000000-0004-0000-0200-0000E2000000}"/>
    <hyperlink ref="W13" r:id="rId228" xr:uid="{00000000-0004-0000-0200-0000E3000000}"/>
    <hyperlink ref="W14" r:id="rId229" xr:uid="{00000000-0004-0000-0200-0000E4000000}"/>
    <hyperlink ref="W15" r:id="rId230" xr:uid="{00000000-0004-0000-0200-0000E5000000}"/>
    <hyperlink ref="W16" r:id="rId231" xr:uid="{00000000-0004-0000-0200-0000E6000000}"/>
    <hyperlink ref="W17" r:id="rId232" xr:uid="{00000000-0004-0000-0200-0000E7000000}"/>
    <hyperlink ref="W18" r:id="rId233" xr:uid="{00000000-0004-0000-0200-0000E8000000}"/>
    <hyperlink ref="X34" r:id="rId234" xr:uid="{00000000-0004-0000-0200-0000E9000000}"/>
    <hyperlink ref="W170" r:id="rId235" xr:uid="{00000000-0004-0000-0200-0000EA000000}"/>
    <hyperlink ref="W224" r:id="rId236" xr:uid="{00000000-0004-0000-0200-0000EB000000}"/>
    <hyperlink ref="X6" r:id="rId237" xr:uid="{00000000-0004-0000-0200-0000EC000000}"/>
    <hyperlink ref="W262" r:id="rId238" xr:uid="{00000000-0004-0000-0200-0000ED000000}"/>
    <hyperlink ref="W259" r:id="rId239" xr:uid="{00000000-0004-0000-0200-0000EE000000}"/>
    <hyperlink ref="W260" r:id="rId240" xr:uid="{00000000-0004-0000-0200-0000EF000000}"/>
    <hyperlink ref="W261" r:id="rId241" xr:uid="{00000000-0004-0000-0200-0000F0000000}"/>
    <hyperlink ref="W301" r:id="rId242" xr:uid="{00000000-0004-0000-0200-0000F1000000}"/>
    <hyperlink ref="W302" r:id="rId243" xr:uid="{00000000-0004-0000-0200-0000F2000000}"/>
    <hyperlink ref="W303" r:id="rId244" xr:uid="{00000000-0004-0000-0200-0000F3000000}"/>
    <hyperlink ref="W49" r:id="rId245" xr:uid="{00000000-0004-0000-0200-0000F4000000}"/>
    <hyperlink ref="X49" r:id="rId246" xr:uid="{00000000-0004-0000-0200-0000F5000000}"/>
    <hyperlink ref="X356" r:id="rId247" xr:uid="{00000000-0004-0000-0200-0000F6000000}"/>
    <hyperlink ref="W357" r:id="rId248" xr:uid="{00000000-0004-0000-0200-0000F7000000}"/>
    <hyperlink ref="X364" r:id="rId249" display="https://www.gov.uk/government/publications/cardiovascular-disease-prevention-cost-effective-commissioning" xr:uid="{00000000-0004-0000-0200-0000F8000000}"/>
    <hyperlink ref="W356" r:id="rId250" xr:uid="{00000000-0004-0000-0200-0000F9000000}"/>
    <hyperlink ref="W358:W371" r:id="rId251" display="https://cvd-prevention.shef.ac.uk" xr:uid="{00000000-0004-0000-0200-0000FA000000}"/>
    <hyperlink ref="W263" r:id="rId252" xr:uid="{00000000-0004-0000-0200-0000FB000000}"/>
    <hyperlink ref="W264" r:id="rId253" xr:uid="{00000000-0004-0000-0200-0000FC000000}"/>
    <hyperlink ref="W45" r:id="rId254" xr:uid="{00000000-0004-0000-0200-0000FD000000}"/>
    <hyperlink ref="W139" r:id="rId255" location="/plain-english-summary" xr:uid="{00000000-0004-0000-0200-0000FE000000}"/>
    <hyperlink ref="W140:W142" r:id="rId256" location="/plain-english-summary" display="Link to source" xr:uid="{00000000-0004-0000-0200-0000FF000000}"/>
    <hyperlink ref="W143" r:id="rId257" location="/plain-english-summary" xr:uid="{00000000-0004-0000-0200-000000010000}"/>
    <hyperlink ref="W315" r:id="rId258" xr:uid="{00000000-0004-0000-0200-000001010000}"/>
    <hyperlink ref="W316:W321" r:id="rId259" display="Link to source" xr:uid="{00000000-0004-0000-0200-000002010000}"/>
    <hyperlink ref="W322:W329" r:id="rId260" display="Link to source" xr:uid="{00000000-0004-0000-0200-000003010000}"/>
    <hyperlink ref="W144" r:id="rId261" xr:uid="{00000000-0004-0000-0200-000004010000}"/>
    <hyperlink ref="W145" r:id="rId262" xr:uid="{00000000-0004-0000-0200-000005010000}"/>
    <hyperlink ref="W285" r:id="rId263" xr:uid="{00000000-0004-0000-0200-000006010000}"/>
    <hyperlink ref="W286" r:id="rId264" xr:uid="{00000000-0004-0000-0200-000007010000}"/>
    <hyperlink ref="W330:W338" r:id="rId265" display="Link to Source" xr:uid="{00000000-0004-0000-0200-000008010000}"/>
    <hyperlink ref="W195" r:id="rId266" xr:uid="{00000000-0004-0000-0200-000009010000}"/>
    <hyperlink ref="W50" r:id="rId267" xr:uid="{00000000-0004-0000-0200-00000A010000}"/>
    <hyperlink ref="W354" r:id="rId268" xr:uid="{00000000-0004-0000-0200-00000B010000}"/>
    <hyperlink ref="W265" r:id="rId269" xr:uid="{00000000-0004-0000-0200-00000C010000}"/>
    <hyperlink ref="W304" r:id="rId270" xr:uid="{00000000-0004-0000-0200-00000D010000}"/>
    <hyperlink ref="W146" r:id="rId271" xr:uid="{00000000-0004-0000-0200-00000E010000}"/>
    <hyperlink ref="W305" r:id="rId272" xr:uid="{00000000-0004-0000-0200-00000F010000}"/>
    <hyperlink ref="W147" r:id="rId273" xr:uid="{00000000-0004-0000-0200-000010010000}"/>
    <hyperlink ref="W372" r:id="rId274" xr:uid="{00000000-0004-0000-0200-000011010000}"/>
    <hyperlink ref="W287" r:id="rId275" xr:uid="{00000000-0004-0000-0200-000012010000}"/>
    <hyperlink ref="W288" r:id="rId276" xr:uid="{00000000-0004-0000-0200-000013010000}"/>
    <hyperlink ref="W266" r:id="rId277" xr:uid="{00000000-0004-0000-0200-000014010000}"/>
    <hyperlink ref="W148" r:id="rId278" xr:uid="{00000000-0004-0000-0200-000015010000}"/>
    <hyperlink ref="W149" r:id="rId279" xr:uid="{00000000-0004-0000-0200-000016010000}"/>
    <hyperlink ref="W150" r:id="rId280" xr:uid="{00000000-0004-0000-0200-000017010000}"/>
    <hyperlink ref="W72" r:id="rId281" xr:uid="{00000000-0004-0000-0200-000018010000}"/>
    <hyperlink ref="W73:W80" r:id="rId282" display="Link to source" xr:uid="{00000000-0004-0000-0200-000019010000}"/>
    <hyperlink ref="W71" r:id="rId283" xr:uid="{00000000-0004-0000-0200-00001A010000}"/>
    <hyperlink ref="W81" r:id="rId284" xr:uid="{00000000-0004-0000-0200-00001B010000}"/>
    <hyperlink ref="W7" r:id="rId285" xr:uid="{00000000-0004-0000-0200-00001C010000}"/>
    <hyperlink ref="W343" r:id="rId286" xr:uid="{00000000-0004-0000-0200-00001D010000}"/>
    <hyperlink ref="W344" r:id="rId287" xr:uid="{00000000-0004-0000-0200-00001E010000}"/>
    <hyperlink ref="W345" r:id="rId288" xr:uid="{00000000-0004-0000-0200-00001F010000}"/>
    <hyperlink ref="W346" r:id="rId289" xr:uid="{00000000-0004-0000-0200-000020010000}"/>
    <hyperlink ref="W347" r:id="rId290" xr:uid="{00000000-0004-0000-0200-000021010000}"/>
    <hyperlink ref="W348" r:id="rId291" xr:uid="{00000000-0004-0000-0200-000022010000}"/>
    <hyperlink ref="W349" r:id="rId292" xr:uid="{00000000-0004-0000-0200-000023010000}"/>
    <hyperlink ref="W350" r:id="rId293" xr:uid="{00000000-0004-0000-0200-000024010000}"/>
    <hyperlink ref="W351" r:id="rId294" xr:uid="{00000000-0004-0000-0200-000025010000}"/>
    <hyperlink ref="W352" r:id="rId295" xr:uid="{00000000-0004-0000-0200-000026010000}"/>
    <hyperlink ref="W353" r:id="rId296" xr:uid="{00000000-0004-0000-0200-000027010000}"/>
    <hyperlink ref="W82" r:id="rId297" xr:uid="{00000000-0004-0000-0200-000028010000}"/>
    <hyperlink ref="W83" r:id="rId298" xr:uid="{00000000-0004-0000-0200-000029010000}"/>
    <hyperlink ref="W84" r:id="rId299" xr:uid="{00000000-0004-0000-0200-00002A010000}"/>
    <hyperlink ref="W340" r:id="rId300" xr:uid="{00000000-0004-0000-0200-00002B010000}"/>
    <hyperlink ref="W151" r:id="rId301" xr:uid="{00000000-0004-0000-0200-00002C010000}"/>
    <hyperlink ref="X151" r:id="rId302" xr:uid="{00000000-0004-0000-0200-00002D010000}"/>
    <hyperlink ref="W152" r:id="rId303" xr:uid="{00000000-0004-0000-0200-00002E010000}"/>
    <hyperlink ref="X152" r:id="rId304" xr:uid="{00000000-0004-0000-0200-00002F010000}"/>
    <hyperlink ref="W373" r:id="rId305" xr:uid="{00000000-0004-0000-0200-000030010000}"/>
    <hyperlink ref="W9" r:id="rId306" xr:uid="{00000000-0004-0000-0200-000031010000}"/>
    <hyperlink ref="W85" r:id="rId307" xr:uid="{00000000-0004-0000-0200-000032010000}"/>
    <hyperlink ref="W196" r:id="rId308" xr:uid="{00000000-0004-0000-0200-000033010000}"/>
    <hyperlink ref="W26" r:id="rId309" xr:uid="{00000000-0004-0000-0200-000034010000}"/>
    <hyperlink ref="W86" r:id="rId310" xr:uid="{00000000-0004-0000-0200-000035010000}"/>
    <hyperlink ref="W289" r:id="rId311" xr:uid="{00000000-0004-0000-0200-000036010000}"/>
    <hyperlink ref="W306" r:id="rId312" xr:uid="{00000000-0004-0000-0200-000037010000}"/>
    <hyperlink ref="W87" r:id="rId313" xr:uid="{00000000-0004-0000-0200-000038010000}"/>
    <hyperlink ref="W51" r:id="rId314" xr:uid="{00000000-0004-0000-0200-000039010000}"/>
    <hyperlink ref="X307" r:id="rId315" xr:uid="{00000000-0004-0000-0200-00003A010000}"/>
    <hyperlink ref="X308:X314" r:id="rId316" display="https://www.gov.uk/government/publications/mental-health-services-cost-effective-commissioning" xr:uid="{00000000-0004-0000-0200-00003B010000}"/>
    <hyperlink ref="W339" r:id="rId317" xr:uid="{00000000-0004-0000-0200-00003C010000}"/>
    <hyperlink ref="W355" r:id="rId318" xr:uid="{397D07A7-2EF3-4FCF-BE54-14D0BC968D44}"/>
    <hyperlink ref="W341:W342" r:id="rId319" display="Link to source" xr:uid="{EFD1F729-E9CC-46FB-A635-7EFB2ECFF839}"/>
    <hyperlink ref="X355" r:id="rId320" display="https://webarchive.nationalarchives.gov.uk/20130124050747/http:/www.dh.gov.uk/prod_consum_dh/groups/dh_digitalassets/documents/digitalasset/dh_110099.pdf" xr:uid="{0DEF85AC-2622-4C83-89CA-9A18CADB6290}"/>
  </hyperlinks>
  <pageMargins left="0.7" right="0.7" top="0.75" bottom="0.75" header="0.3" footer="0.3"/>
  <pageSetup paperSize="9" scale="21" fitToHeight="0" orientation="portrait" r:id="rId321"/>
  <drawing r:id="rId322"/>
  <legacyDrawing r:id="rId32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theme="7"/>
    <pageSetUpPr autoPageBreaks="0"/>
  </sheetPr>
  <dimension ref="A1:T16390"/>
  <sheetViews>
    <sheetView zoomScale="85" zoomScaleNormal="85" workbookViewId="0">
      <selection activeCell="R19" sqref="R19"/>
    </sheetView>
  </sheetViews>
  <sheetFormatPr defaultColWidth="8.88671875" defaultRowHeight="15" customHeight="1" x14ac:dyDescent="0.3"/>
  <cols>
    <col min="1" max="10" width="10" customWidth="1"/>
    <col min="12" max="12" width="21" customWidth="1"/>
    <col min="17" max="17" width="10.6640625" bestFit="1" customWidth="1"/>
  </cols>
  <sheetData>
    <row r="1" spans="1:20" ht="15" customHeight="1" x14ac:dyDescent="0.3">
      <c r="A1" s="19"/>
      <c r="B1" s="19"/>
      <c r="C1" s="19"/>
      <c r="D1" s="19"/>
      <c r="E1" s="19"/>
      <c r="F1" s="19"/>
      <c r="G1" s="19"/>
      <c r="H1" s="19"/>
      <c r="I1" s="19"/>
      <c r="J1" s="72"/>
    </row>
    <row r="2" spans="1:20" ht="15" customHeight="1" x14ac:dyDescent="0.3">
      <c r="A2" s="19"/>
      <c r="B2" s="19"/>
      <c r="C2" s="19"/>
      <c r="D2" s="19"/>
      <c r="E2" s="19"/>
      <c r="F2" s="19"/>
      <c r="G2" s="19"/>
      <c r="H2" s="19"/>
      <c r="I2" s="19"/>
    </row>
    <row r="3" spans="1:20" ht="15" customHeight="1" x14ac:dyDescent="0.3">
      <c r="A3" s="19"/>
      <c r="B3" s="19"/>
      <c r="C3" s="19"/>
      <c r="D3" s="19"/>
      <c r="E3" s="19"/>
      <c r="F3" s="19"/>
      <c r="G3" s="19"/>
      <c r="H3" s="19"/>
      <c r="I3" s="19"/>
      <c r="Q3" s="3"/>
      <c r="R3" s="1" t="s">
        <v>484</v>
      </c>
      <c r="S3" s="5">
        <v>1</v>
      </c>
      <c r="T3">
        <f>255</f>
        <v>255</v>
      </c>
    </row>
    <row r="4" spans="1:20" ht="15" customHeight="1" x14ac:dyDescent="0.3">
      <c r="A4" s="19"/>
      <c r="B4" s="19"/>
      <c r="C4" s="19"/>
      <c r="D4" s="19"/>
      <c r="E4" s="19"/>
      <c r="F4" s="19"/>
      <c r="G4" s="19"/>
      <c r="H4" s="19"/>
      <c r="I4" s="19"/>
      <c r="K4" s="2"/>
      <c r="R4" s="19" t="s">
        <v>485</v>
      </c>
      <c r="S4" s="5">
        <v>2</v>
      </c>
      <c r="T4">
        <f>255*S4</f>
        <v>510</v>
      </c>
    </row>
    <row r="5" spans="1:20" ht="15" customHeight="1" x14ac:dyDescent="0.3">
      <c r="A5" s="19"/>
      <c r="B5" s="19"/>
      <c r="C5" s="19"/>
      <c r="D5" s="19"/>
      <c r="E5" s="19"/>
      <c r="F5" s="19"/>
      <c r="G5" s="19"/>
      <c r="H5" s="19"/>
      <c r="I5" s="19"/>
      <c r="K5" s="2"/>
      <c r="R5" s="20" t="s">
        <v>485</v>
      </c>
      <c r="S5" s="5">
        <v>3</v>
      </c>
      <c r="T5">
        <f>255*S5</f>
        <v>765</v>
      </c>
    </row>
    <row r="6" spans="1:20" ht="15" customHeight="1" x14ac:dyDescent="0.3">
      <c r="A6" s="7"/>
      <c r="B6" s="7"/>
      <c r="C6" s="7"/>
      <c r="D6" s="7"/>
      <c r="E6" s="7"/>
      <c r="F6" s="7"/>
      <c r="G6" s="7"/>
      <c r="H6" s="7"/>
      <c r="I6" s="7"/>
      <c r="J6" s="7"/>
      <c r="K6" s="2"/>
      <c r="M6" s="5" t="s">
        <v>471</v>
      </c>
      <c r="R6" s="21" t="s">
        <v>486</v>
      </c>
      <c r="S6" s="5">
        <v>4</v>
      </c>
      <c r="T6">
        <f>255*S6</f>
        <v>1020</v>
      </c>
    </row>
    <row r="7" spans="1:20" ht="15" customHeight="1" x14ac:dyDescent="0.3">
      <c r="A7" s="80"/>
      <c r="B7" s="32"/>
      <c r="C7" s="32"/>
      <c r="D7" s="32"/>
      <c r="E7" s="32"/>
      <c r="F7" s="32"/>
      <c r="G7" s="32"/>
      <c r="H7" s="32"/>
      <c r="I7" s="32"/>
      <c r="J7" s="33"/>
      <c r="K7" s="2"/>
      <c r="L7" t="s">
        <v>1</v>
      </c>
      <c r="M7" s="70">
        <v>3</v>
      </c>
      <c r="N7" s="70" t="s">
        <v>12</v>
      </c>
      <c r="O7" s="70" t="s">
        <v>481</v>
      </c>
      <c r="R7" s="22" t="s">
        <v>486</v>
      </c>
      <c r="S7" s="5">
        <v>5</v>
      </c>
      <c r="T7">
        <f>255*S7</f>
        <v>1275</v>
      </c>
    </row>
    <row r="8" spans="1:20" ht="15" customHeight="1" x14ac:dyDescent="0.3">
      <c r="A8" s="34"/>
      <c r="B8" s="35"/>
      <c r="C8" s="35"/>
      <c r="D8" s="35"/>
      <c r="E8" s="35"/>
      <c r="F8" s="35"/>
      <c r="G8" s="35"/>
      <c r="H8" s="35"/>
      <c r="I8" s="35"/>
      <c r="J8" s="36"/>
      <c r="K8" s="2"/>
      <c r="L8" t="s">
        <v>451</v>
      </c>
      <c r="M8" s="71">
        <v>42</v>
      </c>
      <c r="N8" s="106" t="s">
        <v>0</v>
      </c>
      <c r="O8" s="71">
        <f>LEN(N8)</f>
        <v>42</v>
      </c>
      <c r="R8" s="23" t="s">
        <v>486</v>
      </c>
      <c r="S8" s="5"/>
    </row>
    <row r="9" spans="1:20" ht="15" customHeight="1" x14ac:dyDescent="0.3">
      <c r="A9" s="37"/>
      <c r="B9" s="38"/>
      <c r="C9" s="38"/>
      <c r="D9" s="38"/>
      <c r="E9" s="38"/>
      <c r="F9" s="38"/>
      <c r="G9" s="38"/>
      <c r="H9" s="38"/>
      <c r="I9" s="38"/>
      <c r="J9" s="39"/>
      <c r="K9" s="2"/>
      <c r="L9" t="s">
        <v>2</v>
      </c>
      <c r="M9">
        <v>74</v>
      </c>
      <c r="N9" s="106" t="s">
        <v>8</v>
      </c>
      <c r="O9" s="71">
        <f>LEN(N9)</f>
        <v>13</v>
      </c>
      <c r="R9" s="73" t="s">
        <v>486</v>
      </c>
      <c r="S9" s="5"/>
    </row>
    <row r="10" spans="1:20" ht="15" customHeight="1" x14ac:dyDescent="0.3">
      <c r="A10" s="78"/>
      <c r="B10" s="78"/>
      <c r="C10" s="78"/>
      <c r="D10" s="78"/>
      <c r="E10" s="78"/>
      <c r="F10" s="78"/>
      <c r="G10" s="78"/>
      <c r="H10" s="78"/>
      <c r="I10" s="78"/>
      <c r="J10" s="78"/>
      <c r="K10" s="2"/>
      <c r="L10" t="s">
        <v>25</v>
      </c>
      <c r="M10">
        <v>119</v>
      </c>
      <c r="N10" s="106" t="s">
        <v>8</v>
      </c>
      <c r="O10" s="71">
        <f>LEN(N10)</f>
        <v>13</v>
      </c>
      <c r="R10" s="79"/>
      <c r="S10" s="5"/>
    </row>
    <row r="11" spans="1:20" ht="15" customHeight="1" x14ac:dyDescent="0.3">
      <c r="A11" s="78"/>
      <c r="B11" s="78"/>
      <c r="C11" s="78"/>
      <c r="D11" s="78"/>
      <c r="E11" s="78"/>
      <c r="F11" s="78"/>
      <c r="G11" s="78"/>
      <c r="H11" s="78"/>
      <c r="I11" s="78"/>
      <c r="J11" s="78"/>
      <c r="K11" s="2"/>
      <c r="L11" t="s">
        <v>463</v>
      </c>
      <c r="M11">
        <v>3</v>
      </c>
      <c r="N11" s="106" t="s">
        <v>1560</v>
      </c>
      <c r="O11" s="71">
        <f>LEN(N11)</f>
        <v>3</v>
      </c>
    </row>
    <row r="12" spans="1:20" ht="15" customHeight="1" x14ac:dyDescent="0.3">
      <c r="A12" s="78"/>
      <c r="B12" s="78"/>
      <c r="C12" s="78"/>
      <c r="D12" s="78"/>
      <c r="E12" s="78"/>
      <c r="F12" s="78"/>
      <c r="G12" s="78"/>
      <c r="H12" s="78"/>
      <c r="I12" s="78"/>
      <c r="J12" s="78"/>
      <c r="L12" t="s">
        <v>896</v>
      </c>
      <c r="M12">
        <v>24</v>
      </c>
      <c r="N12" s="107"/>
      <c r="O12" s="71">
        <f>LEN(N12)</f>
        <v>0</v>
      </c>
    </row>
    <row r="13" spans="1:20" ht="19.5" customHeight="1" x14ac:dyDescent="0.3">
      <c r="A13" s="78"/>
      <c r="B13" s="78"/>
      <c r="C13" s="78"/>
      <c r="D13" s="78"/>
      <c r="E13" s="78"/>
      <c r="F13" s="78"/>
      <c r="G13" s="78"/>
      <c r="H13" s="78"/>
      <c r="I13" s="78"/>
      <c r="J13" s="78"/>
      <c r="L13" t="s">
        <v>560</v>
      </c>
      <c r="M13">
        <v>57</v>
      </c>
      <c r="N13" s="108">
        <v>4965</v>
      </c>
      <c r="O13" s="71">
        <f t="shared" ref="O13:O34" si="0">LEN(N13)</f>
        <v>4</v>
      </c>
    </row>
    <row r="14" spans="1:20" ht="15" customHeight="1" x14ac:dyDescent="0.3">
      <c r="A14" s="78"/>
      <c r="B14" s="78"/>
      <c r="C14" s="78"/>
      <c r="D14" s="78"/>
      <c r="E14" s="78"/>
      <c r="F14" s="78"/>
      <c r="G14" s="78"/>
      <c r="H14" s="78"/>
      <c r="I14" s="78"/>
      <c r="J14" s="78"/>
      <c r="L14" t="s">
        <v>107</v>
      </c>
      <c r="M14">
        <v>41</v>
      </c>
      <c r="N14" s="158"/>
      <c r="O14" s="71">
        <f t="shared" si="0"/>
        <v>0</v>
      </c>
    </row>
    <row r="15" spans="1:20" ht="15" customHeight="1" x14ac:dyDescent="0.3">
      <c r="A15" s="74"/>
      <c r="B15" s="75"/>
      <c r="C15" s="75"/>
      <c r="D15" s="75"/>
      <c r="E15" s="75"/>
      <c r="F15" s="75"/>
      <c r="G15" s="75"/>
      <c r="H15" s="75"/>
      <c r="I15" s="75"/>
      <c r="J15" s="76"/>
      <c r="L15" t="s">
        <v>395</v>
      </c>
      <c r="M15">
        <v>866</v>
      </c>
      <c r="N15" s="114" t="s">
        <v>1516</v>
      </c>
      <c r="O15" s="71">
        <f>LEN(N15)</f>
        <v>410</v>
      </c>
    </row>
    <row r="16" spans="1:20" ht="15" customHeight="1" x14ac:dyDescent="0.3">
      <c r="A16" s="294" t="str">
        <f>Summary_input</f>
        <v>School based group education for increasing rates of condom use and reducing STIs and unwanted pregnancy.
The intervention involved weekly lessons following a health curriculum that highlights the impacts of drug and alcohol
use, violence and sexual behaviour on health. The curriculum was developed throughout with input from students,
teachers and parents. Teaching staff were trained to deliver the program.</v>
      </c>
      <c r="B16" s="295"/>
      <c r="C16" s="295"/>
      <c r="D16" s="295"/>
      <c r="E16" s="295"/>
      <c r="F16" s="295"/>
      <c r="G16" s="295"/>
      <c r="H16" s="295"/>
      <c r="I16" s="295"/>
      <c r="J16" s="296"/>
      <c r="L16" t="s">
        <v>265</v>
      </c>
      <c r="M16">
        <v>44</v>
      </c>
      <c r="N16" s="109" t="s">
        <v>51</v>
      </c>
      <c r="O16" s="71">
        <f t="shared" si="0"/>
        <v>21</v>
      </c>
    </row>
    <row r="17" spans="1:15" ht="15" customHeight="1" x14ac:dyDescent="0.3">
      <c r="A17" s="297"/>
      <c r="B17" s="298"/>
      <c r="C17" s="298"/>
      <c r="D17" s="298"/>
      <c r="E17" s="298"/>
      <c r="F17" s="298"/>
      <c r="G17" s="298"/>
      <c r="H17" s="298"/>
      <c r="I17" s="298"/>
      <c r="J17" s="299"/>
      <c r="L17" t="s">
        <v>28</v>
      </c>
      <c r="M17">
        <v>54</v>
      </c>
      <c r="N17" s="109" t="s">
        <v>396</v>
      </c>
      <c r="O17" s="71">
        <f t="shared" si="0"/>
        <v>16</v>
      </c>
    </row>
    <row r="18" spans="1:15" ht="15" customHeight="1" x14ac:dyDescent="0.3">
      <c r="A18" s="297"/>
      <c r="B18" s="298"/>
      <c r="C18" s="298"/>
      <c r="D18" s="298"/>
      <c r="E18" s="298"/>
      <c r="F18" s="298"/>
      <c r="G18" s="298"/>
      <c r="H18" s="298"/>
      <c r="I18" s="298"/>
      <c r="J18" s="299"/>
      <c r="L18" t="s">
        <v>3</v>
      </c>
      <c r="M18">
        <v>133</v>
      </c>
      <c r="N18" s="114" t="s">
        <v>841</v>
      </c>
      <c r="O18" s="71">
        <f t="shared" si="0"/>
        <v>32</v>
      </c>
    </row>
    <row r="19" spans="1:15" ht="15" customHeight="1" x14ac:dyDescent="0.3">
      <c r="A19" s="297"/>
      <c r="B19" s="298"/>
      <c r="C19" s="298"/>
      <c r="D19" s="298"/>
      <c r="E19" s="298"/>
      <c r="F19" s="298"/>
      <c r="G19" s="298"/>
      <c r="H19" s="298"/>
      <c r="I19" s="298"/>
      <c r="J19" s="299"/>
      <c r="L19" t="s">
        <v>4</v>
      </c>
      <c r="M19">
        <v>82</v>
      </c>
      <c r="N19" s="106" t="s">
        <v>26</v>
      </c>
      <c r="O19" s="71">
        <f t="shared" si="0"/>
        <v>15</v>
      </c>
    </row>
    <row r="20" spans="1:15" ht="15" customHeight="1" x14ac:dyDescent="0.3">
      <c r="A20" s="297"/>
      <c r="B20" s="298"/>
      <c r="C20" s="298"/>
      <c r="D20" s="298"/>
      <c r="E20" s="298"/>
      <c r="F20" s="298"/>
      <c r="G20" s="298"/>
      <c r="H20" s="298"/>
      <c r="I20" s="298"/>
      <c r="J20" s="299"/>
      <c r="L20" t="s">
        <v>5</v>
      </c>
      <c r="M20">
        <v>1133</v>
      </c>
      <c r="N20" s="81" t="s">
        <v>842</v>
      </c>
      <c r="O20" s="71">
        <f t="shared" si="0"/>
        <v>380</v>
      </c>
    </row>
    <row r="21" spans="1:15" ht="15" customHeight="1" x14ac:dyDescent="0.3">
      <c r="A21" s="297"/>
      <c r="B21" s="298"/>
      <c r="C21" s="298"/>
      <c r="D21" s="298"/>
      <c r="E21" s="298"/>
      <c r="F21" s="298"/>
      <c r="G21" s="298"/>
      <c r="H21" s="298"/>
      <c r="I21" s="298"/>
      <c r="J21" s="299"/>
      <c r="L21" t="s">
        <v>6</v>
      </c>
      <c r="M21">
        <v>20</v>
      </c>
      <c r="N21" s="106" t="s">
        <v>767</v>
      </c>
      <c r="O21" s="71">
        <f t="shared" si="0"/>
        <v>7</v>
      </c>
    </row>
    <row r="22" spans="1:15" ht="15" customHeight="1" x14ac:dyDescent="0.3">
      <c r="A22" s="297"/>
      <c r="B22" s="298"/>
      <c r="C22" s="298"/>
      <c r="D22" s="298"/>
      <c r="E22" s="298"/>
      <c r="F22" s="298"/>
      <c r="G22" s="298"/>
      <c r="H22" s="298"/>
      <c r="I22" s="298"/>
      <c r="J22" s="299"/>
      <c r="L22" t="s">
        <v>108</v>
      </c>
      <c r="M22">
        <v>19</v>
      </c>
      <c r="N22" s="106" t="s">
        <v>595</v>
      </c>
      <c r="O22" s="71">
        <f t="shared" si="0"/>
        <v>2</v>
      </c>
    </row>
    <row r="23" spans="1:15" ht="15" customHeight="1" x14ac:dyDescent="0.3">
      <c r="A23" s="297"/>
      <c r="B23" s="298"/>
      <c r="C23" s="298"/>
      <c r="D23" s="298"/>
      <c r="E23" s="298"/>
      <c r="F23" s="298"/>
      <c r="G23" s="298"/>
      <c r="H23" s="298"/>
      <c r="I23" s="298"/>
      <c r="J23" s="299"/>
      <c r="L23" t="s">
        <v>268</v>
      </c>
      <c r="M23">
        <v>110</v>
      </c>
      <c r="N23" s="106" t="s">
        <v>739</v>
      </c>
      <c r="O23" s="71">
        <f t="shared" si="0"/>
        <v>41</v>
      </c>
    </row>
    <row r="24" spans="1:15" ht="15" customHeight="1" x14ac:dyDescent="0.3">
      <c r="A24" s="297"/>
      <c r="B24" s="298"/>
      <c r="C24" s="298"/>
      <c r="D24" s="298"/>
      <c r="E24" s="298"/>
      <c r="F24" s="298"/>
      <c r="G24" s="298"/>
      <c r="H24" s="298"/>
      <c r="I24" s="298"/>
      <c r="J24" s="299"/>
      <c r="L24" t="s">
        <v>30</v>
      </c>
      <c r="M24">
        <v>21</v>
      </c>
      <c r="N24" s="106" t="s">
        <v>35</v>
      </c>
      <c r="O24" s="71">
        <f t="shared" si="0"/>
        <v>7</v>
      </c>
    </row>
    <row r="25" spans="1:15" ht="15" customHeight="1" x14ac:dyDescent="0.3">
      <c r="A25" s="297"/>
      <c r="B25" s="298"/>
      <c r="C25" s="298"/>
      <c r="D25" s="298"/>
      <c r="E25" s="298"/>
      <c r="F25" s="298"/>
      <c r="G25" s="298"/>
      <c r="H25" s="298"/>
      <c r="I25" s="298"/>
      <c r="J25" s="299"/>
      <c r="L25" t="s">
        <v>29</v>
      </c>
      <c r="M25">
        <v>25</v>
      </c>
      <c r="N25" s="110">
        <v>3.5000000000000003E-2</v>
      </c>
      <c r="O25" s="71">
        <f t="shared" si="0"/>
        <v>5</v>
      </c>
    </row>
    <row r="26" spans="1:15" ht="15" customHeight="1" x14ac:dyDescent="0.3">
      <c r="A26" s="300"/>
      <c r="B26" s="301"/>
      <c r="C26" s="301"/>
      <c r="D26" s="301"/>
      <c r="E26" s="301"/>
      <c r="F26" s="301"/>
      <c r="G26" s="301"/>
      <c r="H26" s="301"/>
      <c r="I26" s="301"/>
      <c r="J26" s="302"/>
      <c r="K26" s="77"/>
      <c r="L26" t="s">
        <v>31</v>
      </c>
      <c r="M26">
        <v>13</v>
      </c>
      <c r="N26" s="106" t="s">
        <v>554</v>
      </c>
      <c r="O26" s="71">
        <f t="shared" si="0"/>
        <v>13</v>
      </c>
    </row>
    <row r="27" spans="1:15" ht="15" customHeight="1" x14ac:dyDescent="0.3">
      <c r="A27" s="77"/>
      <c r="B27" s="77"/>
      <c r="C27" s="77"/>
      <c r="D27" s="77"/>
      <c r="E27" s="77"/>
      <c r="F27" s="77"/>
      <c r="G27" s="77"/>
      <c r="H27" s="77"/>
      <c r="I27" s="77"/>
      <c r="J27" s="77"/>
      <c r="K27" s="77"/>
      <c r="L27" t="s">
        <v>741</v>
      </c>
      <c r="M27">
        <v>4</v>
      </c>
      <c r="N27" s="109">
        <v>2009</v>
      </c>
      <c r="O27" s="71">
        <f t="shared" si="0"/>
        <v>4</v>
      </c>
    </row>
    <row r="28" spans="1:15" s="4" customFormat="1" ht="15" customHeight="1" x14ac:dyDescent="0.3">
      <c r="L28" t="s">
        <v>53</v>
      </c>
      <c r="M28">
        <v>356</v>
      </c>
      <c r="N28" s="114" t="s">
        <v>1112</v>
      </c>
      <c r="O28" s="71">
        <f t="shared" si="0"/>
        <v>70</v>
      </c>
    </row>
    <row r="29" spans="1:15" s="4" customFormat="1" ht="15" customHeight="1" x14ac:dyDescent="0.3">
      <c r="L29" t="s">
        <v>298</v>
      </c>
      <c r="M29">
        <v>38</v>
      </c>
      <c r="N29" s="111" t="s">
        <v>34</v>
      </c>
      <c r="O29" s="71">
        <f t="shared" si="0"/>
        <v>14</v>
      </c>
    </row>
    <row r="30" spans="1:15" ht="15" customHeight="1" x14ac:dyDescent="0.3">
      <c r="A30" s="77"/>
      <c r="B30" s="77"/>
      <c r="C30" s="77"/>
      <c r="D30" s="77"/>
      <c r="E30" s="77"/>
      <c r="F30" s="77"/>
      <c r="G30" s="77"/>
      <c r="H30" s="77"/>
      <c r="I30" s="77"/>
      <c r="J30" s="77"/>
      <c r="K30" s="77"/>
      <c r="L30" t="s">
        <v>33</v>
      </c>
      <c r="M30">
        <v>156</v>
      </c>
      <c r="N30" s="115"/>
      <c r="O30" s="71">
        <f t="shared" si="0"/>
        <v>0</v>
      </c>
    </row>
    <row r="31" spans="1:15" ht="15" customHeight="1" x14ac:dyDescent="0.3">
      <c r="A31" s="77"/>
      <c r="B31" s="77"/>
      <c r="C31" s="77"/>
      <c r="D31" s="77"/>
      <c r="E31" s="77"/>
      <c r="F31" s="77"/>
      <c r="G31" s="77"/>
      <c r="H31" s="77"/>
      <c r="I31" s="77"/>
      <c r="J31" s="77"/>
      <c r="K31" s="77"/>
      <c r="L31" t="s">
        <v>527</v>
      </c>
      <c r="M31">
        <v>47</v>
      </c>
      <c r="N31" s="112" t="s">
        <v>534</v>
      </c>
      <c r="O31" s="71">
        <f t="shared" si="0"/>
        <v>246</v>
      </c>
    </row>
    <row r="32" spans="1:15" ht="15" customHeight="1" x14ac:dyDescent="0.3">
      <c r="A32" s="77"/>
      <c r="B32" s="77"/>
      <c r="C32" s="77"/>
      <c r="D32" s="77"/>
      <c r="E32" s="77"/>
      <c r="F32" s="77"/>
      <c r="G32" s="77"/>
      <c r="H32" s="77"/>
      <c r="I32" s="77"/>
      <c r="J32" s="77"/>
      <c r="K32" s="77"/>
      <c r="L32" t="s">
        <v>528</v>
      </c>
      <c r="M32">
        <v>108</v>
      </c>
      <c r="N32" s="113" t="s">
        <v>1583</v>
      </c>
      <c r="O32" s="71">
        <f t="shared" si="0"/>
        <v>46</v>
      </c>
    </row>
    <row r="33" spans="1:15" ht="15" customHeight="1" x14ac:dyDescent="0.3">
      <c r="A33" s="74"/>
      <c r="B33" s="75"/>
      <c r="C33" s="75"/>
      <c r="D33" s="75"/>
      <c r="E33" s="75"/>
      <c r="F33" s="75"/>
      <c r="G33" s="75"/>
      <c r="H33" s="75"/>
      <c r="I33" s="75"/>
      <c r="J33" s="76"/>
      <c r="L33" t="s">
        <v>533</v>
      </c>
      <c r="M33">
        <v>246</v>
      </c>
      <c r="N33" s="113"/>
      <c r="O33" s="71">
        <f t="shared" si="0"/>
        <v>0</v>
      </c>
    </row>
    <row r="34" spans="1:15" ht="15" customHeight="1" x14ac:dyDescent="0.3">
      <c r="A34" s="294" t="str">
        <f>Assumptions_input</f>
        <v>Cost: £157.15 per person.Reference rated the quality of evidence as low.
Outcomes: 9.36% increase in use of condoms, which provided an additional 0.156 QALYs and £934 cost savings from reduced transmission of chlamydia and associated complications, such as pelvic inflammatory disease [PID] and ectopic pregnancy). Benefits are assumed to occur 5 years or more after intervention.</v>
      </c>
      <c r="B34" s="295"/>
      <c r="C34" s="295"/>
      <c r="D34" s="295"/>
      <c r="E34" s="295"/>
      <c r="F34" s="295"/>
      <c r="G34" s="295"/>
      <c r="H34" s="295"/>
      <c r="I34" s="295"/>
      <c r="J34" s="296"/>
      <c r="L34" t="s">
        <v>531</v>
      </c>
      <c r="M34">
        <v>9</v>
      </c>
      <c r="N34" s="113" t="s">
        <v>843</v>
      </c>
      <c r="O34" s="71">
        <f t="shared" si="0"/>
        <v>52</v>
      </c>
    </row>
    <row r="35" spans="1:15" ht="15" customHeight="1" x14ac:dyDescent="0.3">
      <c r="A35" s="297"/>
      <c r="B35" s="298"/>
      <c r="C35" s="298"/>
      <c r="D35" s="298"/>
      <c r="E35" s="298"/>
      <c r="F35" s="298"/>
      <c r="G35" s="298"/>
      <c r="H35" s="298"/>
      <c r="I35" s="298"/>
      <c r="J35" s="299"/>
      <c r="L35" t="s">
        <v>840</v>
      </c>
      <c r="M35">
        <v>554</v>
      </c>
      <c r="O35" s="71">
        <f>LEN(N35)</f>
        <v>0</v>
      </c>
    </row>
    <row r="36" spans="1:15" ht="15" customHeight="1" x14ac:dyDescent="0.3">
      <c r="A36" s="297"/>
      <c r="B36" s="298"/>
      <c r="C36" s="298"/>
      <c r="D36" s="298"/>
      <c r="E36" s="298"/>
      <c r="F36" s="298"/>
      <c r="G36" s="298"/>
      <c r="H36" s="298"/>
      <c r="I36" s="298"/>
      <c r="J36" s="299"/>
      <c r="L36" t="s">
        <v>1141</v>
      </c>
      <c r="M36">
        <v>543</v>
      </c>
      <c r="N36" t="s">
        <v>551</v>
      </c>
      <c r="O36" s="71">
        <f>LEN(N36)</f>
        <v>543</v>
      </c>
    </row>
    <row r="37" spans="1:15" ht="15" customHeight="1" x14ac:dyDescent="0.3">
      <c r="A37" s="297"/>
      <c r="B37" s="298"/>
      <c r="C37" s="298"/>
      <c r="D37" s="298"/>
      <c r="E37" s="298"/>
      <c r="F37" s="298"/>
      <c r="G37" s="298"/>
      <c r="H37" s="298"/>
      <c r="I37" s="298"/>
      <c r="J37" s="299"/>
      <c r="M37" s="5"/>
    </row>
    <row r="38" spans="1:15" ht="15" customHeight="1" x14ac:dyDescent="0.3">
      <c r="A38" s="297"/>
      <c r="B38" s="298"/>
      <c r="C38" s="298"/>
      <c r="D38" s="298"/>
      <c r="E38" s="298"/>
      <c r="F38" s="298"/>
      <c r="G38" s="298"/>
      <c r="H38" s="298"/>
      <c r="I38" s="298"/>
      <c r="J38" s="299"/>
      <c r="M38" s="5"/>
    </row>
    <row r="39" spans="1:15" ht="15" customHeight="1" x14ac:dyDescent="0.3">
      <c r="A39" s="297"/>
      <c r="B39" s="298"/>
      <c r="C39" s="298"/>
      <c r="D39" s="298"/>
      <c r="E39" s="298"/>
      <c r="F39" s="298"/>
      <c r="G39" s="298"/>
      <c r="H39" s="298"/>
      <c r="I39" s="298"/>
      <c r="J39" s="299"/>
    </row>
    <row r="40" spans="1:15" ht="15" customHeight="1" x14ac:dyDescent="0.3">
      <c r="A40" s="297"/>
      <c r="B40" s="298"/>
      <c r="C40" s="298"/>
      <c r="D40" s="298"/>
      <c r="E40" s="298"/>
      <c r="F40" s="298"/>
      <c r="G40" s="298"/>
      <c r="H40" s="298"/>
      <c r="I40" s="298"/>
      <c r="J40" s="299"/>
    </row>
    <row r="41" spans="1:15" ht="15" customHeight="1" x14ac:dyDescent="0.3">
      <c r="A41" s="297"/>
      <c r="B41" s="298"/>
      <c r="C41" s="298"/>
      <c r="D41" s="298"/>
      <c r="E41" s="298"/>
      <c r="F41" s="298"/>
      <c r="G41" s="298"/>
      <c r="H41" s="298"/>
      <c r="I41" s="298"/>
      <c r="J41" s="299"/>
    </row>
    <row r="42" spans="1:15" ht="15" customHeight="1" x14ac:dyDescent="0.3">
      <c r="A42" s="297"/>
      <c r="B42" s="298"/>
      <c r="C42" s="298"/>
      <c r="D42" s="298"/>
      <c r="E42" s="298"/>
      <c r="F42" s="298"/>
      <c r="G42" s="298"/>
      <c r="H42" s="298"/>
      <c r="I42" s="298"/>
      <c r="J42" s="299"/>
    </row>
    <row r="43" spans="1:15" ht="15" customHeight="1" x14ac:dyDescent="0.3">
      <c r="A43" s="297"/>
      <c r="B43" s="298"/>
      <c r="C43" s="298"/>
      <c r="D43" s="298"/>
      <c r="E43" s="298"/>
      <c r="F43" s="298"/>
      <c r="G43" s="298"/>
      <c r="H43" s="298"/>
      <c r="I43" s="298"/>
      <c r="J43" s="299"/>
    </row>
    <row r="44" spans="1:15" ht="15" customHeight="1" x14ac:dyDescent="0.3">
      <c r="A44" s="297"/>
      <c r="B44" s="298"/>
      <c r="C44" s="298"/>
      <c r="D44" s="298"/>
      <c r="E44" s="298"/>
      <c r="F44" s="298"/>
      <c r="G44" s="298"/>
      <c r="H44" s="298"/>
      <c r="I44" s="298"/>
      <c r="J44" s="299"/>
    </row>
    <row r="45" spans="1:15" ht="15" customHeight="1" x14ac:dyDescent="0.3">
      <c r="A45" s="300"/>
      <c r="B45" s="301"/>
      <c r="C45" s="301"/>
      <c r="D45" s="301"/>
      <c r="E45" s="301"/>
      <c r="F45" s="301"/>
      <c r="G45" s="301"/>
      <c r="H45" s="301"/>
      <c r="I45" s="301"/>
      <c r="J45" s="302"/>
    </row>
    <row r="47" spans="1:15" ht="15" customHeight="1" x14ac:dyDescent="0.3">
      <c r="M47" s="5"/>
    </row>
    <row r="48" spans="1:15" ht="15" customHeight="1" x14ac:dyDescent="0.3">
      <c r="M48" s="5"/>
    </row>
    <row r="49" spans="9:14" ht="15" customHeight="1" x14ac:dyDescent="0.3">
      <c r="M49" s="5"/>
    </row>
    <row r="50" spans="9:14" ht="15" customHeight="1" x14ac:dyDescent="0.3">
      <c r="M50" s="5"/>
    </row>
    <row r="51" spans="9:14" ht="15" customHeight="1" x14ac:dyDescent="0.3">
      <c r="I51" s="68"/>
      <c r="J51" s="68"/>
      <c r="M51" s="5"/>
    </row>
    <row r="52" spans="9:14" ht="15" customHeight="1" x14ac:dyDescent="0.3">
      <c r="L52" s="6"/>
      <c r="M52" s="5"/>
      <c r="N52" s="5"/>
    </row>
    <row r="53" spans="9:14" ht="15" customHeight="1" x14ac:dyDescent="0.3">
      <c r="L53" s="6"/>
      <c r="M53" s="5"/>
      <c r="N53" s="5"/>
    </row>
    <row r="54" spans="9:14" ht="15" customHeight="1" x14ac:dyDescent="0.3">
      <c r="L54" s="6"/>
      <c r="M54" s="5"/>
      <c r="N54" s="5"/>
    </row>
    <row r="55" spans="9:14" ht="15" customHeight="1" x14ac:dyDescent="0.3">
      <c r="I55" s="293">
        <f ca="1">TODAY()</f>
        <v>44851</v>
      </c>
      <c r="J55" s="293"/>
      <c r="L55" s="6"/>
      <c r="M55" s="5"/>
      <c r="N55" s="5"/>
    </row>
    <row r="56" spans="9:14" ht="15" customHeight="1" x14ac:dyDescent="0.3">
      <c r="L56" s="6"/>
      <c r="M56" s="5"/>
      <c r="N56" s="5"/>
    </row>
    <row r="57" spans="9:14" ht="15" customHeight="1" x14ac:dyDescent="0.3">
      <c r="L57" s="6"/>
      <c r="M57" s="5"/>
      <c r="N57" s="5"/>
    </row>
    <row r="58" spans="9:14" ht="15" customHeight="1" x14ac:dyDescent="0.3">
      <c r="L58" s="6"/>
      <c r="M58" s="5"/>
      <c r="N58" s="5"/>
    </row>
    <row r="59" spans="9:14" ht="15" customHeight="1" x14ac:dyDescent="0.3">
      <c r="L59" s="6"/>
      <c r="M59" s="5"/>
      <c r="N59" s="5"/>
    </row>
    <row r="60" spans="9:14" ht="15" customHeight="1" x14ac:dyDescent="0.3">
      <c r="L60" s="6"/>
      <c r="M60" s="5"/>
      <c r="N60" s="5"/>
    </row>
    <row r="61" spans="9:14" ht="15" customHeight="1" x14ac:dyDescent="0.3">
      <c r="M61" s="5"/>
    </row>
    <row r="62" spans="9:14" ht="15" customHeight="1" x14ac:dyDescent="0.3">
      <c r="M62" s="5"/>
    </row>
    <row r="63" spans="9:14" ht="15" customHeight="1" x14ac:dyDescent="0.3">
      <c r="M63" s="5"/>
    </row>
    <row r="64" spans="9:14" ht="15" customHeight="1" x14ac:dyDescent="0.3">
      <c r="M64" s="5"/>
    </row>
    <row r="65" spans="13:13" ht="15" customHeight="1" x14ac:dyDescent="0.3">
      <c r="M65" s="5"/>
    </row>
    <row r="66" spans="13:13" ht="15" customHeight="1" x14ac:dyDescent="0.3">
      <c r="M66" s="5"/>
    </row>
    <row r="67" spans="13:13" ht="15" customHeight="1" x14ac:dyDescent="0.3">
      <c r="M67" s="5"/>
    </row>
    <row r="68" spans="13:13" ht="15" customHeight="1" x14ac:dyDescent="0.3">
      <c r="M68" s="5"/>
    </row>
    <row r="69" spans="13:13" ht="15" customHeight="1" x14ac:dyDescent="0.3">
      <c r="M69" s="5"/>
    </row>
    <row r="70" spans="13:13" ht="15" customHeight="1" x14ac:dyDescent="0.3">
      <c r="M70" s="5"/>
    </row>
    <row r="71" spans="13:13" ht="15" customHeight="1" x14ac:dyDescent="0.3">
      <c r="M71" s="5"/>
    </row>
    <row r="72" spans="13:13" ht="15" customHeight="1" x14ac:dyDescent="0.3">
      <c r="M72" s="5"/>
    </row>
    <row r="73" spans="13:13" ht="15" customHeight="1" x14ac:dyDescent="0.3">
      <c r="M73" s="5"/>
    </row>
    <row r="74" spans="13:13" ht="15" customHeight="1" x14ac:dyDescent="0.3">
      <c r="M74" s="5"/>
    </row>
    <row r="75" spans="13:13" ht="15" customHeight="1" x14ac:dyDescent="0.3">
      <c r="M75" s="5"/>
    </row>
    <row r="76" spans="13:13" ht="15" customHeight="1" x14ac:dyDescent="0.3">
      <c r="M76" s="5"/>
    </row>
    <row r="77" spans="13:13" ht="15" customHeight="1" x14ac:dyDescent="0.3">
      <c r="M77" s="5"/>
    </row>
    <row r="78" spans="13:13" ht="15" customHeight="1" x14ac:dyDescent="0.3">
      <c r="M78" s="5"/>
    </row>
    <row r="79" spans="13:13" ht="15" customHeight="1" x14ac:dyDescent="0.3">
      <c r="M79" s="5"/>
    </row>
    <row r="80" spans="13:13" ht="15" customHeight="1" x14ac:dyDescent="0.3">
      <c r="M80" s="5"/>
    </row>
    <row r="81" spans="13:13" ht="15" customHeight="1" x14ac:dyDescent="0.3">
      <c r="M81" s="5"/>
    </row>
    <row r="82" spans="13:13" ht="15" customHeight="1" x14ac:dyDescent="0.3">
      <c r="M82" s="5"/>
    </row>
    <row r="83" spans="13:13" ht="15" customHeight="1" x14ac:dyDescent="0.3">
      <c r="M83" s="5"/>
    </row>
    <row r="84" spans="13:13" ht="15" customHeight="1" x14ac:dyDescent="0.3">
      <c r="M84" s="5"/>
    </row>
    <row r="85" spans="13:13" ht="15" customHeight="1" x14ac:dyDescent="0.3">
      <c r="M85" s="5"/>
    </row>
    <row r="86" spans="13:13" ht="15" customHeight="1" x14ac:dyDescent="0.3">
      <c r="M86" s="5"/>
    </row>
    <row r="87" spans="13:13" ht="15" customHeight="1" x14ac:dyDescent="0.3">
      <c r="M87" s="5"/>
    </row>
    <row r="88" spans="13:13" ht="15" customHeight="1" x14ac:dyDescent="0.3">
      <c r="M88" s="5"/>
    </row>
    <row r="89" spans="13:13" ht="15" customHeight="1" x14ac:dyDescent="0.3">
      <c r="M89" s="5"/>
    </row>
    <row r="90" spans="13:13" ht="15" customHeight="1" x14ac:dyDescent="0.3">
      <c r="M90" s="5"/>
    </row>
    <row r="91" spans="13:13" ht="15" customHeight="1" x14ac:dyDescent="0.3">
      <c r="M91" s="5"/>
    </row>
    <row r="92" spans="13:13" ht="15" customHeight="1" x14ac:dyDescent="0.3">
      <c r="M92" s="5"/>
    </row>
    <row r="93" spans="13:13" ht="15" customHeight="1" x14ac:dyDescent="0.3">
      <c r="M93" s="5"/>
    </row>
    <row r="94" spans="13:13" ht="15" customHeight="1" x14ac:dyDescent="0.3">
      <c r="M94" s="5"/>
    </row>
    <row r="95" spans="13:13" ht="15" customHeight="1" x14ac:dyDescent="0.3">
      <c r="M95" s="5"/>
    </row>
    <row r="96" spans="13:13" ht="15" customHeight="1" x14ac:dyDescent="0.3">
      <c r="M96" s="5"/>
    </row>
    <row r="97" spans="13:13" ht="15" customHeight="1" x14ac:dyDescent="0.3">
      <c r="M97" s="5"/>
    </row>
    <row r="98" spans="13:13" ht="15" customHeight="1" x14ac:dyDescent="0.3">
      <c r="M98" s="5"/>
    </row>
    <row r="99" spans="13:13" ht="15" customHeight="1" x14ac:dyDescent="0.3">
      <c r="M99" s="5"/>
    </row>
    <row r="100" spans="13:13" ht="15" customHeight="1" x14ac:dyDescent="0.3">
      <c r="M100" s="5"/>
    </row>
    <row r="101" spans="13:13" ht="15" customHeight="1" x14ac:dyDescent="0.3">
      <c r="M101" s="5"/>
    </row>
    <row r="102" spans="13:13" ht="15" customHeight="1" x14ac:dyDescent="0.3">
      <c r="M102" s="5"/>
    </row>
    <row r="103" spans="13:13" ht="15" customHeight="1" x14ac:dyDescent="0.3">
      <c r="M103" s="5"/>
    </row>
    <row r="104" spans="13:13" ht="15" customHeight="1" x14ac:dyDescent="0.3">
      <c r="M104" s="5"/>
    </row>
    <row r="105" spans="13:13" ht="15" customHeight="1" x14ac:dyDescent="0.3">
      <c r="M105" s="5"/>
    </row>
    <row r="106" spans="13:13" ht="15" customHeight="1" x14ac:dyDescent="0.3">
      <c r="M106" s="5"/>
    </row>
    <row r="107" spans="13:13" ht="15" customHeight="1" x14ac:dyDescent="0.3">
      <c r="M107" s="5"/>
    </row>
    <row r="108" spans="13:13" ht="15" customHeight="1" x14ac:dyDescent="0.3">
      <c r="M108" s="5"/>
    </row>
    <row r="109" spans="13:13" ht="15" customHeight="1" x14ac:dyDescent="0.3">
      <c r="M109" s="5"/>
    </row>
    <row r="110" spans="13:13" ht="15" customHeight="1" x14ac:dyDescent="0.3">
      <c r="M110" s="5"/>
    </row>
    <row r="111" spans="13:13" ht="15" customHeight="1" x14ac:dyDescent="0.3">
      <c r="M111" s="5"/>
    </row>
    <row r="112" spans="13:13" ht="15" customHeight="1" x14ac:dyDescent="0.3">
      <c r="M112" s="5"/>
    </row>
    <row r="113" spans="13:13" ht="15" customHeight="1" x14ac:dyDescent="0.3">
      <c r="M113" s="5"/>
    </row>
    <row r="114" spans="13:13" ht="15" customHeight="1" x14ac:dyDescent="0.3">
      <c r="M114" s="5"/>
    </row>
    <row r="115" spans="13:13" ht="15" customHeight="1" x14ac:dyDescent="0.3">
      <c r="M115" s="5"/>
    </row>
    <row r="116" spans="13:13" ht="15" customHeight="1" x14ac:dyDescent="0.3">
      <c r="M116" s="5"/>
    </row>
    <row r="117" spans="13:13" ht="15" customHeight="1" x14ac:dyDescent="0.3">
      <c r="M117" s="5"/>
    </row>
    <row r="118" spans="13:13" ht="15" customHeight="1" x14ac:dyDescent="0.3">
      <c r="M118" s="5"/>
    </row>
    <row r="119" spans="13:13" ht="15" customHeight="1" x14ac:dyDescent="0.3">
      <c r="M119" s="5"/>
    </row>
    <row r="120" spans="13:13" ht="15" customHeight="1" x14ac:dyDescent="0.3">
      <c r="M120" s="5"/>
    </row>
    <row r="121" spans="13:13" ht="15" customHeight="1" x14ac:dyDescent="0.3">
      <c r="M121" s="5"/>
    </row>
    <row r="122" spans="13:13" ht="15" customHeight="1" x14ac:dyDescent="0.3">
      <c r="M122" s="5"/>
    </row>
    <row r="123" spans="13:13" ht="15" customHeight="1" x14ac:dyDescent="0.3">
      <c r="M123" s="5"/>
    </row>
    <row r="124" spans="13:13" ht="15" customHeight="1" x14ac:dyDescent="0.3">
      <c r="M124" s="5"/>
    </row>
    <row r="125" spans="13:13" ht="15" customHeight="1" x14ac:dyDescent="0.3">
      <c r="M125" s="5"/>
    </row>
    <row r="126" spans="13:13" ht="15" customHeight="1" x14ac:dyDescent="0.3">
      <c r="M126" s="5"/>
    </row>
    <row r="127" spans="13:13" ht="15" customHeight="1" x14ac:dyDescent="0.3">
      <c r="M127" s="5"/>
    </row>
    <row r="128" spans="13:13" ht="15" customHeight="1" x14ac:dyDescent="0.3">
      <c r="M128" s="5"/>
    </row>
    <row r="129" spans="13:13" ht="15" customHeight="1" x14ac:dyDescent="0.3">
      <c r="M129" s="5"/>
    </row>
    <row r="130" spans="13:13" ht="15" customHeight="1" x14ac:dyDescent="0.3">
      <c r="M130" s="5"/>
    </row>
    <row r="131" spans="13:13" ht="15" customHeight="1" x14ac:dyDescent="0.3">
      <c r="M131" s="5"/>
    </row>
    <row r="132" spans="13:13" ht="15" customHeight="1" x14ac:dyDescent="0.3">
      <c r="M132" s="5"/>
    </row>
    <row r="133" spans="13:13" ht="15" customHeight="1" x14ac:dyDescent="0.3">
      <c r="M133" s="5"/>
    </row>
    <row r="134" spans="13:13" ht="15" customHeight="1" x14ac:dyDescent="0.3">
      <c r="M134" s="5"/>
    </row>
    <row r="135" spans="13:13" ht="15" customHeight="1" x14ac:dyDescent="0.3">
      <c r="M135" s="5"/>
    </row>
    <row r="136" spans="13:13" ht="15" customHeight="1" x14ac:dyDescent="0.3">
      <c r="M136" s="5"/>
    </row>
    <row r="137" spans="13:13" ht="15" customHeight="1" x14ac:dyDescent="0.3">
      <c r="M137" s="5"/>
    </row>
    <row r="138" spans="13:13" ht="15" customHeight="1" x14ac:dyDescent="0.3">
      <c r="M138" s="5"/>
    </row>
    <row r="139" spans="13:13" ht="15" customHeight="1" x14ac:dyDescent="0.3">
      <c r="M139" s="5"/>
    </row>
    <row r="140" spans="13:13" ht="15" customHeight="1" x14ac:dyDescent="0.3">
      <c r="M140" s="5"/>
    </row>
    <row r="141" spans="13:13" ht="15" customHeight="1" x14ac:dyDescent="0.3">
      <c r="M141" s="5"/>
    </row>
    <row r="142" spans="13:13" ht="15" customHeight="1" x14ac:dyDescent="0.3">
      <c r="M142" s="5"/>
    </row>
    <row r="143" spans="13:13" ht="15" customHeight="1" x14ac:dyDescent="0.3">
      <c r="M143" s="5"/>
    </row>
    <row r="144" spans="13:13" ht="15" customHeight="1" x14ac:dyDescent="0.3">
      <c r="M144" s="5"/>
    </row>
    <row r="145" spans="13:13" ht="15" customHeight="1" x14ac:dyDescent="0.3">
      <c r="M145" s="5"/>
    </row>
    <row r="146" spans="13:13" ht="15" customHeight="1" x14ac:dyDescent="0.3">
      <c r="M146" s="5"/>
    </row>
    <row r="147" spans="13:13" ht="15" customHeight="1" x14ac:dyDescent="0.3">
      <c r="M147" s="5"/>
    </row>
    <row r="148" spans="13:13" ht="15" customHeight="1" x14ac:dyDescent="0.3">
      <c r="M148" s="5"/>
    </row>
    <row r="149" spans="13:13" ht="15" customHeight="1" x14ac:dyDescent="0.3">
      <c r="M149" s="5"/>
    </row>
    <row r="150" spans="13:13" ht="15" customHeight="1" x14ac:dyDescent="0.3">
      <c r="M150" s="5"/>
    </row>
    <row r="151" spans="13:13" ht="15" customHeight="1" x14ac:dyDescent="0.3">
      <c r="M151" s="5"/>
    </row>
    <row r="152" spans="13:13" ht="15" customHeight="1" x14ac:dyDescent="0.3">
      <c r="M152" s="5"/>
    </row>
    <row r="153" spans="13:13" ht="15" customHeight="1" x14ac:dyDescent="0.3">
      <c r="M153" s="5"/>
    </row>
    <row r="154" spans="13:13" ht="15" customHeight="1" x14ac:dyDescent="0.3">
      <c r="M154" s="5"/>
    </row>
    <row r="155" spans="13:13" ht="15" customHeight="1" x14ac:dyDescent="0.3">
      <c r="M155" s="5"/>
    </row>
    <row r="156" spans="13:13" ht="15" customHeight="1" x14ac:dyDescent="0.3">
      <c r="M156" s="5"/>
    </row>
    <row r="157" spans="13:13" ht="15" customHeight="1" x14ac:dyDescent="0.3">
      <c r="M157" s="5"/>
    </row>
    <row r="158" spans="13:13" ht="15" customHeight="1" x14ac:dyDescent="0.3">
      <c r="M158" s="5"/>
    </row>
    <row r="159" spans="13:13" ht="15" customHeight="1" x14ac:dyDescent="0.3">
      <c r="M159" s="5"/>
    </row>
    <row r="160" spans="13:13" ht="15" customHeight="1" x14ac:dyDescent="0.3">
      <c r="M160" s="5"/>
    </row>
    <row r="161" spans="13:13" ht="15" customHeight="1" x14ac:dyDescent="0.3">
      <c r="M161" s="5"/>
    </row>
    <row r="162" spans="13:13" ht="15" customHeight="1" x14ac:dyDescent="0.3">
      <c r="M162" s="5"/>
    </row>
    <row r="163" spans="13:13" ht="15" customHeight="1" x14ac:dyDescent="0.3">
      <c r="M163" s="5"/>
    </row>
    <row r="164" spans="13:13" ht="15" customHeight="1" x14ac:dyDescent="0.3">
      <c r="M164" s="5"/>
    </row>
    <row r="165" spans="13:13" ht="15" customHeight="1" x14ac:dyDescent="0.3">
      <c r="M165" s="5"/>
    </row>
    <row r="166" spans="13:13" ht="15" customHeight="1" x14ac:dyDescent="0.3">
      <c r="M166" s="5"/>
    </row>
    <row r="167" spans="13:13" ht="15" customHeight="1" x14ac:dyDescent="0.3">
      <c r="M167" s="5"/>
    </row>
    <row r="168" spans="13:13" ht="15" customHeight="1" x14ac:dyDescent="0.3">
      <c r="M168" s="5"/>
    </row>
    <row r="169" spans="13:13" ht="15" customHeight="1" x14ac:dyDescent="0.3">
      <c r="M169" s="5"/>
    </row>
    <row r="170" spans="13:13" ht="15" customHeight="1" x14ac:dyDescent="0.3">
      <c r="M170" s="5"/>
    </row>
    <row r="171" spans="13:13" ht="15" customHeight="1" x14ac:dyDescent="0.3">
      <c r="M171" s="5"/>
    </row>
    <row r="172" spans="13:13" ht="15" customHeight="1" x14ac:dyDescent="0.3">
      <c r="M172" s="5"/>
    </row>
    <row r="173" spans="13:13" ht="15" customHeight="1" x14ac:dyDescent="0.3">
      <c r="M173" s="5"/>
    </row>
    <row r="174" spans="13:13" ht="15" customHeight="1" x14ac:dyDescent="0.3">
      <c r="M174" s="5"/>
    </row>
    <row r="175" spans="13:13" ht="15" customHeight="1" x14ac:dyDescent="0.3">
      <c r="M175" s="5"/>
    </row>
    <row r="176" spans="13:13" ht="15" customHeight="1" x14ac:dyDescent="0.3">
      <c r="M176" s="5"/>
    </row>
    <row r="177" spans="13:13" ht="15" customHeight="1" x14ac:dyDescent="0.3">
      <c r="M177" s="5"/>
    </row>
    <row r="178" spans="13:13" ht="15" customHeight="1" x14ac:dyDescent="0.3">
      <c r="M178" s="5"/>
    </row>
    <row r="179" spans="13:13" ht="15" customHeight="1" x14ac:dyDescent="0.3">
      <c r="M179" s="5"/>
    </row>
    <row r="180" spans="13:13" ht="15" customHeight="1" x14ac:dyDescent="0.3">
      <c r="M180" s="5"/>
    </row>
    <row r="181" spans="13:13" ht="15" customHeight="1" x14ac:dyDescent="0.3">
      <c r="M181" s="5"/>
    </row>
    <row r="182" spans="13:13" ht="15" customHeight="1" x14ac:dyDescent="0.3">
      <c r="M182" s="5"/>
    </row>
    <row r="183" spans="13:13" ht="15" customHeight="1" x14ac:dyDescent="0.3">
      <c r="M183" s="5"/>
    </row>
    <row r="184" spans="13:13" ht="15" customHeight="1" x14ac:dyDescent="0.3">
      <c r="M184" s="5"/>
    </row>
    <row r="185" spans="13:13" ht="15" customHeight="1" x14ac:dyDescent="0.3">
      <c r="M185" s="5"/>
    </row>
    <row r="186" spans="13:13" ht="15" customHeight="1" x14ac:dyDescent="0.3">
      <c r="M186" s="5"/>
    </row>
    <row r="187" spans="13:13" ht="15" customHeight="1" x14ac:dyDescent="0.3">
      <c r="M187" s="5"/>
    </row>
    <row r="188" spans="13:13" ht="15" customHeight="1" x14ac:dyDescent="0.3">
      <c r="M188" s="5"/>
    </row>
    <row r="189" spans="13:13" ht="15" customHeight="1" x14ac:dyDescent="0.3">
      <c r="M189" s="5"/>
    </row>
    <row r="190" spans="13:13" ht="15" customHeight="1" x14ac:dyDescent="0.3">
      <c r="M190" s="5"/>
    </row>
    <row r="191" spans="13:13" ht="15" customHeight="1" x14ac:dyDescent="0.3">
      <c r="M191" s="5"/>
    </row>
    <row r="192" spans="13:13" ht="15" customHeight="1" x14ac:dyDescent="0.3">
      <c r="M192" s="5"/>
    </row>
    <row r="193" spans="13:13" ht="15" customHeight="1" x14ac:dyDescent="0.3">
      <c r="M193" s="5"/>
    </row>
    <row r="194" spans="13:13" ht="15" customHeight="1" x14ac:dyDescent="0.3">
      <c r="M194" s="5"/>
    </row>
    <row r="195" spans="13:13" ht="15" customHeight="1" x14ac:dyDescent="0.3">
      <c r="M195" s="5"/>
    </row>
    <row r="196" spans="13:13" ht="15" customHeight="1" x14ac:dyDescent="0.3">
      <c r="M196" s="5"/>
    </row>
    <row r="197" spans="13:13" ht="15" customHeight="1" x14ac:dyDescent="0.3">
      <c r="M197" s="5"/>
    </row>
    <row r="198" spans="13:13" ht="15" customHeight="1" x14ac:dyDescent="0.3">
      <c r="M198" s="5"/>
    </row>
    <row r="199" spans="13:13" ht="15" customHeight="1" x14ac:dyDescent="0.3">
      <c r="M199" s="5"/>
    </row>
    <row r="200" spans="13:13" ht="15" customHeight="1" x14ac:dyDescent="0.3">
      <c r="M200" s="5"/>
    </row>
    <row r="201" spans="13:13" ht="15" customHeight="1" x14ac:dyDescent="0.3">
      <c r="M201" s="5"/>
    </row>
    <row r="202" spans="13:13" ht="15" customHeight="1" x14ac:dyDescent="0.3">
      <c r="M202" s="5"/>
    </row>
    <row r="203" spans="13:13" ht="15" customHeight="1" x14ac:dyDescent="0.3">
      <c r="M203" s="5"/>
    </row>
    <row r="204" spans="13:13" ht="15" customHeight="1" x14ac:dyDescent="0.3">
      <c r="M204" s="5"/>
    </row>
    <row r="205" spans="13:13" ht="15" customHeight="1" x14ac:dyDescent="0.3">
      <c r="M205" s="5"/>
    </row>
    <row r="206" spans="13:13" ht="15" customHeight="1" x14ac:dyDescent="0.3">
      <c r="M206" s="5"/>
    </row>
    <row r="207" spans="13:13" ht="15" customHeight="1" x14ac:dyDescent="0.3">
      <c r="M207" s="5"/>
    </row>
    <row r="208" spans="13:13" ht="15" customHeight="1" x14ac:dyDescent="0.3">
      <c r="M208" s="5"/>
    </row>
    <row r="209" spans="13:13" ht="15" customHeight="1" x14ac:dyDescent="0.3">
      <c r="M209" s="5"/>
    </row>
    <row r="210" spans="13:13" ht="15" customHeight="1" x14ac:dyDescent="0.3">
      <c r="M210" s="5"/>
    </row>
    <row r="211" spans="13:13" ht="15" customHeight="1" x14ac:dyDescent="0.3">
      <c r="M211" s="5"/>
    </row>
    <row r="212" spans="13:13" ht="15" customHeight="1" x14ac:dyDescent="0.3">
      <c r="M212" s="5"/>
    </row>
    <row r="213" spans="13:13" ht="15" customHeight="1" x14ac:dyDescent="0.3">
      <c r="M213" s="5"/>
    </row>
    <row r="214" spans="13:13" ht="15" customHeight="1" x14ac:dyDescent="0.3">
      <c r="M214" s="5"/>
    </row>
    <row r="215" spans="13:13" ht="15" customHeight="1" x14ac:dyDescent="0.3">
      <c r="M215" s="5"/>
    </row>
    <row r="216" spans="13:13" ht="15" customHeight="1" x14ac:dyDescent="0.3">
      <c r="M216" s="5"/>
    </row>
    <row r="217" spans="13:13" ht="15" customHeight="1" x14ac:dyDescent="0.3">
      <c r="M217" s="5"/>
    </row>
    <row r="218" spans="13:13" ht="15" customHeight="1" x14ac:dyDescent="0.3">
      <c r="M218" s="5"/>
    </row>
    <row r="219" spans="13:13" ht="15" customHeight="1" x14ac:dyDescent="0.3">
      <c r="M219" s="5"/>
    </row>
    <row r="220" spans="13:13" ht="15" customHeight="1" x14ac:dyDescent="0.3">
      <c r="M220" s="5"/>
    </row>
    <row r="221" spans="13:13" ht="15" customHeight="1" x14ac:dyDescent="0.3">
      <c r="M221" s="5"/>
    </row>
    <row r="222" spans="13:13" ht="15" customHeight="1" x14ac:dyDescent="0.3">
      <c r="M222" s="5"/>
    </row>
    <row r="223" spans="13:13" ht="15" customHeight="1" x14ac:dyDescent="0.3">
      <c r="M223" s="5"/>
    </row>
    <row r="224" spans="13:13" ht="15" customHeight="1" x14ac:dyDescent="0.3">
      <c r="M224" s="5"/>
    </row>
    <row r="225" spans="13:13" ht="15" customHeight="1" x14ac:dyDescent="0.3">
      <c r="M225" s="5"/>
    </row>
    <row r="226" spans="13:13" ht="15" customHeight="1" x14ac:dyDescent="0.3">
      <c r="M226" s="5"/>
    </row>
    <row r="227" spans="13:13" ht="15" customHeight="1" x14ac:dyDescent="0.3">
      <c r="M227" s="5"/>
    </row>
    <row r="228" spans="13:13" ht="15" customHeight="1" x14ac:dyDescent="0.3">
      <c r="M228" s="5"/>
    </row>
    <row r="229" spans="13:13" ht="15" customHeight="1" x14ac:dyDescent="0.3">
      <c r="M229" s="5"/>
    </row>
    <row r="230" spans="13:13" ht="15" customHeight="1" x14ac:dyDescent="0.3">
      <c r="M230" s="5"/>
    </row>
    <row r="231" spans="13:13" ht="15" customHeight="1" x14ac:dyDescent="0.3">
      <c r="M231" s="5"/>
    </row>
    <row r="232" spans="13:13" ht="15" customHeight="1" x14ac:dyDescent="0.3">
      <c r="M232" s="5"/>
    </row>
    <row r="233" spans="13:13" ht="15" customHeight="1" x14ac:dyDescent="0.3">
      <c r="M233" s="5"/>
    </row>
    <row r="234" spans="13:13" ht="15" customHeight="1" x14ac:dyDescent="0.3">
      <c r="M234" s="5"/>
    </row>
    <row r="235" spans="13:13" ht="15" customHeight="1" x14ac:dyDescent="0.3">
      <c r="M235" s="5"/>
    </row>
    <row r="236" spans="13:13" ht="15" customHeight="1" x14ac:dyDescent="0.3">
      <c r="M236" s="5"/>
    </row>
    <row r="237" spans="13:13" ht="15" customHeight="1" x14ac:dyDescent="0.3">
      <c r="M237" s="5"/>
    </row>
    <row r="238" spans="13:13" ht="15" customHeight="1" x14ac:dyDescent="0.3">
      <c r="M238" s="5"/>
    </row>
    <row r="239" spans="13:13" ht="15" customHeight="1" x14ac:dyDescent="0.3">
      <c r="M239" s="5"/>
    </row>
    <row r="240" spans="13:13" ht="15" customHeight="1" x14ac:dyDescent="0.3">
      <c r="M240" s="5"/>
    </row>
    <row r="241" spans="13:13" ht="15" customHeight="1" x14ac:dyDescent="0.3">
      <c r="M241" s="5"/>
    </row>
    <row r="242" spans="13:13" ht="15" customHeight="1" x14ac:dyDescent="0.3">
      <c r="M242" s="5"/>
    </row>
    <row r="243" spans="13:13" ht="15" customHeight="1" x14ac:dyDescent="0.3">
      <c r="M243" s="5"/>
    </row>
    <row r="244" spans="13:13" ht="15" customHeight="1" x14ac:dyDescent="0.3">
      <c r="M244" s="5"/>
    </row>
    <row r="245" spans="13:13" ht="15" customHeight="1" x14ac:dyDescent="0.3">
      <c r="M245" s="5"/>
    </row>
    <row r="246" spans="13:13" ht="15" customHeight="1" x14ac:dyDescent="0.3">
      <c r="M246" s="5"/>
    </row>
    <row r="247" spans="13:13" ht="15" customHeight="1" x14ac:dyDescent="0.3">
      <c r="M247" s="5"/>
    </row>
    <row r="248" spans="13:13" ht="15" customHeight="1" x14ac:dyDescent="0.3">
      <c r="M248" s="5"/>
    </row>
    <row r="249" spans="13:13" ht="15" customHeight="1" x14ac:dyDescent="0.3">
      <c r="M249" s="5"/>
    </row>
    <row r="250" spans="13:13" ht="15" customHeight="1" x14ac:dyDescent="0.3">
      <c r="M250" s="5"/>
    </row>
    <row r="251" spans="13:13" ht="15" customHeight="1" x14ac:dyDescent="0.3">
      <c r="M251" s="5"/>
    </row>
    <row r="252" spans="13:13" ht="15" customHeight="1" x14ac:dyDescent="0.3">
      <c r="M252" s="5"/>
    </row>
    <row r="253" spans="13:13" ht="15" customHeight="1" x14ac:dyDescent="0.3">
      <c r="M253" s="5"/>
    </row>
    <row r="254" spans="13:13" ht="15" customHeight="1" x14ac:dyDescent="0.3">
      <c r="M254" s="5"/>
    </row>
    <row r="255" spans="13:13" ht="15" customHeight="1" x14ac:dyDescent="0.3">
      <c r="M255" s="5"/>
    </row>
    <row r="256" spans="13:13" ht="15" customHeight="1" x14ac:dyDescent="0.3">
      <c r="M256" s="5"/>
    </row>
    <row r="257" spans="13:13" ht="15" customHeight="1" x14ac:dyDescent="0.3">
      <c r="M257" s="5"/>
    </row>
    <row r="258" spans="13:13" ht="15" customHeight="1" x14ac:dyDescent="0.3">
      <c r="M258" s="5"/>
    </row>
    <row r="259" spans="13:13" ht="15" customHeight="1" x14ac:dyDescent="0.3">
      <c r="M259" s="5"/>
    </row>
    <row r="260" spans="13:13" ht="15" customHeight="1" x14ac:dyDescent="0.3">
      <c r="M260" s="5"/>
    </row>
    <row r="261" spans="13:13" ht="15" customHeight="1" x14ac:dyDescent="0.3">
      <c r="M261" s="5"/>
    </row>
    <row r="262" spans="13:13" ht="15" customHeight="1" x14ac:dyDescent="0.3">
      <c r="M262" s="5"/>
    </row>
    <row r="263" spans="13:13" ht="15" customHeight="1" x14ac:dyDescent="0.3">
      <c r="M263" s="5"/>
    </row>
    <row r="264" spans="13:13" ht="15" customHeight="1" x14ac:dyDescent="0.3">
      <c r="M264" s="5"/>
    </row>
    <row r="265" spans="13:13" ht="15" customHeight="1" x14ac:dyDescent="0.3">
      <c r="M265" s="5"/>
    </row>
    <row r="266" spans="13:13" ht="15" customHeight="1" x14ac:dyDescent="0.3">
      <c r="M266" s="5"/>
    </row>
    <row r="267" spans="13:13" ht="15" customHeight="1" x14ac:dyDescent="0.3">
      <c r="M267" s="5"/>
    </row>
    <row r="268" spans="13:13" ht="15" customHeight="1" x14ac:dyDescent="0.3">
      <c r="M268" s="5"/>
    </row>
    <row r="269" spans="13:13" ht="15" customHeight="1" x14ac:dyDescent="0.3">
      <c r="M269" s="5"/>
    </row>
    <row r="270" spans="13:13" ht="15" customHeight="1" x14ac:dyDescent="0.3">
      <c r="M270" s="5"/>
    </row>
    <row r="271" spans="13:13" ht="15" customHeight="1" x14ac:dyDescent="0.3">
      <c r="M271" s="5"/>
    </row>
    <row r="272" spans="13:13" ht="15" customHeight="1" x14ac:dyDescent="0.3">
      <c r="M272" s="5"/>
    </row>
    <row r="273" spans="13:13" ht="15" customHeight="1" x14ac:dyDescent="0.3">
      <c r="M273" s="5"/>
    </row>
    <row r="274" spans="13:13" ht="15" customHeight="1" x14ac:dyDescent="0.3">
      <c r="M274" s="5"/>
    </row>
    <row r="275" spans="13:13" ht="15" customHeight="1" x14ac:dyDescent="0.3">
      <c r="M275" s="5"/>
    </row>
    <row r="276" spans="13:13" ht="15" customHeight="1" x14ac:dyDescent="0.3">
      <c r="M276" s="5"/>
    </row>
    <row r="277" spans="13:13" ht="15" customHeight="1" x14ac:dyDescent="0.3">
      <c r="M277" s="5"/>
    </row>
    <row r="278" spans="13:13" ht="15" customHeight="1" x14ac:dyDescent="0.3">
      <c r="M278" s="5"/>
    </row>
    <row r="279" spans="13:13" ht="15" customHeight="1" x14ac:dyDescent="0.3">
      <c r="M279" s="5"/>
    </row>
    <row r="280" spans="13:13" ht="15" customHeight="1" x14ac:dyDescent="0.3">
      <c r="M280" s="5"/>
    </row>
    <row r="281" spans="13:13" ht="15" customHeight="1" x14ac:dyDescent="0.3">
      <c r="M281" s="5"/>
    </row>
    <row r="282" spans="13:13" ht="15" customHeight="1" x14ac:dyDescent="0.3">
      <c r="M282" s="5"/>
    </row>
    <row r="283" spans="13:13" ht="15" customHeight="1" x14ac:dyDescent="0.3">
      <c r="M283" s="5"/>
    </row>
    <row r="284" spans="13:13" ht="15" customHeight="1" x14ac:dyDescent="0.3">
      <c r="M284" s="5"/>
    </row>
    <row r="285" spans="13:13" ht="15" customHeight="1" x14ac:dyDescent="0.3">
      <c r="M285" s="5"/>
    </row>
    <row r="286" spans="13:13" ht="15" customHeight="1" x14ac:dyDescent="0.3">
      <c r="M286" s="5"/>
    </row>
    <row r="287" spans="13:13" ht="15" customHeight="1" x14ac:dyDescent="0.3">
      <c r="M287" s="5"/>
    </row>
    <row r="288" spans="13:13" ht="15" customHeight="1" x14ac:dyDescent="0.3">
      <c r="M288" s="5"/>
    </row>
    <row r="289" spans="13:13" ht="15" customHeight="1" x14ac:dyDescent="0.3">
      <c r="M289" s="5"/>
    </row>
    <row r="290" spans="13:13" ht="15" customHeight="1" x14ac:dyDescent="0.3">
      <c r="M290" s="5"/>
    </row>
    <row r="291" spans="13:13" ht="15" customHeight="1" x14ac:dyDescent="0.3">
      <c r="M291" s="5"/>
    </row>
    <row r="292" spans="13:13" ht="15" customHeight="1" x14ac:dyDescent="0.3">
      <c r="M292" s="5"/>
    </row>
    <row r="293" spans="13:13" ht="15" customHeight="1" x14ac:dyDescent="0.3">
      <c r="M293" s="5"/>
    </row>
    <row r="294" spans="13:13" ht="15" customHeight="1" x14ac:dyDescent="0.3">
      <c r="M294" s="5"/>
    </row>
    <row r="295" spans="13:13" ht="15" customHeight="1" x14ac:dyDescent="0.3">
      <c r="M295" s="5"/>
    </row>
    <row r="296" spans="13:13" ht="15" customHeight="1" x14ac:dyDescent="0.3">
      <c r="M296" s="5"/>
    </row>
    <row r="297" spans="13:13" ht="15" customHeight="1" x14ac:dyDescent="0.3">
      <c r="M297" s="5"/>
    </row>
    <row r="298" spans="13:13" ht="15" customHeight="1" x14ac:dyDescent="0.3">
      <c r="M298" s="5"/>
    </row>
    <row r="299" spans="13:13" ht="15" customHeight="1" x14ac:dyDescent="0.3">
      <c r="M299" s="5"/>
    </row>
    <row r="300" spans="13:13" ht="15" customHeight="1" x14ac:dyDescent="0.3">
      <c r="M300" s="5"/>
    </row>
    <row r="301" spans="13:13" ht="15" customHeight="1" x14ac:dyDescent="0.3">
      <c r="M301" s="5"/>
    </row>
    <row r="302" spans="13:13" ht="15" customHeight="1" x14ac:dyDescent="0.3">
      <c r="M302" s="5"/>
    </row>
    <row r="303" spans="13:13" ht="15" customHeight="1" x14ac:dyDescent="0.3">
      <c r="M303" s="5"/>
    </row>
    <row r="304" spans="13:13" ht="15" customHeight="1" x14ac:dyDescent="0.3">
      <c r="M304" s="5"/>
    </row>
    <row r="305" spans="13:13" ht="15" customHeight="1" x14ac:dyDescent="0.3">
      <c r="M305" s="5"/>
    </row>
    <row r="306" spans="13:13" ht="15" customHeight="1" x14ac:dyDescent="0.3">
      <c r="M306" s="5"/>
    </row>
    <row r="307" spans="13:13" ht="15" customHeight="1" x14ac:dyDescent="0.3">
      <c r="M307" s="5"/>
    </row>
    <row r="308" spans="13:13" ht="15" customHeight="1" x14ac:dyDescent="0.3">
      <c r="M308" s="5"/>
    </row>
    <row r="309" spans="13:13" ht="15" customHeight="1" x14ac:dyDescent="0.3">
      <c r="M309" s="5"/>
    </row>
    <row r="310" spans="13:13" ht="15" customHeight="1" x14ac:dyDescent="0.3">
      <c r="M310" s="5"/>
    </row>
    <row r="311" spans="13:13" ht="15" customHeight="1" x14ac:dyDescent="0.3">
      <c r="M311" s="5"/>
    </row>
    <row r="312" spans="13:13" ht="15" customHeight="1" x14ac:dyDescent="0.3">
      <c r="M312" s="5"/>
    </row>
    <row r="313" spans="13:13" ht="15" customHeight="1" x14ac:dyDescent="0.3">
      <c r="M313" s="5"/>
    </row>
    <row r="314" spans="13:13" ht="15" customHeight="1" x14ac:dyDescent="0.3">
      <c r="M314" s="5"/>
    </row>
    <row r="315" spans="13:13" ht="15" customHeight="1" x14ac:dyDescent="0.3">
      <c r="M315" s="5"/>
    </row>
    <row r="316" spans="13:13" ht="15" customHeight="1" x14ac:dyDescent="0.3">
      <c r="M316" s="5"/>
    </row>
    <row r="317" spans="13:13" ht="15" customHeight="1" x14ac:dyDescent="0.3">
      <c r="M317" s="5"/>
    </row>
    <row r="318" spans="13:13" ht="15" customHeight="1" x14ac:dyDescent="0.3">
      <c r="M318" s="5"/>
    </row>
    <row r="319" spans="13:13" ht="15" customHeight="1" x14ac:dyDescent="0.3">
      <c r="M319" s="5"/>
    </row>
    <row r="320" spans="13:13" ht="15" customHeight="1" x14ac:dyDescent="0.3">
      <c r="M320" s="5"/>
    </row>
    <row r="321" spans="13:13" ht="15" customHeight="1" x14ac:dyDescent="0.3">
      <c r="M321" s="5"/>
    </row>
    <row r="322" spans="13:13" ht="15" customHeight="1" x14ac:dyDescent="0.3">
      <c r="M322" s="5"/>
    </row>
    <row r="323" spans="13:13" ht="15" customHeight="1" x14ac:dyDescent="0.3">
      <c r="M323" s="5"/>
    </row>
    <row r="324" spans="13:13" ht="15" customHeight="1" x14ac:dyDescent="0.3">
      <c r="M324" s="5"/>
    </row>
    <row r="325" spans="13:13" ht="15" customHeight="1" x14ac:dyDescent="0.3">
      <c r="M325" s="5"/>
    </row>
    <row r="326" spans="13:13" ht="15" customHeight="1" x14ac:dyDescent="0.3">
      <c r="M326" s="5"/>
    </row>
    <row r="327" spans="13:13" ht="15" customHeight="1" x14ac:dyDescent="0.3">
      <c r="M327" s="5"/>
    </row>
    <row r="328" spans="13:13" ht="15" customHeight="1" x14ac:dyDescent="0.3">
      <c r="M328" s="5"/>
    </row>
    <row r="329" spans="13:13" ht="15" customHeight="1" x14ac:dyDescent="0.3">
      <c r="M329" s="5"/>
    </row>
    <row r="330" spans="13:13" ht="15" customHeight="1" x14ac:dyDescent="0.3">
      <c r="M330" s="5"/>
    </row>
    <row r="331" spans="13:13" ht="15" customHeight="1" x14ac:dyDescent="0.3">
      <c r="M331" s="5"/>
    </row>
    <row r="332" spans="13:13" ht="15" customHeight="1" x14ac:dyDescent="0.3">
      <c r="M332" s="5"/>
    </row>
    <row r="333" spans="13:13" ht="15" customHeight="1" x14ac:dyDescent="0.3">
      <c r="M333" s="5"/>
    </row>
    <row r="334" spans="13:13" ht="15" customHeight="1" x14ac:dyDescent="0.3">
      <c r="M334" s="5"/>
    </row>
    <row r="335" spans="13:13" ht="15" customHeight="1" x14ac:dyDescent="0.3">
      <c r="M335" s="5"/>
    </row>
    <row r="336" spans="13:13" ht="15" customHeight="1" x14ac:dyDescent="0.3">
      <c r="M336" s="5"/>
    </row>
    <row r="337" spans="13:13" ht="15" customHeight="1" x14ac:dyDescent="0.3">
      <c r="M337" s="5"/>
    </row>
    <row r="338" spans="13:13" ht="15" customHeight="1" x14ac:dyDescent="0.3">
      <c r="M338" s="5"/>
    </row>
    <row r="339" spans="13:13" ht="15" customHeight="1" x14ac:dyDescent="0.3">
      <c r="M339" s="5"/>
    </row>
    <row r="340" spans="13:13" ht="15" customHeight="1" x14ac:dyDescent="0.3">
      <c r="M340" s="5"/>
    </row>
    <row r="341" spans="13:13" ht="15" customHeight="1" x14ac:dyDescent="0.3">
      <c r="M341" s="5"/>
    </row>
    <row r="342" spans="13:13" ht="15" customHeight="1" x14ac:dyDescent="0.3">
      <c r="M342" s="5"/>
    </row>
    <row r="343" spans="13:13" ht="15" customHeight="1" x14ac:dyDescent="0.3">
      <c r="M343" s="5"/>
    </row>
    <row r="344" spans="13:13" ht="15" customHeight="1" x14ac:dyDescent="0.3">
      <c r="M344" s="5"/>
    </row>
    <row r="345" spans="13:13" ht="15" customHeight="1" x14ac:dyDescent="0.3">
      <c r="M345" s="5"/>
    </row>
    <row r="346" spans="13:13" ht="15" customHeight="1" x14ac:dyDescent="0.3">
      <c r="M346" s="5"/>
    </row>
    <row r="347" spans="13:13" ht="15" customHeight="1" x14ac:dyDescent="0.3">
      <c r="M347" s="5"/>
    </row>
    <row r="348" spans="13:13" ht="15" customHeight="1" x14ac:dyDescent="0.3">
      <c r="M348" s="5"/>
    </row>
    <row r="349" spans="13:13" ht="15" customHeight="1" x14ac:dyDescent="0.3">
      <c r="M349" s="5"/>
    </row>
    <row r="350" spans="13:13" ht="15" customHeight="1" x14ac:dyDescent="0.3">
      <c r="M350" s="5"/>
    </row>
    <row r="351" spans="13:13" ht="15" customHeight="1" x14ac:dyDescent="0.3">
      <c r="M351" s="5"/>
    </row>
    <row r="352" spans="13:13" ht="15" customHeight="1" x14ac:dyDescent="0.3">
      <c r="M352" s="5"/>
    </row>
    <row r="353" spans="13:13" ht="15" customHeight="1" x14ac:dyDescent="0.3">
      <c r="M353" s="5"/>
    </row>
    <row r="354" spans="13:13" ht="15" customHeight="1" x14ac:dyDescent="0.3">
      <c r="M354" s="5"/>
    </row>
    <row r="355" spans="13:13" ht="15" customHeight="1" x14ac:dyDescent="0.3">
      <c r="M355" s="5"/>
    </row>
    <row r="356" spans="13:13" ht="15" customHeight="1" x14ac:dyDescent="0.3">
      <c r="M356" s="5"/>
    </row>
    <row r="357" spans="13:13" ht="15" customHeight="1" x14ac:dyDescent="0.3">
      <c r="M357" s="5"/>
    </row>
    <row r="358" spans="13:13" ht="15" customHeight="1" x14ac:dyDescent="0.3">
      <c r="M358" s="5"/>
    </row>
    <row r="359" spans="13:13" ht="15" customHeight="1" x14ac:dyDescent="0.3">
      <c r="M359" s="5"/>
    </row>
    <row r="360" spans="13:13" ht="15" customHeight="1" x14ac:dyDescent="0.3">
      <c r="M360" s="5"/>
    </row>
    <row r="361" spans="13:13" ht="15" customHeight="1" x14ac:dyDescent="0.3">
      <c r="M361" s="5"/>
    </row>
    <row r="362" spans="13:13" ht="15" customHeight="1" x14ac:dyDescent="0.3">
      <c r="M362" s="5"/>
    </row>
    <row r="363" spans="13:13" ht="15" customHeight="1" x14ac:dyDescent="0.3">
      <c r="M363" s="5"/>
    </row>
    <row r="364" spans="13:13" ht="15" customHeight="1" x14ac:dyDescent="0.3">
      <c r="M364" s="5"/>
    </row>
    <row r="365" spans="13:13" ht="15" customHeight="1" x14ac:dyDescent="0.3">
      <c r="M365" s="5"/>
    </row>
    <row r="366" spans="13:13" ht="15" customHeight="1" x14ac:dyDescent="0.3">
      <c r="M366" s="5"/>
    </row>
    <row r="367" spans="13:13" ht="15" customHeight="1" x14ac:dyDescent="0.3">
      <c r="M367" s="5"/>
    </row>
    <row r="368" spans="13:13" ht="15" customHeight="1" x14ac:dyDescent="0.3">
      <c r="M368" s="5"/>
    </row>
    <row r="369" spans="13:13" ht="15" customHeight="1" x14ac:dyDescent="0.3">
      <c r="M369" s="5"/>
    </row>
    <row r="370" spans="13:13" ht="15" customHeight="1" x14ac:dyDescent="0.3">
      <c r="M370" s="5"/>
    </row>
    <row r="371" spans="13:13" ht="15" customHeight="1" x14ac:dyDescent="0.3">
      <c r="M371" s="5"/>
    </row>
    <row r="372" spans="13:13" ht="15" customHeight="1" x14ac:dyDescent="0.3">
      <c r="M372" s="5"/>
    </row>
    <row r="373" spans="13:13" ht="15" customHeight="1" x14ac:dyDescent="0.3">
      <c r="M373" s="5"/>
    </row>
    <row r="374" spans="13:13" ht="15" customHeight="1" x14ac:dyDescent="0.3">
      <c r="M374" s="5"/>
    </row>
    <row r="375" spans="13:13" ht="15" customHeight="1" x14ac:dyDescent="0.3">
      <c r="M375" s="5"/>
    </row>
    <row r="376" spans="13:13" ht="15" customHeight="1" x14ac:dyDescent="0.3">
      <c r="M376" s="5"/>
    </row>
    <row r="377" spans="13:13" ht="15" customHeight="1" x14ac:dyDescent="0.3">
      <c r="M377" s="5"/>
    </row>
    <row r="378" spans="13:13" ht="15" customHeight="1" x14ac:dyDescent="0.3">
      <c r="M378" s="5"/>
    </row>
    <row r="379" spans="13:13" ht="15" customHeight="1" x14ac:dyDescent="0.3">
      <c r="M379" s="5"/>
    </row>
    <row r="380" spans="13:13" ht="15" customHeight="1" x14ac:dyDescent="0.3">
      <c r="M380" s="5"/>
    </row>
    <row r="381" spans="13:13" ht="15" customHeight="1" x14ac:dyDescent="0.3">
      <c r="M381" s="5"/>
    </row>
    <row r="382" spans="13:13" ht="15" customHeight="1" x14ac:dyDescent="0.3">
      <c r="M382" s="5"/>
    </row>
    <row r="383" spans="13:13" ht="15" customHeight="1" x14ac:dyDescent="0.3">
      <c r="M383" s="5"/>
    </row>
    <row r="384" spans="13:13" ht="15" customHeight="1" x14ac:dyDescent="0.3">
      <c r="M384" s="5"/>
    </row>
    <row r="385" spans="13:13" ht="15" customHeight="1" x14ac:dyDescent="0.3">
      <c r="M385" s="5"/>
    </row>
    <row r="386" spans="13:13" ht="15" customHeight="1" x14ac:dyDescent="0.3">
      <c r="M386" s="5"/>
    </row>
    <row r="387" spans="13:13" ht="15" customHeight="1" x14ac:dyDescent="0.3">
      <c r="M387" s="5"/>
    </row>
    <row r="388" spans="13:13" ht="15" customHeight="1" x14ac:dyDescent="0.3">
      <c r="M388" s="5"/>
    </row>
    <row r="389" spans="13:13" ht="15" customHeight="1" x14ac:dyDescent="0.3">
      <c r="M389" s="5"/>
    </row>
    <row r="390" spans="13:13" ht="15" customHeight="1" x14ac:dyDescent="0.3">
      <c r="M390" s="5"/>
    </row>
    <row r="391" spans="13:13" ht="15" customHeight="1" x14ac:dyDescent="0.3">
      <c r="M391" s="5"/>
    </row>
    <row r="392" spans="13:13" ht="15" customHeight="1" x14ac:dyDescent="0.3">
      <c r="M392" s="5"/>
    </row>
    <row r="393" spans="13:13" ht="15" customHeight="1" x14ac:dyDescent="0.3">
      <c r="M393" s="5"/>
    </row>
    <row r="394" spans="13:13" ht="15" customHeight="1" x14ac:dyDescent="0.3">
      <c r="M394" s="5"/>
    </row>
    <row r="395" spans="13:13" ht="15" customHeight="1" x14ac:dyDescent="0.3">
      <c r="M395" s="5"/>
    </row>
    <row r="396" spans="13:13" ht="15" customHeight="1" x14ac:dyDescent="0.3">
      <c r="M396" s="5"/>
    </row>
    <row r="397" spans="13:13" ht="15" customHeight="1" x14ac:dyDescent="0.3">
      <c r="M397" s="5"/>
    </row>
    <row r="398" spans="13:13" ht="15" customHeight="1" x14ac:dyDescent="0.3">
      <c r="M398" s="5"/>
    </row>
    <row r="399" spans="13:13" ht="15" customHeight="1" x14ac:dyDescent="0.3">
      <c r="M399" s="5"/>
    </row>
    <row r="400" spans="13:13" ht="15" customHeight="1" x14ac:dyDescent="0.3">
      <c r="M400" s="5"/>
    </row>
    <row r="401" spans="13:13" ht="15" customHeight="1" x14ac:dyDescent="0.3">
      <c r="M401" s="5"/>
    </row>
    <row r="402" spans="13:13" ht="15" customHeight="1" x14ac:dyDescent="0.3">
      <c r="M402" s="5"/>
    </row>
    <row r="403" spans="13:13" ht="15" customHeight="1" x14ac:dyDescent="0.3">
      <c r="M403" s="5"/>
    </row>
    <row r="404" spans="13:13" ht="15" customHeight="1" x14ac:dyDescent="0.3">
      <c r="M404" s="5"/>
    </row>
    <row r="405" spans="13:13" ht="15" customHeight="1" x14ac:dyDescent="0.3">
      <c r="M405" s="5"/>
    </row>
    <row r="406" spans="13:13" ht="15" customHeight="1" x14ac:dyDescent="0.3">
      <c r="M406" s="5"/>
    </row>
    <row r="407" spans="13:13" ht="15" customHeight="1" x14ac:dyDescent="0.3">
      <c r="M407" s="5"/>
    </row>
    <row r="408" spans="13:13" ht="15" customHeight="1" x14ac:dyDescent="0.3">
      <c r="M408" s="5"/>
    </row>
    <row r="409" spans="13:13" ht="15" customHeight="1" x14ac:dyDescent="0.3">
      <c r="M409" s="5"/>
    </row>
    <row r="410" spans="13:13" ht="15" customHeight="1" x14ac:dyDescent="0.3">
      <c r="M410" s="5"/>
    </row>
    <row r="411" spans="13:13" ht="15" customHeight="1" x14ac:dyDescent="0.3">
      <c r="M411" s="5"/>
    </row>
    <row r="412" spans="13:13" ht="15" customHeight="1" x14ac:dyDescent="0.3">
      <c r="M412" s="5"/>
    </row>
    <row r="413" spans="13:13" ht="15" customHeight="1" x14ac:dyDescent="0.3">
      <c r="M413" s="5"/>
    </row>
    <row r="414" spans="13:13" ht="15" customHeight="1" x14ac:dyDescent="0.3">
      <c r="M414" s="5"/>
    </row>
    <row r="415" spans="13:13" ht="15" customHeight="1" x14ac:dyDescent="0.3">
      <c r="M415" s="5"/>
    </row>
    <row r="416" spans="13:13" ht="15" customHeight="1" x14ac:dyDescent="0.3">
      <c r="M416" s="5"/>
    </row>
    <row r="417" spans="13:13" ht="15" customHeight="1" x14ac:dyDescent="0.3">
      <c r="M417" s="5"/>
    </row>
    <row r="418" spans="13:13" ht="15" customHeight="1" x14ac:dyDescent="0.3">
      <c r="M418" s="5"/>
    </row>
    <row r="419" spans="13:13" ht="15" customHeight="1" x14ac:dyDescent="0.3">
      <c r="M419" s="5"/>
    </row>
    <row r="420" spans="13:13" ht="15" customHeight="1" x14ac:dyDescent="0.3">
      <c r="M420" s="5"/>
    </row>
    <row r="421" spans="13:13" ht="15" customHeight="1" x14ac:dyDescent="0.3">
      <c r="M421" s="5"/>
    </row>
    <row r="422" spans="13:13" ht="15" customHeight="1" x14ac:dyDescent="0.3">
      <c r="M422" s="5"/>
    </row>
    <row r="423" spans="13:13" ht="15" customHeight="1" x14ac:dyDescent="0.3">
      <c r="M423" s="5"/>
    </row>
    <row r="424" spans="13:13" ht="15" customHeight="1" x14ac:dyDescent="0.3">
      <c r="M424" s="5"/>
    </row>
    <row r="425" spans="13:13" ht="15" customHeight="1" x14ac:dyDescent="0.3">
      <c r="M425" s="5"/>
    </row>
    <row r="426" spans="13:13" ht="15" customHeight="1" x14ac:dyDescent="0.3">
      <c r="M426" s="5"/>
    </row>
    <row r="427" spans="13:13" ht="15" customHeight="1" x14ac:dyDescent="0.3">
      <c r="M427" s="5"/>
    </row>
    <row r="428" spans="13:13" ht="15" customHeight="1" x14ac:dyDescent="0.3">
      <c r="M428" s="5"/>
    </row>
    <row r="429" spans="13:13" ht="15" customHeight="1" x14ac:dyDescent="0.3">
      <c r="M429" s="5"/>
    </row>
    <row r="430" spans="13:13" ht="15" customHeight="1" x14ac:dyDescent="0.3">
      <c r="M430" s="5"/>
    </row>
    <row r="431" spans="13:13" ht="15" customHeight="1" x14ac:dyDescent="0.3">
      <c r="M431" s="5"/>
    </row>
    <row r="432" spans="13:13" ht="15" customHeight="1" x14ac:dyDescent="0.3">
      <c r="M432" s="5"/>
    </row>
    <row r="433" spans="13:13" ht="15" customHeight="1" x14ac:dyDescent="0.3">
      <c r="M433" s="5"/>
    </row>
    <row r="434" spans="13:13" ht="15" customHeight="1" x14ac:dyDescent="0.3">
      <c r="M434" s="5"/>
    </row>
    <row r="435" spans="13:13" ht="15" customHeight="1" x14ac:dyDescent="0.3">
      <c r="M435" s="5"/>
    </row>
    <row r="436" spans="13:13" ht="15" customHeight="1" x14ac:dyDescent="0.3">
      <c r="M436" s="5"/>
    </row>
    <row r="437" spans="13:13" ht="15" customHeight="1" x14ac:dyDescent="0.3">
      <c r="M437" s="5"/>
    </row>
    <row r="438" spans="13:13" ht="15" customHeight="1" x14ac:dyDescent="0.3">
      <c r="M438" s="5"/>
    </row>
    <row r="439" spans="13:13" ht="15" customHeight="1" x14ac:dyDescent="0.3">
      <c r="M439" s="5"/>
    </row>
    <row r="440" spans="13:13" ht="15" customHeight="1" x14ac:dyDescent="0.3">
      <c r="M440" s="5"/>
    </row>
    <row r="441" spans="13:13" ht="15" customHeight="1" x14ac:dyDescent="0.3">
      <c r="M441" s="5"/>
    </row>
    <row r="442" spans="13:13" ht="15" customHeight="1" x14ac:dyDescent="0.3">
      <c r="M442" s="5"/>
    </row>
    <row r="443" spans="13:13" ht="15" customHeight="1" x14ac:dyDescent="0.3">
      <c r="M443" s="5"/>
    </row>
    <row r="444" spans="13:13" ht="15" customHeight="1" x14ac:dyDescent="0.3">
      <c r="M444" s="5"/>
    </row>
    <row r="445" spans="13:13" ht="15" customHeight="1" x14ac:dyDescent="0.3">
      <c r="M445" s="5"/>
    </row>
    <row r="446" spans="13:13" ht="15" customHeight="1" x14ac:dyDescent="0.3">
      <c r="M446" s="5"/>
    </row>
    <row r="447" spans="13:13" ht="15" customHeight="1" x14ac:dyDescent="0.3">
      <c r="M447" s="5"/>
    </row>
    <row r="448" spans="13:13" ht="15" customHeight="1" x14ac:dyDescent="0.3">
      <c r="M448" s="5"/>
    </row>
    <row r="449" spans="13:13" ht="15" customHeight="1" x14ac:dyDescent="0.3">
      <c r="M449" s="5"/>
    </row>
    <row r="450" spans="13:13" ht="15" customHeight="1" x14ac:dyDescent="0.3">
      <c r="M450" s="5"/>
    </row>
    <row r="451" spans="13:13" ht="15" customHeight="1" x14ac:dyDescent="0.3">
      <c r="M451" s="5"/>
    </row>
    <row r="452" spans="13:13" ht="15" customHeight="1" x14ac:dyDescent="0.3">
      <c r="M452" s="5"/>
    </row>
    <row r="453" spans="13:13" ht="15" customHeight="1" x14ac:dyDescent="0.3">
      <c r="M453" s="5"/>
    </row>
    <row r="454" spans="13:13" ht="15" customHeight="1" x14ac:dyDescent="0.3">
      <c r="M454" s="5"/>
    </row>
    <row r="455" spans="13:13" ht="15" customHeight="1" x14ac:dyDescent="0.3">
      <c r="M455" s="5"/>
    </row>
    <row r="456" spans="13:13" ht="15" customHeight="1" x14ac:dyDescent="0.3">
      <c r="M456" s="5"/>
    </row>
    <row r="457" spans="13:13" ht="15" customHeight="1" x14ac:dyDescent="0.3">
      <c r="M457" s="5"/>
    </row>
    <row r="458" spans="13:13" ht="15" customHeight="1" x14ac:dyDescent="0.3">
      <c r="M458" s="5"/>
    </row>
    <row r="459" spans="13:13" ht="15" customHeight="1" x14ac:dyDescent="0.3">
      <c r="M459" s="5"/>
    </row>
    <row r="460" spans="13:13" ht="15" customHeight="1" x14ac:dyDescent="0.3">
      <c r="M460" s="5"/>
    </row>
    <row r="461" spans="13:13" ht="15" customHeight="1" x14ac:dyDescent="0.3">
      <c r="M461" s="5"/>
    </row>
    <row r="462" spans="13:13" ht="15" customHeight="1" x14ac:dyDescent="0.3">
      <c r="M462" s="5"/>
    </row>
    <row r="463" spans="13:13" ht="15" customHeight="1" x14ac:dyDescent="0.3">
      <c r="M463" s="5"/>
    </row>
    <row r="464" spans="13:13" ht="15" customHeight="1" x14ac:dyDescent="0.3">
      <c r="M464" s="5"/>
    </row>
    <row r="465" spans="13:13" ht="15" customHeight="1" x14ac:dyDescent="0.3">
      <c r="M465" s="5"/>
    </row>
    <row r="466" spans="13:13" ht="15" customHeight="1" x14ac:dyDescent="0.3">
      <c r="M466" s="5"/>
    </row>
    <row r="467" spans="13:13" ht="15" customHeight="1" x14ac:dyDescent="0.3">
      <c r="M467" s="5"/>
    </row>
    <row r="468" spans="13:13" ht="15" customHeight="1" x14ac:dyDescent="0.3">
      <c r="M468" s="5"/>
    </row>
    <row r="469" spans="13:13" ht="15" customHeight="1" x14ac:dyDescent="0.3">
      <c r="M469" s="5"/>
    </row>
    <row r="470" spans="13:13" ht="15" customHeight="1" x14ac:dyDescent="0.3">
      <c r="M470" s="5"/>
    </row>
    <row r="471" spans="13:13" ht="15" customHeight="1" x14ac:dyDescent="0.3">
      <c r="M471" s="5"/>
    </row>
    <row r="472" spans="13:13" ht="15" customHeight="1" x14ac:dyDescent="0.3">
      <c r="M472" s="5"/>
    </row>
    <row r="473" spans="13:13" ht="15" customHeight="1" x14ac:dyDescent="0.3">
      <c r="M473" s="5"/>
    </row>
    <row r="474" spans="13:13" ht="15" customHeight="1" x14ac:dyDescent="0.3">
      <c r="M474" s="5"/>
    </row>
    <row r="475" spans="13:13" ht="15" customHeight="1" x14ac:dyDescent="0.3">
      <c r="M475" s="5"/>
    </row>
    <row r="476" spans="13:13" ht="15" customHeight="1" x14ac:dyDescent="0.3">
      <c r="M476" s="5"/>
    </row>
    <row r="477" spans="13:13" ht="15" customHeight="1" x14ac:dyDescent="0.3">
      <c r="M477" s="5"/>
    </row>
    <row r="478" spans="13:13" ht="15" customHeight="1" x14ac:dyDescent="0.3">
      <c r="M478" s="5"/>
    </row>
    <row r="479" spans="13:13" ht="15" customHeight="1" x14ac:dyDescent="0.3">
      <c r="M479" s="5"/>
    </row>
    <row r="480" spans="13:13" ht="15" customHeight="1" x14ac:dyDescent="0.3">
      <c r="M480" s="5"/>
    </row>
    <row r="481" spans="13:13" ht="15" customHeight="1" x14ac:dyDescent="0.3">
      <c r="M481" s="5"/>
    </row>
    <row r="482" spans="13:13" ht="15" customHeight="1" x14ac:dyDescent="0.3">
      <c r="M482" s="5"/>
    </row>
    <row r="483" spans="13:13" ht="15" customHeight="1" x14ac:dyDescent="0.3">
      <c r="M483" s="5"/>
    </row>
    <row r="484" spans="13:13" ht="15" customHeight="1" x14ac:dyDescent="0.3">
      <c r="M484" s="5"/>
    </row>
    <row r="485" spans="13:13" ht="15" customHeight="1" x14ac:dyDescent="0.3">
      <c r="M485" s="5"/>
    </row>
    <row r="486" spans="13:13" ht="15" customHeight="1" x14ac:dyDescent="0.3">
      <c r="M486" s="5"/>
    </row>
    <row r="487" spans="13:13" ht="15" customHeight="1" x14ac:dyDescent="0.3">
      <c r="M487" s="5"/>
    </row>
    <row r="488" spans="13:13" ht="15" customHeight="1" x14ac:dyDescent="0.3">
      <c r="M488" s="5"/>
    </row>
    <row r="489" spans="13:13" ht="15" customHeight="1" x14ac:dyDescent="0.3">
      <c r="M489" s="5"/>
    </row>
    <row r="490" spans="13:13" ht="15" customHeight="1" x14ac:dyDescent="0.3">
      <c r="M490" s="5"/>
    </row>
    <row r="491" spans="13:13" ht="15" customHeight="1" x14ac:dyDescent="0.3">
      <c r="M491" s="5"/>
    </row>
    <row r="492" spans="13:13" ht="15" customHeight="1" x14ac:dyDescent="0.3">
      <c r="M492" s="5"/>
    </row>
    <row r="493" spans="13:13" ht="15" customHeight="1" x14ac:dyDescent="0.3">
      <c r="M493" s="5"/>
    </row>
    <row r="494" spans="13:13" ht="15" customHeight="1" x14ac:dyDescent="0.3">
      <c r="M494" s="5"/>
    </row>
    <row r="495" spans="13:13" ht="15" customHeight="1" x14ac:dyDescent="0.3">
      <c r="M495" s="5"/>
    </row>
    <row r="496" spans="13:13" ht="15" customHeight="1" x14ac:dyDescent="0.3">
      <c r="M496" s="5"/>
    </row>
    <row r="497" spans="13:13" ht="15" customHeight="1" x14ac:dyDescent="0.3">
      <c r="M497" s="5"/>
    </row>
    <row r="498" spans="13:13" ht="15" customHeight="1" x14ac:dyDescent="0.3">
      <c r="M498" s="5"/>
    </row>
    <row r="499" spans="13:13" ht="15" customHeight="1" x14ac:dyDescent="0.3">
      <c r="M499" s="5"/>
    </row>
    <row r="500" spans="13:13" ht="15" customHeight="1" x14ac:dyDescent="0.3">
      <c r="M500" s="5"/>
    </row>
    <row r="501" spans="13:13" ht="15" customHeight="1" x14ac:dyDescent="0.3">
      <c r="M501" s="5"/>
    </row>
    <row r="502" spans="13:13" ht="15" customHeight="1" x14ac:dyDescent="0.3">
      <c r="M502" s="5"/>
    </row>
    <row r="503" spans="13:13" ht="15" customHeight="1" x14ac:dyDescent="0.3">
      <c r="M503" s="5"/>
    </row>
    <row r="504" spans="13:13" ht="15" customHeight="1" x14ac:dyDescent="0.3">
      <c r="M504" s="5"/>
    </row>
    <row r="505" spans="13:13" ht="15" customHeight="1" x14ac:dyDescent="0.3">
      <c r="M505" s="5"/>
    </row>
    <row r="506" spans="13:13" ht="15" customHeight="1" x14ac:dyDescent="0.3">
      <c r="M506" s="5"/>
    </row>
    <row r="507" spans="13:13" ht="15" customHeight="1" x14ac:dyDescent="0.3">
      <c r="M507" s="5"/>
    </row>
    <row r="508" spans="13:13" ht="15" customHeight="1" x14ac:dyDescent="0.3">
      <c r="M508" s="5"/>
    </row>
    <row r="509" spans="13:13" ht="15" customHeight="1" x14ac:dyDescent="0.3">
      <c r="M509" s="5"/>
    </row>
    <row r="510" spans="13:13" ht="15" customHeight="1" x14ac:dyDescent="0.3">
      <c r="M510" s="5"/>
    </row>
    <row r="511" spans="13:13" ht="15" customHeight="1" x14ac:dyDescent="0.3">
      <c r="M511" s="5"/>
    </row>
    <row r="512" spans="13:13" ht="15" customHeight="1" x14ac:dyDescent="0.3">
      <c r="M512" s="5"/>
    </row>
    <row r="513" spans="13:13" ht="15" customHeight="1" x14ac:dyDescent="0.3">
      <c r="M513" s="5"/>
    </row>
    <row r="514" spans="13:13" ht="15" customHeight="1" x14ac:dyDescent="0.3">
      <c r="M514" s="5"/>
    </row>
    <row r="515" spans="13:13" ht="15" customHeight="1" x14ac:dyDescent="0.3">
      <c r="M515" s="5"/>
    </row>
    <row r="516" spans="13:13" ht="15" customHeight="1" x14ac:dyDescent="0.3">
      <c r="M516" s="5"/>
    </row>
    <row r="517" spans="13:13" ht="15" customHeight="1" x14ac:dyDescent="0.3">
      <c r="M517" s="5"/>
    </row>
    <row r="518" spans="13:13" ht="15" customHeight="1" x14ac:dyDescent="0.3">
      <c r="M518" s="5"/>
    </row>
    <row r="519" spans="13:13" ht="15" customHeight="1" x14ac:dyDescent="0.3">
      <c r="M519" s="5"/>
    </row>
    <row r="520" spans="13:13" ht="15" customHeight="1" x14ac:dyDescent="0.3">
      <c r="M520" s="5"/>
    </row>
    <row r="521" spans="13:13" ht="15" customHeight="1" x14ac:dyDescent="0.3">
      <c r="M521" s="5"/>
    </row>
    <row r="522" spans="13:13" ht="15" customHeight="1" x14ac:dyDescent="0.3">
      <c r="M522" s="5"/>
    </row>
    <row r="523" spans="13:13" ht="15" customHeight="1" x14ac:dyDescent="0.3">
      <c r="M523" s="5"/>
    </row>
    <row r="524" spans="13:13" ht="15" customHeight="1" x14ac:dyDescent="0.3">
      <c r="M524" s="5"/>
    </row>
    <row r="525" spans="13:13" ht="15" customHeight="1" x14ac:dyDescent="0.3">
      <c r="M525" s="5"/>
    </row>
    <row r="526" spans="13:13" ht="15" customHeight="1" x14ac:dyDescent="0.3">
      <c r="M526" s="5"/>
    </row>
    <row r="527" spans="13:13" ht="15" customHeight="1" x14ac:dyDescent="0.3">
      <c r="M527" s="5"/>
    </row>
    <row r="528" spans="13:13" ht="15" customHeight="1" x14ac:dyDescent="0.3">
      <c r="M528" s="5"/>
    </row>
    <row r="529" spans="13:13" ht="15" customHeight="1" x14ac:dyDescent="0.3">
      <c r="M529" s="5"/>
    </row>
    <row r="530" spans="13:13" ht="15" customHeight="1" x14ac:dyDescent="0.3">
      <c r="M530" s="5"/>
    </row>
    <row r="531" spans="13:13" ht="15" customHeight="1" x14ac:dyDescent="0.3">
      <c r="M531" s="5"/>
    </row>
    <row r="532" spans="13:13" ht="15" customHeight="1" x14ac:dyDescent="0.3">
      <c r="M532" s="5"/>
    </row>
    <row r="533" spans="13:13" ht="15" customHeight="1" x14ac:dyDescent="0.3">
      <c r="M533" s="5"/>
    </row>
    <row r="534" spans="13:13" ht="15" customHeight="1" x14ac:dyDescent="0.3">
      <c r="M534" s="5"/>
    </row>
    <row r="535" spans="13:13" ht="15" customHeight="1" x14ac:dyDescent="0.3">
      <c r="M535" s="5"/>
    </row>
    <row r="536" spans="13:13" ht="15" customHeight="1" x14ac:dyDescent="0.3">
      <c r="M536" s="5"/>
    </row>
    <row r="537" spans="13:13" ht="15" customHeight="1" x14ac:dyDescent="0.3">
      <c r="M537" s="5"/>
    </row>
    <row r="538" spans="13:13" ht="15" customHeight="1" x14ac:dyDescent="0.3">
      <c r="M538" s="5"/>
    </row>
    <row r="539" spans="13:13" ht="15" customHeight="1" x14ac:dyDescent="0.3">
      <c r="M539" s="5"/>
    </row>
    <row r="540" spans="13:13" ht="15" customHeight="1" x14ac:dyDescent="0.3">
      <c r="M540" s="5"/>
    </row>
    <row r="541" spans="13:13" ht="15" customHeight="1" x14ac:dyDescent="0.3">
      <c r="M541" s="5"/>
    </row>
    <row r="542" spans="13:13" ht="15" customHeight="1" x14ac:dyDescent="0.3">
      <c r="M542" s="5"/>
    </row>
    <row r="543" spans="13:13" ht="15" customHeight="1" x14ac:dyDescent="0.3">
      <c r="M543" s="5"/>
    </row>
    <row r="544" spans="13:13" ht="15" customHeight="1" x14ac:dyDescent="0.3">
      <c r="M544" s="5"/>
    </row>
    <row r="545" spans="13:13" ht="15" customHeight="1" x14ac:dyDescent="0.3">
      <c r="M545" s="5"/>
    </row>
    <row r="546" spans="13:13" ht="15" customHeight="1" x14ac:dyDescent="0.3">
      <c r="M546" s="5"/>
    </row>
    <row r="547" spans="13:13" ht="15" customHeight="1" x14ac:dyDescent="0.3">
      <c r="M547" s="5"/>
    </row>
    <row r="548" spans="13:13" ht="15" customHeight="1" x14ac:dyDescent="0.3">
      <c r="M548" s="5"/>
    </row>
    <row r="549" spans="13:13" ht="15" customHeight="1" x14ac:dyDescent="0.3">
      <c r="M549" s="5"/>
    </row>
    <row r="550" spans="13:13" ht="15" customHeight="1" x14ac:dyDescent="0.3">
      <c r="M550" s="5"/>
    </row>
    <row r="551" spans="13:13" ht="15" customHeight="1" x14ac:dyDescent="0.3">
      <c r="M551" s="5"/>
    </row>
    <row r="552" spans="13:13" ht="15" customHeight="1" x14ac:dyDescent="0.3">
      <c r="M552" s="5"/>
    </row>
    <row r="553" spans="13:13" ht="15" customHeight="1" x14ac:dyDescent="0.3">
      <c r="M553" s="5"/>
    </row>
    <row r="554" spans="13:13" ht="15" customHeight="1" x14ac:dyDescent="0.3">
      <c r="M554" s="5"/>
    </row>
    <row r="555" spans="13:13" ht="15" customHeight="1" x14ac:dyDescent="0.3">
      <c r="M555" s="5"/>
    </row>
    <row r="556" spans="13:13" ht="15" customHeight="1" x14ac:dyDescent="0.3">
      <c r="M556" s="5"/>
    </row>
    <row r="557" spans="13:13" ht="15" customHeight="1" x14ac:dyDescent="0.3">
      <c r="M557" s="5"/>
    </row>
    <row r="558" spans="13:13" ht="15" customHeight="1" x14ac:dyDescent="0.3">
      <c r="M558" s="5"/>
    </row>
    <row r="559" spans="13:13" ht="15" customHeight="1" x14ac:dyDescent="0.3">
      <c r="M559" s="5"/>
    </row>
    <row r="560" spans="13:13" ht="15" customHeight="1" x14ac:dyDescent="0.3">
      <c r="M560" s="5"/>
    </row>
    <row r="561" spans="13:13" ht="15" customHeight="1" x14ac:dyDescent="0.3">
      <c r="M561" s="5"/>
    </row>
    <row r="562" spans="13:13" ht="15" customHeight="1" x14ac:dyDescent="0.3">
      <c r="M562" s="5"/>
    </row>
    <row r="563" spans="13:13" ht="15" customHeight="1" x14ac:dyDescent="0.3">
      <c r="M563" s="5"/>
    </row>
    <row r="564" spans="13:13" ht="15" customHeight="1" x14ac:dyDescent="0.3">
      <c r="M564" s="5"/>
    </row>
    <row r="565" spans="13:13" ht="15" customHeight="1" x14ac:dyDescent="0.3">
      <c r="M565" s="5"/>
    </row>
    <row r="566" spans="13:13" ht="15" customHeight="1" x14ac:dyDescent="0.3">
      <c r="M566" s="5"/>
    </row>
    <row r="567" spans="13:13" ht="15" customHeight="1" x14ac:dyDescent="0.3">
      <c r="M567" s="5"/>
    </row>
    <row r="568" spans="13:13" ht="15" customHeight="1" x14ac:dyDescent="0.3">
      <c r="M568" s="5"/>
    </row>
    <row r="569" spans="13:13" ht="15" customHeight="1" x14ac:dyDescent="0.3">
      <c r="M569" s="5"/>
    </row>
    <row r="570" spans="13:13" ht="15" customHeight="1" x14ac:dyDescent="0.3">
      <c r="M570" s="5"/>
    </row>
    <row r="571" spans="13:13" ht="15" customHeight="1" x14ac:dyDescent="0.3">
      <c r="M571" s="5"/>
    </row>
    <row r="572" spans="13:13" ht="15" customHeight="1" x14ac:dyDescent="0.3">
      <c r="M572" s="5"/>
    </row>
    <row r="573" spans="13:13" ht="15" customHeight="1" x14ac:dyDescent="0.3">
      <c r="M573" s="5"/>
    </row>
    <row r="574" spans="13:13" ht="15" customHeight="1" x14ac:dyDescent="0.3">
      <c r="M574" s="5"/>
    </row>
    <row r="575" spans="13:13" ht="15" customHeight="1" x14ac:dyDescent="0.3">
      <c r="M575" s="5"/>
    </row>
    <row r="576" spans="13:13" ht="15" customHeight="1" x14ac:dyDescent="0.3">
      <c r="M576" s="5"/>
    </row>
    <row r="577" spans="13:13" ht="15" customHeight="1" x14ac:dyDescent="0.3">
      <c r="M577" s="5"/>
    </row>
    <row r="578" spans="13:13" ht="15" customHeight="1" x14ac:dyDescent="0.3">
      <c r="M578" s="5"/>
    </row>
    <row r="579" spans="13:13" ht="15" customHeight="1" x14ac:dyDescent="0.3">
      <c r="M579" s="5"/>
    </row>
    <row r="580" spans="13:13" ht="15" customHeight="1" x14ac:dyDescent="0.3">
      <c r="M580" s="5"/>
    </row>
    <row r="581" spans="13:13" ht="15" customHeight="1" x14ac:dyDescent="0.3">
      <c r="M581" s="5"/>
    </row>
    <row r="582" spans="13:13" ht="15" customHeight="1" x14ac:dyDescent="0.3">
      <c r="M582" s="5"/>
    </row>
    <row r="583" spans="13:13" ht="15" customHeight="1" x14ac:dyDescent="0.3">
      <c r="M583" s="5"/>
    </row>
    <row r="584" spans="13:13" ht="15" customHeight="1" x14ac:dyDescent="0.3">
      <c r="M584" s="5"/>
    </row>
    <row r="585" spans="13:13" ht="15" customHeight="1" x14ac:dyDescent="0.3">
      <c r="M585" s="5"/>
    </row>
    <row r="586" spans="13:13" ht="15" customHeight="1" x14ac:dyDescent="0.3">
      <c r="M586" s="5"/>
    </row>
    <row r="587" spans="13:13" ht="15" customHeight="1" x14ac:dyDescent="0.3">
      <c r="M587" s="5"/>
    </row>
    <row r="588" spans="13:13" ht="15" customHeight="1" x14ac:dyDescent="0.3">
      <c r="M588" s="5"/>
    </row>
    <row r="589" spans="13:13" ht="15" customHeight="1" x14ac:dyDescent="0.3">
      <c r="M589" s="5"/>
    </row>
    <row r="590" spans="13:13" ht="15" customHeight="1" x14ac:dyDescent="0.3">
      <c r="M590" s="5"/>
    </row>
    <row r="591" spans="13:13" ht="15" customHeight="1" x14ac:dyDescent="0.3">
      <c r="M591" s="5"/>
    </row>
    <row r="592" spans="13:13" ht="15" customHeight="1" x14ac:dyDescent="0.3">
      <c r="M592" s="5"/>
    </row>
    <row r="593" spans="13:13" ht="15" customHeight="1" x14ac:dyDescent="0.3">
      <c r="M593" s="5"/>
    </row>
    <row r="594" spans="13:13" ht="15" customHeight="1" x14ac:dyDescent="0.3">
      <c r="M594" s="5"/>
    </row>
    <row r="595" spans="13:13" ht="15" customHeight="1" x14ac:dyDescent="0.3">
      <c r="M595" s="5"/>
    </row>
    <row r="596" spans="13:13" ht="15" customHeight="1" x14ac:dyDescent="0.3">
      <c r="M596" s="5"/>
    </row>
    <row r="597" spans="13:13" ht="15" customHeight="1" x14ac:dyDescent="0.3">
      <c r="M597" s="5"/>
    </row>
    <row r="598" spans="13:13" ht="15" customHeight="1" x14ac:dyDescent="0.3">
      <c r="M598" s="5"/>
    </row>
    <row r="599" spans="13:13" ht="15" customHeight="1" x14ac:dyDescent="0.3">
      <c r="M599" s="5"/>
    </row>
    <row r="600" spans="13:13" ht="15" customHeight="1" x14ac:dyDescent="0.3">
      <c r="M600" s="5"/>
    </row>
    <row r="601" spans="13:13" ht="15" customHeight="1" x14ac:dyDescent="0.3">
      <c r="M601" s="5"/>
    </row>
    <row r="602" spans="13:13" ht="15" customHeight="1" x14ac:dyDescent="0.3">
      <c r="M602" s="5"/>
    </row>
    <row r="603" spans="13:13" ht="15" customHeight="1" x14ac:dyDescent="0.3">
      <c r="M603" s="5"/>
    </row>
    <row r="604" spans="13:13" ht="15" customHeight="1" x14ac:dyDescent="0.3">
      <c r="M604" s="5"/>
    </row>
    <row r="605" spans="13:13" ht="15" customHeight="1" x14ac:dyDescent="0.3">
      <c r="M605" s="5"/>
    </row>
    <row r="606" spans="13:13" ht="15" customHeight="1" x14ac:dyDescent="0.3">
      <c r="M606" s="5"/>
    </row>
    <row r="607" spans="13:13" ht="15" customHeight="1" x14ac:dyDescent="0.3">
      <c r="M607" s="5"/>
    </row>
    <row r="608" spans="13:13" ht="15" customHeight="1" x14ac:dyDescent="0.3">
      <c r="M608" s="5"/>
    </row>
    <row r="609" spans="13:13" ht="15" customHeight="1" x14ac:dyDescent="0.3">
      <c r="M609" s="5"/>
    </row>
    <row r="610" spans="13:13" ht="15" customHeight="1" x14ac:dyDescent="0.3">
      <c r="M610" s="5"/>
    </row>
    <row r="611" spans="13:13" ht="15" customHeight="1" x14ac:dyDescent="0.3">
      <c r="M611" s="5"/>
    </row>
    <row r="612" spans="13:13" ht="15" customHeight="1" x14ac:dyDescent="0.3">
      <c r="M612" s="5"/>
    </row>
    <row r="613" spans="13:13" ht="15" customHeight="1" x14ac:dyDescent="0.3">
      <c r="M613" s="5"/>
    </row>
    <row r="614" spans="13:13" ht="15" customHeight="1" x14ac:dyDescent="0.3">
      <c r="M614" s="5"/>
    </row>
    <row r="615" spans="13:13" ht="15" customHeight="1" x14ac:dyDescent="0.3">
      <c r="M615" s="5"/>
    </row>
    <row r="616" spans="13:13" ht="15" customHeight="1" x14ac:dyDescent="0.3">
      <c r="M616" s="5"/>
    </row>
    <row r="617" spans="13:13" ht="15" customHeight="1" x14ac:dyDescent="0.3">
      <c r="M617" s="5"/>
    </row>
    <row r="618" spans="13:13" ht="15" customHeight="1" x14ac:dyDescent="0.3">
      <c r="M618" s="5"/>
    </row>
    <row r="619" spans="13:13" ht="15" customHeight="1" x14ac:dyDescent="0.3">
      <c r="M619" s="5"/>
    </row>
    <row r="620" spans="13:13" ht="15" customHeight="1" x14ac:dyDescent="0.3">
      <c r="M620" s="5"/>
    </row>
    <row r="621" spans="13:13" ht="15" customHeight="1" x14ac:dyDescent="0.3">
      <c r="M621" s="5"/>
    </row>
    <row r="622" spans="13:13" ht="15" customHeight="1" x14ac:dyDescent="0.3">
      <c r="M622" s="5"/>
    </row>
    <row r="623" spans="13:13" ht="15" customHeight="1" x14ac:dyDescent="0.3">
      <c r="M623" s="5"/>
    </row>
    <row r="624" spans="13:13" ht="15" customHeight="1" x14ac:dyDescent="0.3">
      <c r="M624" s="5"/>
    </row>
    <row r="625" spans="13:13" ht="15" customHeight="1" x14ac:dyDescent="0.3">
      <c r="M625" s="5"/>
    </row>
    <row r="626" spans="13:13" ht="15" customHeight="1" x14ac:dyDescent="0.3">
      <c r="M626" s="5"/>
    </row>
    <row r="627" spans="13:13" ht="15" customHeight="1" x14ac:dyDescent="0.3">
      <c r="M627" s="5"/>
    </row>
    <row r="628" spans="13:13" ht="15" customHeight="1" x14ac:dyDescent="0.3">
      <c r="M628" s="5"/>
    </row>
    <row r="629" spans="13:13" ht="15" customHeight="1" x14ac:dyDescent="0.3">
      <c r="M629" s="5"/>
    </row>
    <row r="630" spans="13:13" ht="15" customHeight="1" x14ac:dyDescent="0.3">
      <c r="M630" s="5"/>
    </row>
    <row r="631" spans="13:13" ht="15" customHeight="1" x14ac:dyDescent="0.3">
      <c r="M631" s="5"/>
    </row>
    <row r="632" spans="13:13" ht="15" customHeight="1" x14ac:dyDescent="0.3">
      <c r="M632" s="5"/>
    </row>
    <row r="633" spans="13:13" ht="15" customHeight="1" x14ac:dyDescent="0.3">
      <c r="M633" s="5"/>
    </row>
    <row r="634" spans="13:13" ht="15" customHeight="1" x14ac:dyDescent="0.3">
      <c r="M634" s="5"/>
    </row>
    <row r="635" spans="13:13" ht="15" customHeight="1" x14ac:dyDescent="0.3">
      <c r="M635" s="5"/>
    </row>
    <row r="636" spans="13:13" ht="15" customHeight="1" x14ac:dyDescent="0.3">
      <c r="M636" s="5"/>
    </row>
    <row r="637" spans="13:13" ht="15" customHeight="1" x14ac:dyDescent="0.3">
      <c r="M637" s="5"/>
    </row>
    <row r="638" spans="13:13" ht="15" customHeight="1" x14ac:dyDescent="0.3">
      <c r="M638" s="5"/>
    </row>
    <row r="639" spans="13:13" ht="15" customHeight="1" x14ac:dyDescent="0.3">
      <c r="M639" s="5"/>
    </row>
    <row r="640" spans="13:13" ht="15" customHeight="1" x14ac:dyDescent="0.3">
      <c r="M640" s="5"/>
    </row>
    <row r="641" spans="13:13" ht="15" customHeight="1" x14ac:dyDescent="0.3">
      <c r="M641" s="5"/>
    </row>
    <row r="642" spans="13:13" ht="15" customHeight="1" x14ac:dyDescent="0.3">
      <c r="M642" s="5"/>
    </row>
    <row r="643" spans="13:13" ht="15" customHeight="1" x14ac:dyDescent="0.3">
      <c r="M643" s="5"/>
    </row>
    <row r="644" spans="13:13" ht="15" customHeight="1" x14ac:dyDescent="0.3">
      <c r="M644" s="5"/>
    </row>
    <row r="645" spans="13:13" ht="15" customHeight="1" x14ac:dyDescent="0.3">
      <c r="M645" s="5"/>
    </row>
    <row r="646" spans="13:13" ht="15" customHeight="1" x14ac:dyDescent="0.3">
      <c r="M646" s="5"/>
    </row>
    <row r="647" spans="13:13" ht="15" customHeight="1" x14ac:dyDescent="0.3">
      <c r="M647" s="5"/>
    </row>
    <row r="648" spans="13:13" ht="15" customHeight="1" x14ac:dyDescent="0.3">
      <c r="M648" s="5"/>
    </row>
    <row r="649" spans="13:13" ht="15" customHeight="1" x14ac:dyDescent="0.3">
      <c r="M649" s="5"/>
    </row>
    <row r="650" spans="13:13" ht="15" customHeight="1" x14ac:dyDescent="0.3">
      <c r="M650" s="5"/>
    </row>
    <row r="651" spans="13:13" ht="15" customHeight="1" x14ac:dyDescent="0.3">
      <c r="M651" s="5"/>
    </row>
    <row r="652" spans="13:13" ht="15" customHeight="1" x14ac:dyDescent="0.3">
      <c r="M652" s="5"/>
    </row>
    <row r="653" spans="13:13" ht="15" customHeight="1" x14ac:dyDescent="0.3">
      <c r="M653" s="5"/>
    </row>
    <row r="654" spans="13:13" ht="15" customHeight="1" x14ac:dyDescent="0.3">
      <c r="M654" s="5"/>
    </row>
    <row r="655" spans="13:13" ht="15" customHeight="1" x14ac:dyDescent="0.3">
      <c r="M655" s="5"/>
    </row>
    <row r="656" spans="13:13" ht="15" customHeight="1" x14ac:dyDescent="0.3">
      <c r="M656" s="5"/>
    </row>
    <row r="657" spans="13:13" ht="15" customHeight="1" x14ac:dyDescent="0.3">
      <c r="M657" s="5"/>
    </row>
    <row r="658" spans="13:13" ht="15" customHeight="1" x14ac:dyDescent="0.3">
      <c r="M658" s="5"/>
    </row>
    <row r="659" spans="13:13" ht="15" customHeight="1" x14ac:dyDescent="0.3">
      <c r="M659" s="5"/>
    </row>
    <row r="660" spans="13:13" ht="15" customHeight="1" x14ac:dyDescent="0.3">
      <c r="M660" s="5"/>
    </row>
    <row r="661" spans="13:13" ht="15" customHeight="1" x14ac:dyDescent="0.3">
      <c r="M661" s="5"/>
    </row>
    <row r="662" spans="13:13" ht="15" customHeight="1" x14ac:dyDescent="0.3">
      <c r="M662" s="5"/>
    </row>
    <row r="663" spans="13:13" ht="15" customHeight="1" x14ac:dyDescent="0.3">
      <c r="M663" s="5"/>
    </row>
    <row r="664" spans="13:13" ht="15" customHeight="1" x14ac:dyDescent="0.3">
      <c r="M664" s="5"/>
    </row>
    <row r="665" spans="13:13" ht="15" customHeight="1" x14ac:dyDescent="0.3">
      <c r="M665" s="5"/>
    </row>
    <row r="666" spans="13:13" ht="15" customHeight="1" x14ac:dyDescent="0.3">
      <c r="M666" s="5"/>
    </row>
    <row r="667" spans="13:13" ht="15" customHeight="1" x14ac:dyDescent="0.3">
      <c r="M667" s="5"/>
    </row>
    <row r="668" spans="13:13" ht="15" customHeight="1" x14ac:dyDescent="0.3">
      <c r="M668" s="5"/>
    </row>
    <row r="669" spans="13:13" ht="15" customHeight="1" x14ac:dyDescent="0.3">
      <c r="M669" s="5"/>
    </row>
    <row r="670" spans="13:13" ht="15" customHeight="1" x14ac:dyDescent="0.3">
      <c r="M670" s="5"/>
    </row>
    <row r="671" spans="13:13" ht="15" customHeight="1" x14ac:dyDescent="0.3">
      <c r="M671" s="5"/>
    </row>
    <row r="672" spans="13:13" ht="15" customHeight="1" x14ac:dyDescent="0.3">
      <c r="M672" s="5"/>
    </row>
    <row r="673" spans="13:13" ht="15" customHeight="1" x14ac:dyDescent="0.3">
      <c r="M673" s="5"/>
    </row>
    <row r="674" spans="13:13" ht="15" customHeight="1" x14ac:dyDescent="0.3">
      <c r="M674" s="5"/>
    </row>
    <row r="675" spans="13:13" ht="15" customHeight="1" x14ac:dyDescent="0.3">
      <c r="M675" s="5"/>
    </row>
    <row r="676" spans="13:13" ht="15" customHeight="1" x14ac:dyDescent="0.3">
      <c r="M676" s="5"/>
    </row>
    <row r="677" spans="13:13" ht="15" customHeight="1" x14ac:dyDescent="0.3">
      <c r="M677" s="5"/>
    </row>
    <row r="678" spans="13:13" ht="15" customHeight="1" x14ac:dyDescent="0.3">
      <c r="M678" s="5"/>
    </row>
    <row r="679" spans="13:13" ht="15" customHeight="1" x14ac:dyDescent="0.3">
      <c r="M679" s="5"/>
    </row>
    <row r="680" spans="13:13" ht="15" customHeight="1" x14ac:dyDescent="0.3">
      <c r="M680" s="5"/>
    </row>
    <row r="681" spans="13:13" ht="15" customHeight="1" x14ac:dyDescent="0.3">
      <c r="M681" s="5"/>
    </row>
    <row r="682" spans="13:13" ht="15" customHeight="1" x14ac:dyDescent="0.3">
      <c r="M682" s="5"/>
    </row>
    <row r="683" spans="13:13" ht="15" customHeight="1" x14ac:dyDescent="0.3">
      <c r="M683" s="5"/>
    </row>
    <row r="684" spans="13:13" ht="15" customHeight="1" x14ac:dyDescent="0.3">
      <c r="M684" s="5"/>
    </row>
    <row r="685" spans="13:13" ht="15" customHeight="1" x14ac:dyDescent="0.3">
      <c r="M685" s="5"/>
    </row>
    <row r="686" spans="13:13" ht="15" customHeight="1" x14ac:dyDescent="0.3">
      <c r="M686" s="5"/>
    </row>
    <row r="687" spans="13:13" ht="15" customHeight="1" x14ac:dyDescent="0.3">
      <c r="M687" s="5"/>
    </row>
    <row r="688" spans="13:13" ht="15" customHeight="1" x14ac:dyDescent="0.3">
      <c r="M688" s="5"/>
    </row>
    <row r="689" spans="13:13" ht="15" customHeight="1" x14ac:dyDescent="0.3">
      <c r="M689" s="5"/>
    </row>
    <row r="690" spans="13:13" ht="15" customHeight="1" x14ac:dyDescent="0.3">
      <c r="M690" s="5"/>
    </row>
    <row r="691" spans="13:13" ht="15" customHeight="1" x14ac:dyDescent="0.3">
      <c r="M691" s="5"/>
    </row>
    <row r="692" spans="13:13" ht="15" customHeight="1" x14ac:dyDescent="0.3">
      <c r="M692" s="5"/>
    </row>
    <row r="693" spans="13:13" ht="15" customHeight="1" x14ac:dyDescent="0.3">
      <c r="M693" s="5"/>
    </row>
    <row r="694" spans="13:13" ht="15" customHeight="1" x14ac:dyDescent="0.3">
      <c r="M694" s="5"/>
    </row>
    <row r="695" spans="13:13" ht="15" customHeight="1" x14ac:dyDescent="0.3">
      <c r="M695" s="5"/>
    </row>
    <row r="696" spans="13:13" ht="15" customHeight="1" x14ac:dyDescent="0.3">
      <c r="M696" s="5"/>
    </row>
    <row r="697" spans="13:13" ht="15" customHeight="1" x14ac:dyDescent="0.3">
      <c r="M697" s="5"/>
    </row>
    <row r="698" spans="13:13" ht="15" customHeight="1" x14ac:dyDescent="0.3">
      <c r="M698" s="5"/>
    </row>
    <row r="699" spans="13:13" ht="15" customHeight="1" x14ac:dyDescent="0.3">
      <c r="M699" s="5"/>
    </row>
    <row r="700" spans="13:13" ht="15" customHeight="1" x14ac:dyDescent="0.3">
      <c r="M700" s="5"/>
    </row>
    <row r="701" spans="13:13" ht="15" customHeight="1" x14ac:dyDescent="0.3">
      <c r="M701" s="5"/>
    </row>
    <row r="702" spans="13:13" ht="15" customHeight="1" x14ac:dyDescent="0.3">
      <c r="M702" s="5"/>
    </row>
    <row r="703" spans="13:13" ht="15" customHeight="1" x14ac:dyDescent="0.3">
      <c r="M703" s="5"/>
    </row>
    <row r="704" spans="13:13" ht="15" customHeight="1" x14ac:dyDescent="0.3">
      <c r="M704" s="5"/>
    </row>
    <row r="705" spans="13:13" ht="15" customHeight="1" x14ac:dyDescent="0.3">
      <c r="M705" s="5"/>
    </row>
    <row r="706" spans="13:13" ht="15" customHeight="1" x14ac:dyDescent="0.3">
      <c r="M706" s="5"/>
    </row>
    <row r="707" spans="13:13" ht="15" customHeight="1" x14ac:dyDescent="0.3">
      <c r="M707" s="5"/>
    </row>
    <row r="708" spans="13:13" ht="15" customHeight="1" x14ac:dyDescent="0.3">
      <c r="M708" s="5"/>
    </row>
    <row r="709" spans="13:13" ht="15" customHeight="1" x14ac:dyDescent="0.3">
      <c r="M709" s="5"/>
    </row>
    <row r="710" spans="13:13" ht="15" customHeight="1" x14ac:dyDescent="0.3">
      <c r="M710" s="5"/>
    </row>
    <row r="711" spans="13:13" ht="15" customHeight="1" x14ac:dyDescent="0.3">
      <c r="M711" s="5"/>
    </row>
    <row r="712" spans="13:13" ht="15" customHeight="1" x14ac:dyDescent="0.3">
      <c r="M712" s="5"/>
    </row>
    <row r="713" spans="13:13" ht="15" customHeight="1" x14ac:dyDescent="0.3">
      <c r="M713" s="5"/>
    </row>
    <row r="714" spans="13:13" ht="15" customHeight="1" x14ac:dyDescent="0.3">
      <c r="M714" s="5"/>
    </row>
    <row r="715" spans="13:13" ht="15" customHeight="1" x14ac:dyDescent="0.3">
      <c r="M715" s="5"/>
    </row>
    <row r="716" spans="13:13" ht="15" customHeight="1" x14ac:dyDescent="0.3">
      <c r="M716" s="5"/>
    </row>
    <row r="717" spans="13:13" ht="15" customHeight="1" x14ac:dyDescent="0.3">
      <c r="M717" s="5"/>
    </row>
    <row r="718" spans="13:13" ht="15" customHeight="1" x14ac:dyDescent="0.3">
      <c r="M718" s="5"/>
    </row>
    <row r="719" spans="13:13" ht="15" customHeight="1" x14ac:dyDescent="0.3">
      <c r="M719" s="5"/>
    </row>
    <row r="720" spans="13:13" ht="15" customHeight="1" x14ac:dyDescent="0.3">
      <c r="M720" s="5"/>
    </row>
    <row r="721" spans="13:13" ht="15" customHeight="1" x14ac:dyDescent="0.3">
      <c r="M721" s="5"/>
    </row>
    <row r="722" spans="13:13" ht="15" customHeight="1" x14ac:dyDescent="0.3">
      <c r="M722" s="5"/>
    </row>
    <row r="723" spans="13:13" ht="15" customHeight="1" x14ac:dyDescent="0.3">
      <c r="M723" s="5"/>
    </row>
    <row r="724" spans="13:13" ht="15" customHeight="1" x14ac:dyDescent="0.3">
      <c r="M724" s="5"/>
    </row>
    <row r="725" spans="13:13" ht="15" customHeight="1" x14ac:dyDescent="0.3">
      <c r="M725" s="5"/>
    </row>
    <row r="726" spans="13:13" ht="15" customHeight="1" x14ac:dyDescent="0.3">
      <c r="M726" s="5"/>
    </row>
    <row r="727" spans="13:13" ht="15" customHeight="1" x14ac:dyDescent="0.3">
      <c r="M727" s="5"/>
    </row>
    <row r="728" spans="13:13" ht="15" customHeight="1" x14ac:dyDescent="0.3">
      <c r="M728" s="5"/>
    </row>
    <row r="729" spans="13:13" ht="15" customHeight="1" x14ac:dyDescent="0.3">
      <c r="M729" s="5"/>
    </row>
    <row r="730" spans="13:13" ht="15" customHeight="1" x14ac:dyDescent="0.3">
      <c r="M730" s="5"/>
    </row>
    <row r="731" spans="13:13" ht="15" customHeight="1" x14ac:dyDescent="0.3">
      <c r="M731" s="5"/>
    </row>
    <row r="732" spans="13:13" ht="15" customHeight="1" x14ac:dyDescent="0.3">
      <c r="M732" s="5"/>
    </row>
    <row r="733" spans="13:13" ht="15" customHeight="1" x14ac:dyDescent="0.3">
      <c r="M733" s="5"/>
    </row>
    <row r="734" spans="13:13" ht="15" customHeight="1" x14ac:dyDescent="0.3">
      <c r="M734" s="5"/>
    </row>
    <row r="735" spans="13:13" ht="15" customHeight="1" x14ac:dyDescent="0.3">
      <c r="M735" s="5"/>
    </row>
    <row r="736" spans="13:13" ht="15" customHeight="1" x14ac:dyDescent="0.3">
      <c r="M736" s="5"/>
    </row>
    <row r="737" spans="13:13" ht="15" customHeight="1" x14ac:dyDescent="0.3">
      <c r="M737" s="5"/>
    </row>
    <row r="738" spans="13:13" ht="15" customHeight="1" x14ac:dyDescent="0.3">
      <c r="M738" s="5"/>
    </row>
    <row r="739" spans="13:13" ht="15" customHeight="1" x14ac:dyDescent="0.3">
      <c r="M739" s="5"/>
    </row>
    <row r="740" spans="13:13" ht="15" customHeight="1" x14ac:dyDescent="0.3">
      <c r="M740" s="5"/>
    </row>
    <row r="741" spans="13:13" ht="15" customHeight="1" x14ac:dyDescent="0.3">
      <c r="M741" s="5"/>
    </row>
    <row r="742" spans="13:13" ht="15" customHeight="1" x14ac:dyDescent="0.3">
      <c r="M742" s="5"/>
    </row>
    <row r="743" spans="13:13" ht="15" customHeight="1" x14ac:dyDescent="0.3">
      <c r="M743" s="5"/>
    </row>
    <row r="744" spans="13:13" ht="15" customHeight="1" x14ac:dyDescent="0.3">
      <c r="M744" s="5"/>
    </row>
    <row r="745" spans="13:13" ht="15" customHeight="1" x14ac:dyDescent="0.3">
      <c r="M745" s="5"/>
    </row>
    <row r="746" spans="13:13" ht="15" customHeight="1" x14ac:dyDescent="0.3">
      <c r="M746" s="5"/>
    </row>
    <row r="747" spans="13:13" ht="15" customHeight="1" x14ac:dyDescent="0.3">
      <c r="M747" s="5"/>
    </row>
    <row r="748" spans="13:13" ht="15" customHeight="1" x14ac:dyDescent="0.3">
      <c r="M748" s="5"/>
    </row>
    <row r="749" spans="13:13" ht="15" customHeight="1" x14ac:dyDescent="0.3">
      <c r="M749" s="5"/>
    </row>
    <row r="750" spans="13:13" ht="15" customHeight="1" x14ac:dyDescent="0.3">
      <c r="M750" s="5"/>
    </row>
    <row r="751" spans="13:13" ht="15" customHeight="1" x14ac:dyDescent="0.3">
      <c r="M751" s="5"/>
    </row>
    <row r="752" spans="13:13" ht="15" customHeight="1" x14ac:dyDescent="0.3">
      <c r="M752" s="5"/>
    </row>
    <row r="753" spans="13:13" ht="15" customHeight="1" x14ac:dyDescent="0.3">
      <c r="M753" s="5"/>
    </row>
    <row r="754" spans="13:13" ht="15" customHeight="1" x14ac:dyDescent="0.3">
      <c r="M754" s="5"/>
    </row>
    <row r="755" spans="13:13" ht="15" customHeight="1" x14ac:dyDescent="0.3">
      <c r="M755" s="5"/>
    </row>
    <row r="756" spans="13:13" ht="15" customHeight="1" x14ac:dyDescent="0.3">
      <c r="M756" s="5"/>
    </row>
    <row r="757" spans="13:13" ht="15" customHeight="1" x14ac:dyDescent="0.3">
      <c r="M757" s="5"/>
    </row>
    <row r="758" spans="13:13" ht="15" customHeight="1" x14ac:dyDescent="0.3">
      <c r="M758" s="5"/>
    </row>
    <row r="759" spans="13:13" ht="15" customHeight="1" x14ac:dyDescent="0.3">
      <c r="M759" s="5"/>
    </row>
    <row r="760" spans="13:13" ht="15" customHeight="1" x14ac:dyDescent="0.3">
      <c r="M760" s="5"/>
    </row>
    <row r="761" spans="13:13" ht="15" customHeight="1" x14ac:dyDescent="0.3">
      <c r="M761" s="5"/>
    </row>
    <row r="762" spans="13:13" ht="15" customHeight="1" x14ac:dyDescent="0.3">
      <c r="M762" s="5"/>
    </row>
    <row r="763" spans="13:13" ht="15" customHeight="1" x14ac:dyDescent="0.3">
      <c r="M763" s="5"/>
    </row>
    <row r="764" spans="13:13" ht="15" customHeight="1" x14ac:dyDescent="0.3">
      <c r="M764" s="5"/>
    </row>
    <row r="765" spans="13:13" ht="15" customHeight="1" x14ac:dyDescent="0.3">
      <c r="M765" s="5"/>
    </row>
    <row r="766" spans="13:13" ht="15" customHeight="1" x14ac:dyDescent="0.3">
      <c r="M766" s="5"/>
    </row>
    <row r="767" spans="13:13" ht="15" customHeight="1" x14ac:dyDescent="0.3">
      <c r="M767" s="5"/>
    </row>
    <row r="768" spans="13:13" ht="15" customHeight="1" x14ac:dyDescent="0.3">
      <c r="M768" s="5"/>
    </row>
    <row r="769" spans="13:13" ht="15" customHeight="1" x14ac:dyDescent="0.3">
      <c r="M769" s="5"/>
    </row>
    <row r="770" spans="13:13" ht="15" customHeight="1" x14ac:dyDescent="0.3">
      <c r="M770" s="5"/>
    </row>
    <row r="771" spans="13:13" ht="15" customHeight="1" x14ac:dyDescent="0.3">
      <c r="M771" s="5"/>
    </row>
    <row r="772" spans="13:13" ht="15" customHeight="1" x14ac:dyDescent="0.3">
      <c r="M772" s="5"/>
    </row>
    <row r="773" spans="13:13" ht="15" customHeight="1" x14ac:dyDescent="0.3">
      <c r="M773" s="5"/>
    </row>
    <row r="774" spans="13:13" ht="15" customHeight="1" x14ac:dyDescent="0.3">
      <c r="M774" s="5"/>
    </row>
    <row r="775" spans="13:13" ht="15" customHeight="1" x14ac:dyDescent="0.3">
      <c r="M775" s="5"/>
    </row>
    <row r="776" spans="13:13" ht="15" customHeight="1" x14ac:dyDescent="0.3">
      <c r="M776" s="5"/>
    </row>
    <row r="777" spans="13:13" ht="15" customHeight="1" x14ac:dyDescent="0.3">
      <c r="M777" s="5"/>
    </row>
    <row r="778" spans="13:13" ht="15" customHeight="1" x14ac:dyDescent="0.3">
      <c r="M778" s="5"/>
    </row>
    <row r="779" spans="13:13" ht="15" customHeight="1" x14ac:dyDescent="0.3">
      <c r="M779" s="5"/>
    </row>
    <row r="780" spans="13:13" ht="15" customHeight="1" x14ac:dyDescent="0.3">
      <c r="M780" s="5"/>
    </row>
    <row r="781" spans="13:13" ht="15" customHeight="1" x14ac:dyDescent="0.3">
      <c r="M781" s="5"/>
    </row>
    <row r="782" spans="13:13" ht="15" customHeight="1" x14ac:dyDescent="0.3">
      <c r="M782" s="5"/>
    </row>
    <row r="783" spans="13:13" ht="15" customHeight="1" x14ac:dyDescent="0.3">
      <c r="M783" s="5"/>
    </row>
    <row r="784" spans="13:13" ht="15" customHeight="1" x14ac:dyDescent="0.3">
      <c r="M784" s="5"/>
    </row>
    <row r="785" spans="13:13" ht="15" customHeight="1" x14ac:dyDescent="0.3">
      <c r="M785" s="5"/>
    </row>
    <row r="786" spans="13:13" ht="15" customHeight="1" x14ac:dyDescent="0.3">
      <c r="M786" s="5"/>
    </row>
    <row r="787" spans="13:13" ht="15" customHeight="1" x14ac:dyDescent="0.3">
      <c r="M787" s="5"/>
    </row>
    <row r="788" spans="13:13" ht="15" customHeight="1" x14ac:dyDescent="0.3">
      <c r="M788" s="5"/>
    </row>
    <row r="789" spans="13:13" ht="15" customHeight="1" x14ac:dyDescent="0.3">
      <c r="M789" s="5"/>
    </row>
    <row r="790" spans="13:13" ht="15" customHeight="1" x14ac:dyDescent="0.3">
      <c r="M790" s="5"/>
    </row>
    <row r="791" spans="13:13" ht="15" customHeight="1" x14ac:dyDescent="0.3">
      <c r="M791" s="5"/>
    </row>
    <row r="792" spans="13:13" ht="15" customHeight="1" x14ac:dyDescent="0.3">
      <c r="M792" s="5"/>
    </row>
    <row r="793" spans="13:13" ht="15" customHeight="1" x14ac:dyDescent="0.3">
      <c r="M793" s="5"/>
    </row>
    <row r="794" spans="13:13" ht="15" customHeight="1" x14ac:dyDescent="0.3">
      <c r="M794" s="5"/>
    </row>
    <row r="795" spans="13:13" ht="15" customHeight="1" x14ac:dyDescent="0.3">
      <c r="M795" s="5"/>
    </row>
    <row r="796" spans="13:13" ht="15" customHeight="1" x14ac:dyDescent="0.3">
      <c r="M796" s="5"/>
    </row>
    <row r="797" spans="13:13" ht="15" customHeight="1" x14ac:dyDescent="0.3">
      <c r="M797" s="5"/>
    </row>
    <row r="798" spans="13:13" ht="15" customHeight="1" x14ac:dyDescent="0.3">
      <c r="M798" s="5"/>
    </row>
    <row r="799" spans="13:13" ht="15" customHeight="1" x14ac:dyDescent="0.3">
      <c r="M799" s="5"/>
    </row>
    <row r="800" spans="13:13" ht="15" customHeight="1" x14ac:dyDescent="0.3">
      <c r="M800" s="5"/>
    </row>
    <row r="801" spans="13:13" ht="15" customHeight="1" x14ac:dyDescent="0.3">
      <c r="M801" s="5"/>
    </row>
    <row r="802" spans="13:13" ht="15" customHeight="1" x14ac:dyDescent="0.3">
      <c r="M802" s="5"/>
    </row>
    <row r="803" spans="13:13" ht="15" customHeight="1" x14ac:dyDescent="0.3">
      <c r="M803" s="5"/>
    </row>
    <row r="804" spans="13:13" ht="15" customHeight="1" x14ac:dyDescent="0.3">
      <c r="M804" s="5"/>
    </row>
    <row r="805" spans="13:13" ht="15" customHeight="1" x14ac:dyDescent="0.3">
      <c r="M805" s="5"/>
    </row>
    <row r="806" spans="13:13" ht="15" customHeight="1" x14ac:dyDescent="0.3">
      <c r="M806" s="5"/>
    </row>
    <row r="807" spans="13:13" ht="15" customHeight="1" x14ac:dyDescent="0.3">
      <c r="M807" s="5"/>
    </row>
    <row r="808" spans="13:13" ht="15" customHeight="1" x14ac:dyDescent="0.3">
      <c r="M808" s="5"/>
    </row>
    <row r="809" spans="13:13" ht="15" customHeight="1" x14ac:dyDescent="0.3">
      <c r="M809" s="5"/>
    </row>
    <row r="810" spans="13:13" ht="15" customHeight="1" x14ac:dyDescent="0.3">
      <c r="M810" s="5"/>
    </row>
    <row r="811" spans="13:13" ht="15" customHeight="1" x14ac:dyDescent="0.3">
      <c r="M811" s="5"/>
    </row>
    <row r="812" spans="13:13" ht="15" customHeight="1" x14ac:dyDescent="0.3">
      <c r="M812" s="5"/>
    </row>
    <row r="813" spans="13:13" ht="15" customHeight="1" x14ac:dyDescent="0.3">
      <c r="M813" s="5"/>
    </row>
    <row r="814" spans="13:13" ht="15" customHeight="1" x14ac:dyDescent="0.3">
      <c r="M814" s="5"/>
    </row>
    <row r="815" spans="13:13" ht="15" customHeight="1" x14ac:dyDescent="0.3">
      <c r="M815" s="5"/>
    </row>
    <row r="816" spans="13:13" ht="15" customHeight="1" x14ac:dyDescent="0.3">
      <c r="M816" s="5"/>
    </row>
    <row r="817" spans="13:13" ht="15" customHeight="1" x14ac:dyDescent="0.3">
      <c r="M817" s="5"/>
    </row>
    <row r="818" spans="13:13" ht="15" customHeight="1" x14ac:dyDescent="0.3">
      <c r="M818" s="5"/>
    </row>
    <row r="819" spans="13:13" ht="15" customHeight="1" x14ac:dyDescent="0.3">
      <c r="M819" s="5"/>
    </row>
    <row r="820" spans="13:13" ht="15" customHeight="1" x14ac:dyDescent="0.3">
      <c r="M820" s="5"/>
    </row>
    <row r="821" spans="13:13" ht="15" customHeight="1" x14ac:dyDescent="0.3">
      <c r="M821" s="5"/>
    </row>
    <row r="822" spans="13:13" ht="15" customHeight="1" x14ac:dyDescent="0.3">
      <c r="M822" s="5"/>
    </row>
    <row r="823" spans="13:13" ht="15" customHeight="1" x14ac:dyDescent="0.3">
      <c r="M823" s="5"/>
    </row>
    <row r="824" spans="13:13" ht="15" customHeight="1" x14ac:dyDescent="0.3">
      <c r="M824" s="5"/>
    </row>
    <row r="825" spans="13:13" ht="15" customHeight="1" x14ac:dyDescent="0.3">
      <c r="M825" s="5"/>
    </row>
    <row r="826" spans="13:13" ht="15" customHeight="1" x14ac:dyDescent="0.3">
      <c r="M826" s="5"/>
    </row>
    <row r="827" spans="13:13" ht="15" customHeight="1" x14ac:dyDescent="0.3">
      <c r="M827" s="5"/>
    </row>
    <row r="828" spans="13:13" ht="15" customHeight="1" x14ac:dyDescent="0.3">
      <c r="M828" s="5"/>
    </row>
    <row r="829" spans="13:13" ht="15" customHeight="1" x14ac:dyDescent="0.3">
      <c r="M829" s="5"/>
    </row>
    <row r="830" spans="13:13" ht="15" customHeight="1" x14ac:dyDescent="0.3">
      <c r="M830" s="5"/>
    </row>
    <row r="831" spans="13:13" ht="15" customHeight="1" x14ac:dyDescent="0.3">
      <c r="M831" s="5"/>
    </row>
    <row r="832" spans="13:13" ht="15" customHeight="1" x14ac:dyDescent="0.3">
      <c r="M832" s="5"/>
    </row>
    <row r="833" spans="13:13" ht="15" customHeight="1" x14ac:dyDescent="0.3">
      <c r="M833" s="5"/>
    </row>
    <row r="834" spans="13:13" ht="15" customHeight="1" x14ac:dyDescent="0.3">
      <c r="M834" s="5"/>
    </row>
    <row r="835" spans="13:13" ht="15" customHeight="1" x14ac:dyDescent="0.3">
      <c r="M835" s="5"/>
    </row>
    <row r="836" spans="13:13" ht="15" customHeight="1" x14ac:dyDescent="0.3">
      <c r="M836" s="5"/>
    </row>
    <row r="837" spans="13:13" ht="15" customHeight="1" x14ac:dyDescent="0.3">
      <c r="M837" s="5"/>
    </row>
    <row r="838" spans="13:13" ht="15" customHeight="1" x14ac:dyDescent="0.3">
      <c r="M838" s="5"/>
    </row>
    <row r="839" spans="13:13" ht="15" customHeight="1" x14ac:dyDescent="0.3">
      <c r="M839" s="5"/>
    </row>
    <row r="840" spans="13:13" ht="15" customHeight="1" x14ac:dyDescent="0.3">
      <c r="M840" s="5"/>
    </row>
    <row r="841" spans="13:13" ht="15" customHeight="1" x14ac:dyDescent="0.3">
      <c r="M841" s="5"/>
    </row>
    <row r="842" spans="13:13" ht="15" customHeight="1" x14ac:dyDescent="0.3">
      <c r="M842" s="5"/>
    </row>
    <row r="843" spans="13:13" ht="15" customHeight="1" x14ac:dyDescent="0.3">
      <c r="M843" s="5"/>
    </row>
    <row r="844" spans="13:13" ht="15" customHeight="1" x14ac:dyDescent="0.3">
      <c r="M844" s="5"/>
    </row>
    <row r="845" spans="13:13" ht="15" customHeight="1" x14ac:dyDescent="0.3">
      <c r="M845" s="5"/>
    </row>
    <row r="846" spans="13:13" ht="15" customHeight="1" x14ac:dyDescent="0.3">
      <c r="M846" s="5"/>
    </row>
    <row r="847" spans="13:13" ht="15" customHeight="1" x14ac:dyDescent="0.3">
      <c r="M847" s="5"/>
    </row>
    <row r="848" spans="13:13" ht="15" customHeight="1" x14ac:dyDescent="0.3">
      <c r="M848" s="5"/>
    </row>
    <row r="849" spans="13:13" ht="15" customHeight="1" x14ac:dyDescent="0.3">
      <c r="M849" s="5"/>
    </row>
    <row r="850" spans="13:13" ht="15" customHeight="1" x14ac:dyDescent="0.3">
      <c r="M850" s="5"/>
    </row>
    <row r="851" spans="13:13" ht="15" customHeight="1" x14ac:dyDescent="0.3">
      <c r="M851" s="5"/>
    </row>
    <row r="852" spans="13:13" ht="15" customHeight="1" x14ac:dyDescent="0.3">
      <c r="M852" s="5"/>
    </row>
    <row r="853" spans="13:13" ht="15" customHeight="1" x14ac:dyDescent="0.3">
      <c r="M853" s="5"/>
    </row>
    <row r="854" spans="13:13" ht="15" customHeight="1" x14ac:dyDescent="0.3">
      <c r="M854" s="5"/>
    </row>
    <row r="855" spans="13:13" ht="15" customHeight="1" x14ac:dyDescent="0.3">
      <c r="M855" s="5"/>
    </row>
    <row r="856" spans="13:13" ht="15" customHeight="1" x14ac:dyDescent="0.3">
      <c r="M856" s="5"/>
    </row>
    <row r="857" spans="13:13" ht="15" customHeight="1" x14ac:dyDescent="0.3">
      <c r="M857" s="5"/>
    </row>
    <row r="858" spans="13:13" ht="15" customHeight="1" x14ac:dyDescent="0.3">
      <c r="M858" s="5"/>
    </row>
    <row r="859" spans="13:13" ht="15" customHeight="1" x14ac:dyDescent="0.3">
      <c r="M859" s="5"/>
    </row>
    <row r="860" spans="13:13" ht="15" customHeight="1" x14ac:dyDescent="0.3">
      <c r="M860" s="5"/>
    </row>
    <row r="861" spans="13:13" ht="15" customHeight="1" x14ac:dyDescent="0.3">
      <c r="M861" s="5"/>
    </row>
    <row r="862" spans="13:13" ht="15" customHeight="1" x14ac:dyDescent="0.3">
      <c r="M862" s="5"/>
    </row>
    <row r="863" spans="13:13" ht="15" customHeight="1" x14ac:dyDescent="0.3">
      <c r="M863" s="5"/>
    </row>
    <row r="864" spans="13:13" ht="15" customHeight="1" x14ac:dyDescent="0.3">
      <c r="M864" s="5"/>
    </row>
    <row r="865" spans="13:13" ht="15" customHeight="1" x14ac:dyDescent="0.3">
      <c r="M865" s="5"/>
    </row>
    <row r="866" spans="13:13" ht="15" customHeight="1" x14ac:dyDescent="0.3">
      <c r="M866" s="5"/>
    </row>
    <row r="867" spans="13:13" ht="15" customHeight="1" x14ac:dyDescent="0.3">
      <c r="M867" s="5"/>
    </row>
    <row r="868" spans="13:13" ht="15" customHeight="1" x14ac:dyDescent="0.3">
      <c r="M868" s="5"/>
    </row>
    <row r="869" spans="13:13" ht="15" customHeight="1" x14ac:dyDescent="0.3">
      <c r="M869" s="5"/>
    </row>
    <row r="870" spans="13:13" ht="15" customHeight="1" x14ac:dyDescent="0.3">
      <c r="M870" s="5"/>
    </row>
    <row r="871" spans="13:13" ht="15" customHeight="1" x14ac:dyDescent="0.3">
      <c r="M871" s="5"/>
    </row>
    <row r="872" spans="13:13" ht="15" customHeight="1" x14ac:dyDescent="0.3">
      <c r="M872" s="5"/>
    </row>
    <row r="873" spans="13:13" ht="15" customHeight="1" x14ac:dyDescent="0.3">
      <c r="M873" s="5"/>
    </row>
    <row r="874" spans="13:13" ht="15" customHeight="1" x14ac:dyDescent="0.3">
      <c r="M874" s="5"/>
    </row>
    <row r="875" spans="13:13" ht="15" customHeight="1" x14ac:dyDescent="0.3">
      <c r="M875" s="5"/>
    </row>
    <row r="876" spans="13:13" ht="15" customHeight="1" x14ac:dyDescent="0.3">
      <c r="M876" s="5"/>
    </row>
    <row r="877" spans="13:13" ht="15" customHeight="1" x14ac:dyDescent="0.3">
      <c r="M877" s="5"/>
    </row>
    <row r="878" spans="13:13" ht="15" customHeight="1" x14ac:dyDescent="0.3">
      <c r="M878" s="5"/>
    </row>
    <row r="879" spans="13:13" ht="15" customHeight="1" x14ac:dyDescent="0.3">
      <c r="M879" s="5"/>
    </row>
    <row r="880" spans="13:13" ht="15" customHeight="1" x14ac:dyDescent="0.3">
      <c r="M880" s="5"/>
    </row>
    <row r="881" spans="13:13" ht="15" customHeight="1" x14ac:dyDescent="0.3">
      <c r="M881" s="5"/>
    </row>
    <row r="882" spans="13:13" ht="15" customHeight="1" x14ac:dyDescent="0.3">
      <c r="M882" s="5"/>
    </row>
    <row r="883" spans="13:13" ht="15" customHeight="1" x14ac:dyDescent="0.3">
      <c r="M883" s="5"/>
    </row>
    <row r="884" spans="13:13" ht="15" customHeight="1" x14ac:dyDescent="0.3">
      <c r="M884" s="5"/>
    </row>
    <row r="885" spans="13:13" ht="15" customHeight="1" x14ac:dyDescent="0.3">
      <c r="M885" s="5"/>
    </row>
    <row r="886" spans="13:13" ht="15" customHeight="1" x14ac:dyDescent="0.3">
      <c r="M886" s="5"/>
    </row>
    <row r="887" spans="13:13" ht="15" customHeight="1" x14ac:dyDescent="0.3">
      <c r="M887" s="5"/>
    </row>
    <row r="888" spans="13:13" ht="15" customHeight="1" x14ac:dyDescent="0.3">
      <c r="M888" s="5"/>
    </row>
    <row r="889" spans="13:13" ht="15" customHeight="1" x14ac:dyDescent="0.3">
      <c r="M889" s="5"/>
    </row>
    <row r="890" spans="13:13" ht="15" customHeight="1" x14ac:dyDescent="0.3">
      <c r="M890" s="5"/>
    </row>
    <row r="891" spans="13:13" ht="15" customHeight="1" x14ac:dyDescent="0.3">
      <c r="M891" s="5"/>
    </row>
    <row r="892" spans="13:13" ht="15" customHeight="1" x14ac:dyDescent="0.3">
      <c r="M892" s="5"/>
    </row>
    <row r="893" spans="13:13" ht="15" customHeight="1" x14ac:dyDescent="0.3">
      <c r="M893" s="5"/>
    </row>
    <row r="894" spans="13:13" ht="15" customHeight="1" x14ac:dyDescent="0.3">
      <c r="M894" s="5"/>
    </row>
    <row r="895" spans="13:13" ht="15" customHeight="1" x14ac:dyDescent="0.3">
      <c r="M895" s="5"/>
    </row>
    <row r="896" spans="13:13" ht="15" customHeight="1" x14ac:dyDescent="0.3">
      <c r="M896" s="5"/>
    </row>
    <row r="897" spans="13:13" ht="15" customHeight="1" x14ac:dyDescent="0.3">
      <c r="M897" s="5"/>
    </row>
    <row r="898" spans="13:13" ht="15" customHeight="1" x14ac:dyDescent="0.3">
      <c r="M898" s="5"/>
    </row>
    <row r="899" spans="13:13" ht="15" customHeight="1" x14ac:dyDescent="0.3">
      <c r="M899" s="5"/>
    </row>
    <row r="900" spans="13:13" ht="15" customHeight="1" x14ac:dyDescent="0.3">
      <c r="M900" s="5"/>
    </row>
    <row r="901" spans="13:13" ht="15" customHeight="1" x14ac:dyDescent="0.3">
      <c r="M901" s="5"/>
    </row>
    <row r="902" spans="13:13" ht="15" customHeight="1" x14ac:dyDescent="0.3">
      <c r="M902" s="5"/>
    </row>
    <row r="903" spans="13:13" ht="15" customHeight="1" x14ac:dyDescent="0.3">
      <c r="M903" s="5"/>
    </row>
    <row r="904" spans="13:13" ht="15" customHeight="1" x14ac:dyDescent="0.3">
      <c r="M904" s="5"/>
    </row>
    <row r="905" spans="13:13" ht="15" customHeight="1" x14ac:dyDescent="0.3">
      <c r="M905" s="5"/>
    </row>
    <row r="906" spans="13:13" ht="15" customHeight="1" x14ac:dyDescent="0.3">
      <c r="M906" s="5"/>
    </row>
    <row r="907" spans="13:13" ht="15" customHeight="1" x14ac:dyDescent="0.3">
      <c r="M907" s="5"/>
    </row>
    <row r="908" spans="13:13" ht="15" customHeight="1" x14ac:dyDescent="0.3">
      <c r="M908" s="5"/>
    </row>
    <row r="909" spans="13:13" ht="15" customHeight="1" x14ac:dyDescent="0.3">
      <c r="M909" s="5"/>
    </row>
    <row r="910" spans="13:13" ht="15" customHeight="1" x14ac:dyDescent="0.3">
      <c r="M910" s="5"/>
    </row>
    <row r="911" spans="13:13" ht="15" customHeight="1" x14ac:dyDescent="0.3">
      <c r="M911" s="5"/>
    </row>
    <row r="912" spans="13:13" ht="15" customHeight="1" x14ac:dyDescent="0.3">
      <c r="M912" s="5"/>
    </row>
    <row r="913" spans="13:13" ht="15" customHeight="1" x14ac:dyDescent="0.3">
      <c r="M913" s="5"/>
    </row>
    <row r="914" spans="13:13" ht="15" customHeight="1" x14ac:dyDescent="0.3">
      <c r="M914" s="5"/>
    </row>
    <row r="915" spans="13:13" ht="15" customHeight="1" x14ac:dyDescent="0.3">
      <c r="M915" s="5"/>
    </row>
    <row r="916" spans="13:13" ht="15" customHeight="1" x14ac:dyDescent="0.3">
      <c r="M916" s="5"/>
    </row>
    <row r="917" spans="13:13" ht="15" customHeight="1" x14ac:dyDescent="0.3">
      <c r="M917" s="5"/>
    </row>
    <row r="918" spans="13:13" ht="15" customHeight="1" x14ac:dyDescent="0.3">
      <c r="M918" s="5"/>
    </row>
    <row r="919" spans="13:13" ht="15" customHeight="1" x14ac:dyDescent="0.3">
      <c r="M919" s="5"/>
    </row>
    <row r="920" spans="13:13" ht="15" customHeight="1" x14ac:dyDescent="0.3">
      <c r="M920" s="5"/>
    </row>
    <row r="921" spans="13:13" ht="15" customHeight="1" x14ac:dyDescent="0.3">
      <c r="M921" s="5"/>
    </row>
    <row r="922" spans="13:13" ht="15" customHeight="1" x14ac:dyDescent="0.3">
      <c r="M922" s="5"/>
    </row>
    <row r="923" spans="13:13" ht="15" customHeight="1" x14ac:dyDescent="0.3">
      <c r="M923" s="5"/>
    </row>
    <row r="924" spans="13:13" ht="15" customHeight="1" x14ac:dyDescent="0.3">
      <c r="M924" s="5"/>
    </row>
    <row r="925" spans="13:13" ht="15" customHeight="1" x14ac:dyDescent="0.3">
      <c r="M925" s="5"/>
    </row>
    <row r="926" spans="13:13" ht="15" customHeight="1" x14ac:dyDescent="0.3">
      <c r="M926" s="5"/>
    </row>
    <row r="927" spans="13:13" ht="15" customHeight="1" x14ac:dyDescent="0.3">
      <c r="M927" s="5"/>
    </row>
    <row r="928" spans="13:13" ht="15" customHeight="1" x14ac:dyDescent="0.3">
      <c r="M928" s="5"/>
    </row>
    <row r="929" spans="13:13" ht="15" customHeight="1" x14ac:dyDescent="0.3">
      <c r="M929" s="5"/>
    </row>
    <row r="930" spans="13:13" ht="15" customHeight="1" x14ac:dyDescent="0.3">
      <c r="M930" s="5"/>
    </row>
    <row r="931" spans="13:13" ht="15" customHeight="1" x14ac:dyDescent="0.3">
      <c r="M931" s="5"/>
    </row>
    <row r="932" spans="13:13" ht="15" customHeight="1" x14ac:dyDescent="0.3">
      <c r="M932" s="5"/>
    </row>
    <row r="933" spans="13:13" ht="15" customHeight="1" x14ac:dyDescent="0.3">
      <c r="M933" s="5"/>
    </row>
    <row r="934" spans="13:13" ht="15" customHeight="1" x14ac:dyDescent="0.3">
      <c r="M934" s="5"/>
    </row>
    <row r="935" spans="13:13" ht="15" customHeight="1" x14ac:dyDescent="0.3">
      <c r="M935" s="5"/>
    </row>
    <row r="936" spans="13:13" ht="15" customHeight="1" x14ac:dyDescent="0.3">
      <c r="M936" s="5"/>
    </row>
    <row r="937" spans="13:13" ht="15" customHeight="1" x14ac:dyDescent="0.3">
      <c r="M937" s="5"/>
    </row>
    <row r="938" spans="13:13" ht="15" customHeight="1" x14ac:dyDescent="0.3">
      <c r="M938" s="5"/>
    </row>
    <row r="939" spans="13:13" ht="15" customHeight="1" x14ac:dyDescent="0.3">
      <c r="M939" s="5"/>
    </row>
    <row r="940" spans="13:13" ht="15" customHeight="1" x14ac:dyDescent="0.3">
      <c r="M940" s="5"/>
    </row>
    <row r="941" spans="13:13" ht="15" customHeight="1" x14ac:dyDescent="0.3">
      <c r="M941" s="5"/>
    </row>
    <row r="942" spans="13:13" ht="15" customHeight="1" x14ac:dyDescent="0.3">
      <c r="M942" s="5"/>
    </row>
    <row r="943" spans="13:13" ht="15" customHeight="1" x14ac:dyDescent="0.3">
      <c r="M943" s="5"/>
    </row>
    <row r="944" spans="13:13" ht="15" customHeight="1" x14ac:dyDescent="0.3">
      <c r="M944" s="5"/>
    </row>
    <row r="945" spans="13:13" ht="15" customHeight="1" x14ac:dyDescent="0.3">
      <c r="M945" s="5"/>
    </row>
    <row r="946" spans="13:13" ht="15" customHeight="1" x14ac:dyDescent="0.3">
      <c r="M946" s="5"/>
    </row>
    <row r="947" spans="13:13" ht="15" customHeight="1" x14ac:dyDescent="0.3">
      <c r="M947" s="5"/>
    </row>
    <row r="948" spans="13:13" ht="15" customHeight="1" x14ac:dyDescent="0.3">
      <c r="M948" s="5"/>
    </row>
    <row r="949" spans="13:13" ht="15" customHeight="1" x14ac:dyDescent="0.3">
      <c r="M949" s="5"/>
    </row>
    <row r="950" spans="13:13" ht="15" customHeight="1" x14ac:dyDescent="0.3">
      <c r="M950" s="5"/>
    </row>
    <row r="951" spans="13:13" ht="15" customHeight="1" x14ac:dyDescent="0.3">
      <c r="M951" s="5"/>
    </row>
    <row r="952" spans="13:13" ht="15" customHeight="1" x14ac:dyDescent="0.3">
      <c r="M952" s="5"/>
    </row>
    <row r="953" spans="13:13" ht="15" customHeight="1" x14ac:dyDescent="0.3">
      <c r="M953" s="5"/>
    </row>
    <row r="954" spans="13:13" ht="15" customHeight="1" x14ac:dyDescent="0.3">
      <c r="M954" s="5"/>
    </row>
    <row r="955" spans="13:13" ht="15" customHeight="1" x14ac:dyDescent="0.3">
      <c r="M955" s="5"/>
    </row>
    <row r="956" spans="13:13" ht="15" customHeight="1" x14ac:dyDescent="0.3">
      <c r="M956" s="5"/>
    </row>
    <row r="957" spans="13:13" ht="15" customHeight="1" x14ac:dyDescent="0.3">
      <c r="M957" s="5"/>
    </row>
    <row r="958" spans="13:13" ht="15" customHeight="1" x14ac:dyDescent="0.3">
      <c r="M958" s="5"/>
    </row>
    <row r="959" spans="13:13" ht="15" customHeight="1" x14ac:dyDescent="0.3">
      <c r="M959" s="5"/>
    </row>
    <row r="960" spans="13:13" ht="15" customHeight="1" x14ac:dyDescent="0.3">
      <c r="M960" s="5"/>
    </row>
    <row r="961" spans="13:13" ht="15" customHeight="1" x14ac:dyDescent="0.3">
      <c r="M961" s="5"/>
    </row>
    <row r="962" spans="13:13" ht="15" customHeight="1" x14ac:dyDescent="0.3">
      <c r="M962" s="5"/>
    </row>
    <row r="963" spans="13:13" ht="15" customHeight="1" x14ac:dyDescent="0.3">
      <c r="M963" s="5"/>
    </row>
    <row r="964" spans="13:13" ht="15" customHeight="1" x14ac:dyDescent="0.3">
      <c r="M964" s="5"/>
    </row>
    <row r="965" spans="13:13" ht="15" customHeight="1" x14ac:dyDescent="0.3">
      <c r="M965" s="5"/>
    </row>
    <row r="966" spans="13:13" ht="15" customHeight="1" x14ac:dyDescent="0.3">
      <c r="M966" s="5"/>
    </row>
    <row r="967" spans="13:13" ht="15" customHeight="1" x14ac:dyDescent="0.3">
      <c r="M967" s="5"/>
    </row>
    <row r="968" spans="13:13" ht="15" customHeight="1" x14ac:dyDescent="0.3">
      <c r="M968" s="5"/>
    </row>
    <row r="969" spans="13:13" ht="15" customHeight="1" x14ac:dyDescent="0.3">
      <c r="M969" s="5"/>
    </row>
    <row r="970" spans="13:13" ht="15" customHeight="1" x14ac:dyDescent="0.3">
      <c r="M970" s="5"/>
    </row>
    <row r="971" spans="13:13" ht="15" customHeight="1" x14ac:dyDescent="0.3">
      <c r="M971" s="5"/>
    </row>
    <row r="972" spans="13:13" ht="15" customHeight="1" x14ac:dyDescent="0.3">
      <c r="M972" s="5"/>
    </row>
    <row r="973" spans="13:13" ht="15" customHeight="1" x14ac:dyDescent="0.3">
      <c r="M973" s="5"/>
    </row>
    <row r="974" spans="13:13" ht="15" customHeight="1" x14ac:dyDescent="0.3">
      <c r="M974" s="5"/>
    </row>
    <row r="975" spans="13:13" ht="15" customHeight="1" x14ac:dyDescent="0.3">
      <c r="M975" s="5"/>
    </row>
    <row r="976" spans="13:13" ht="15" customHeight="1" x14ac:dyDescent="0.3">
      <c r="M976" s="5"/>
    </row>
    <row r="977" spans="13:13" ht="15" customHeight="1" x14ac:dyDescent="0.3">
      <c r="M977" s="5"/>
    </row>
    <row r="978" spans="13:13" ht="15" customHeight="1" x14ac:dyDescent="0.3">
      <c r="M978" s="5"/>
    </row>
    <row r="979" spans="13:13" ht="15" customHeight="1" x14ac:dyDescent="0.3">
      <c r="M979" s="5"/>
    </row>
    <row r="980" spans="13:13" ht="15" customHeight="1" x14ac:dyDescent="0.3">
      <c r="M980" s="5"/>
    </row>
    <row r="981" spans="13:13" ht="15" customHeight="1" x14ac:dyDescent="0.3">
      <c r="M981" s="5"/>
    </row>
    <row r="982" spans="13:13" ht="15" customHeight="1" x14ac:dyDescent="0.3">
      <c r="M982" s="5"/>
    </row>
    <row r="983" spans="13:13" ht="15" customHeight="1" x14ac:dyDescent="0.3">
      <c r="M983" s="5"/>
    </row>
    <row r="984" spans="13:13" ht="15" customHeight="1" x14ac:dyDescent="0.3">
      <c r="M984" s="5"/>
    </row>
    <row r="985" spans="13:13" ht="15" customHeight="1" x14ac:dyDescent="0.3">
      <c r="M985" s="5"/>
    </row>
    <row r="986" spans="13:13" ht="15" customHeight="1" x14ac:dyDescent="0.3">
      <c r="M986" s="5"/>
    </row>
    <row r="987" spans="13:13" ht="15" customHeight="1" x14ac:dyDescent="0.3">
      <c r="M987" s="5"/>
    </row>
    <row r="988" spans="13:13" ht="15" customHeight="1" x14ac:dyDescent="0.3">
      <c r="M988" s="5"/>
    </row>
    <row r="989" spans="13:13" ht="15" customHeight="1" x14ac:dyDescent="0.3">
      <c r="M989" s="5"/>
    </row>
    <row r="990" spans="13:13" ht="15" customHeight="1" x14ac:dyDescent="0.3">
      <c r="M990" s="5"/>
    </row>
    <row r="991" spans="13:13" ht="15" customHeight="1" x14ac:dyDescent="0.3">
      <c r="M991" s="5"/>
    </row>
    <row r="992" spans="13:13" ht="15" customHeight="1" x14ac:dyDescent="0.3">
      <c r="M992" s="5"/>
    </row>
    <row r="993" spans="13:13" ht="15" customHeight="1" x14ac:dyDescent="0.3">
      <c r="M993" s="5"/>
    </row>
    <row r="994" spans="13:13" ht="15" customHeight="1" x14ac:dyDescent="0.3">
      <c r="M994" s="5"/>
    </row>
    <row r="995" spans="13:13" ht="15" customHeight="1" x14ac:dyDescent="0.3">
      <c r="M995" s="5"/>
    </row>
    <row r="996" spans="13:13" ht="15" customHeight="1" x14ac:dyDescent="0.3">
      <c r="M996" s="5"/>
    </row>
    <row r="997" spans="13:13" ht="15" customHeight="1" x14ac:dyDescent="0.3">
      <c r="M997" s="5"/>
    </row>
    <row r="998" spans="13:13" ht="15" customHeight="1" x14ac:dyDescent="0.3">
      <c r="M998" s="5"/>
    </row>
    <row r="999" spans="13:13" ht="15" customHeight="1" x14ac:dyDescent="0.3">
      <c r="M999" s="5"/>
    </row>
    <row r="1000" spans="13:13" ht="15" customHeight="1" x14ac:dyDescent="0.3">
      <c r="M1000" s="5"/>
    </row>
    <row r="1001" spans="13:13" ht="15" customHeight="1" x14ac:dyDescent="0.3">
      <c r="M1001" s="5"/>
    </row>
    <row r="1002" spans="13:13" ht="15" customHeight="1" x14ac:dyDescent="0.3">
      <c r="M1002" s="5"/>
    </row>
    <row r="1003" spans="13:13" ht="15" customHeight="1" x14ac:dyDescent="0.3">
      <c r="M1003" s="5"/>
    </row>
    <row r="1004" spans="13:13" ht="15" customHeight="1" x14ac:dyDescent="0.3">
      <c r="M1004" s="5"/>
    </row>
    <row r="1005" spans="13:13" ht="15" customHeight="1" x14ac:dyDescent="0.3">
      <c r="M1005" s="5"/>
    </row>
    <row r="1006" spans="13:13" ht="15" customHeight="1" x14ac:dyDescent="0.3">
      <c r="M1006" s="5"/>
    </row>
    <row r="1007" spans="13:13" ht="15" customHeight="1" x14ac:dyDescent="0.3">
      <c r="M1007" s="5"/>
    </row>
    <row r="1008" spans="13:13" ht="15" customHeight="1" x14ac:dyDescent="0.3">
      <c r="M1008" s="5"/>
    </row>
    <row r="1009" spans="13:13" ht="15" customHeight="1" x14ac:dyDescent="0.3">
      <c r="M1009" s="5"/>
    </row>
    <row r="1010" spans="13:13" ht="15" customHeight="1" x14ac:dyDescent="0.3">
      <c r="M1010" s="5"/>
    </row>
    <row r="1011" spans="13:13" ht="15" customHeight="1" x14ac:dyDescent="0.3">
      <c r="M1011" s="5"/>
    </row>
    <row r="1012" spans="13:13" ht="15" customHeight="1" x14ac:dyDescent="0.3">
      <c r="M1012" s="5"/>
    </row>
    <row r="1013" spans="13:13" ht="15" customHeight="1" x14ac:dyDescent="0.3">
      <c r="M1013" s="5"/>
    </row>
    <row r="1014" spans="13:13" ht="15" customHeight="1" x14ac:dyDescent="0.3">
      <c r="M1014" s="5"/>
    </row>
    <row r="1015" spans="13:13" ht="15" customHeight="1" x14ac:dyDescent="0.3">
      <c r="M1015" s="5"/>
    </row>
    <row r="1016" spans="13:13" ht="15" customHeight="1" x14ac:dyDescent="0.3">
      <c r="M1016" s="5"/>
    </row>
    <row r="1017" spans="13:13" ht="15" customHeight="1" x14ac:dyDescent="0.3">
      <c r="M1017" s="5"/>
    </row>
    <row r="1018" spans="13:13" ht="15" customHeight="1" x14ac:dyDescent="0.3">
      <c r="M1018" s="5"/>
    </row>
    <row r="1019" spans="13:13" ht="15" customHeight="1" x14ac:dyDescent="0.3">
      <c r="M1019" s="5"/>
    </row>
    <row r="1020" spans="13:13" ht="15" customHeight="1" x14ac:dyDescent="0.3">
      <c r="M1020" s="5"/>
    </row>
    <row r="1021" spans="13:13" ht="15" customHeight="1" x14ac:dyDescent="0.3">
      <c r="M1021" s="5"/>
    </row>
    <row r="1022" spans="13:13" ht="15" customHeight="1" x14ac:dyDescent="0.3">
      <c r="M1022" s="5"/>
    </row>
    <row r="1023" spans="13:13" ht="15" customHeight="1" x14ac:dyDescent="0.3">
      <c r="M1023" s="5"/>
    </row>
    <row r="1024" spans="13:13" ht="15" customHeight="1" x14ac:dyDescent="0.3">
      <c r="M1024" s="5"/>
    </row>
    <row r="1025" spans="13:13" ht="15" customHeight="1" x14ac:dyDescent="0.3">
      <c r="M1025" s="5"/>
    </row>
    <row r="1026" spans="13:13" ht="15" customHeight="1" x14ac:dyDescent="0.3">
      <c r="M1026" s="5"/>
    </row>
    <row r="1027" spans="13:13" ht="15" customHeight="1" x14ac:dyDescent="0.3">
      <c r="M1027" s="5"/>
    </row>
    <row r="1028" spans="13:13" ht="15" customHeight="1" x14ac:dyDescent="0.3">
      <c r="M1028" s="5"/>
    </row>
    <row r="1029" spans="13:13" ht="15" customHeight="1" x14ac:dyDescent="0.3">
      <c r="M1029" s="5"/>
    </row>
    <row r="1030" spans="13:13" ht="15" customHeight="1" x14ac:dyDescent="0.3">
      <c r="M1030" s="5"/>
    </row>
    <row r="1031" spans="13:13" ht="15" customHeight="1" x14ac:dyDescent="0.3">
      <c r="M1031" s="5"/>
    </row>
    <row r="1032" spans="13:13" ht="15" customHeight="1" x14ac:dyDescent="0.3">
      <c r="M1032" s="5"/>
    </row>
    <row r="1033" spans="13:13" ht="15" customHeight="1" x14ac:dyDescent="0.3">
      <c r="M1033" s="5"/>
    </row>
    <row r="1034" spans="13:13" ht="15" customHeight="1" x14ac:dyDescent="0.3">
      <c r="M1034" s="5"/>
    </row>
    <row r="1035" spans="13:13" ht="15" customHeight="1" x14ac:dyDescent="0.3">
      <c r="M1035" s="5"/>
    </row>
    <row r="1036" spans="13:13" ht="15" customHeight="1" x14ac:dyDescent="0.3">
      <c r="M1036" s="5"/>
    </row>
    <row r="1037" spans="13:13" ht="15" customHeight="1" x14ac:dyDescent="0.3">
      <c r="M1037" s="5"/>
    </row>
    <row r="1038" spans="13:13" ht="15" customHeight="1" x14ac:dyDescent="0.3">
      <c r="M1038" s="5"/>
    </row>
    <row r="1039" spans="13:13" ht="15" customHeight="1" x14ac:dyDescent="0.3">
      <c r="M1039" s="5"/>
    </row>
    <row r="1040" spans="13:13" ht="15" customHeight="1" x14ac:dyDescent="0.3">
      <c r="M1040" s="5"/>
    </row>
    <row r="1041" spans="13:13" ht="15" customHeight="1" x14ac:dyDescent="0.3">
      <c r="M1041" s="5"/>
    </row>
    <row r="1042" spans="13:13" ht="15" customHeight="1" x14ac:dyDescent="0.3">
      <c r="M1042" s="5"/>
    </row>
    <row r="1043" spans="13:13" ht="15" customHeight="1" x14ac:dyDescent="0.3">
      <c r="M1043" s="5"/>
    </row>
    <row r="1044" spans="13:13" ht="15" customHeight="1" x14ac:dyDescent="0.3">
      <c r="M1044" s="5"/>
    </row>
    <row r="1045" spans="13:13" ht="15" customHeight="1" x14ac:dyDescent="0.3">
      <c r="M1045" s="5"/>
    </row>
    <row r="1046" spans="13:13" ht="15" customHeight="1" x14ac:dyDescent="0.3">
      <c r="M1046" s="5"/>
    </row>
    <row r="1047" spans="13:13" ht="15" customHeight="1" x14ac:dyDescent="0.3">
      <c r="M1047" s="5"/>
    </row>
    <row r="1048" spans="13:13" ht="15" customHeight="1" x14ac:dyDescent="0.3">
      <c r="M1048" s="5"/>
    </row>
    <row r="1049" spans="13:13" ht="15" customHeight="1" x14ac:dyDescent="0.3">
      <c r="M1049" s="5"/>
    </row>
    <row r="1050" spans="13:13" ht="15" customHeight="1" x14ac:dyDescent="0.3">
      <c r="M1050" s="5"/>
    </row>
    <row r="1051" spans="13:13" ht="15" customHeight="1" x14ac:dyDescent="0.3">
      <c r="M1051" s="5"/>
    </row>
    <row r="1052" spans="13:13" ht="15" customHeight="1" x14ac:dyDescent="0.3">
      <c r="M1052" s="5"/>
    </row>
    <row r="1053" spans="13:13" ht="15" customHeight="1" x14ac:dyDescent="0.3">
      <c r="M1053" s="5"/>
    </row>
    <row r="1054" spans="13:13" ht="15" customHeight="1" x14ac:dyDescent="0.3">
      <c r="M1054" s="5"/>
    </row>
    <row r="1055" spans="13:13" ht="15" customHeight="1" x14ac:dyDescent="0.3">
      <c r="M1055" s="5"/>
    </row>
    <row r="1056" spans="13:13" ht="15" customHeight="1" x14ac:dyDescent="0.3">
      <c r="M1056" s="5"/>
    </row>
    <row r="1057" spans="13:13" ht="15" customHeight="1" x14ac:dyDescent="0.3">
      <c r="M1057" s="5"/>
    </row>
    <row r="1058" spans="13:13" ht="15" customHeight="1" x14ac:dyDescent="0.3">
      <c r="M1058" s="5"/>
    </row>
    <row r="1059" spans="13:13" ht="15" customHeight="1" x14ac:dyDescent="0.3">
      <c r="M1059" s="5"/>
    </row>
    <row r="1060" spans="13:13" ht="15" customHeight="1" x14ac:dyDescent="0.3">
      <c r="M1060" s="5"/>
    </row>
    <row r="1061" spans="13:13" ht="15" customHeight="1" x14ac:dyDescent="0.3">
      <c r="M1061" s="5"/>
    </row>
    <row r="1062" spans="13:13" ht="15" customHeight="1" x14ac:dyDescent="0.3">
      <c r="M1062" s="5"/>
    </row>
    <row r="1063" spans="13:13" ht="15" customHeight="1" x14ac:dyDescent="0.3">
      <c r="M1063" s="5"/>
    </row>
    <row r="1064" spans="13:13" ht="15" customHeight="1" x14ac:dyDescent="0.3">
      <c r="M1064" s="5"/>
    </row>
    <row r="1065" spans="13:13" ht="15" customHeight="1" x14ac:dyDescent="0.3">
      <c r="M1065" s="5"/>
    </row>
    <row r="1066" spans="13:13" ht="15" customHeight="1" x14ac:dyDescent="0.3">
      <c r="M1066" s="5"/>
    </row>
    <row r="1067" spans="13:13" ht="15" customHeight="1" x14ac:dyDescent="0.3">
      <c r="M1067" s="5"/>
    </row>
    <row r="1068" spans="13:13" ht="15" customHeight="1" x14ac:dyDescent="0.3">
      <c r="M1068" s="5"/>
    </row>
    <row r="1069" spans="13:13" ht="15" customHeight="1" x14ac:dyDescent="0.3">
      <c r="M1069" s="5"/>
    </row>
    <row r="1070" spans="13:13" ht="15" customHeight="1" x14ac:dyDescent="0.3">
      <c r="M1070" s="5"/>
    </row>
    <row r="1071" spans="13:13" ht="15" customHeight="1" x14ac:dyDescent="0.3">
      <c r="M1071" s="5"/>
    </row>
    <row r="1072" spans="13:13" ht="15" customHeight="1" x14ac:dyDescent="0.3">
      <c r="M1072" s="5"/>
    </row>
    <row r="1073" spans="13:13" ht="15" customHeight="1" x14ac:dyDescent="0.3">
      <c r="M1073" s="5"/>
    </row>
    <row r="1074" spans="13:13" ht="15" customHeight="1" x14ac:dyDescent="0.3">
      <c r="M1074" s="5"/>
    </row>
    <row r="1075" spans="13:13" ht="15" customHeight="1" x14ac:dyDescent="0.3">
      <c r="M1075" s="5"/>
    </row>
    <row r="1076" spans="13:13" ht="15" customHeight="1" x14ac:dyDescent="0.3">
      <c r="M1076" s="5"/>
    </row>
    <row r="1077" spans="13:13" ht="15" customHeight="1" x14ac:dyDescent="0.3">
      <c r="M1077" s="5"/>
    </row>
    <row r="1078" spans="13:13" ht="15" customHeight="1" x14ac:dyDescent="0.3">
      <c r="M1078" s="5"/>
    </row>
    <row r="1079" spans="13:13" ht="15" customHeight="1" x14ac:dyDescent="0.3">
      <c r="M1079" s="5"/>
    </row>
    <row r="1080" spans="13:13" ht="15" customHeight="1" x14ac:dyDescent="0.3">
      <c r="M1080" s="5"/>
    </row>
    <row r="1081" spans="13:13" ht="15" customHeight="1" x14ac:dyDescent="0.3">
      <c r="M1081" s="5"/>
    </row>
    <row r="1082" spans="13:13" ht="15" customHeight="1" x14ac:dyDescent="0.3">
      <c r="M1082" s="5"/>
    </row>
    <row r="1083" spans="13:13" ht="15" customHeight="1" x14ac:dyDescent="0.3">
      <c r="M1083" s="5"/>
    </row>
    <row r="1084" spans="13:13" ht="15" customHeight="1" x14ac:dyDescent="0.3">
      <c r="M1084" s="5"/>
    </row>
    <row r="1085" spans="13:13" ht="15" customHeight="1" x14ac:dyDescent="0.3">
      <c r="M1085" s="5"/>
    </row>
    <row r="1086" spans="13:13" ht="15" customHeight="1" x14ac:dyDescent="0.3">
      <c r="M1086" s="5"/>
    </row>
    <row r="1087" spans="13:13" ht="15" customHeight="1" x14ac:dyDescent="0.3">
      <c r="M1087" s="5"/>
    </row>
    <row r="1088" spans="13:13" ht="15" customHeight="1" x14ac:dyDescent="0.3">
      <c r="M1088" s="5"/>
    </row>
    <row r="1089" spans="13:13" ht="15" customHeight="1" x14ac:dyDescent="0.3">
      <c r="M1089" s="5"/>
    </row>
    <row r="1090" spans="13:13" ht="15" customHeight="1" x14ac:dyDescent="0.3">
      <c r="M1090" s="5"/>
    </row>
    <row r="1091" spans="13:13" ht="15" customHeight="1" x14ac:dyDescent="0.3">
      <c r="M1091" s="5"/>
    </row>
    <row r="1092" spans="13:13" ht="15" customHeight="1" x14ac:dyDescent="0.3">
      <c r="M1092" s="5"/>
    </row>
    <row r="1093" spans="13:13" ht="15" customHeight="1" x14ac:dyDescent="0.3">
      <c r="M1093" s="5"/>
    </row>
    <row r="1094" spans="13:13" ht="15" customHeight="1" x14ac:dyDescent="0.3">
      <c r="M1094" s="5"/>
    </row>
    <row r="1095" spans="13:13" ht="15" customHeight="1" x14ac:dyDescent="0.3">
      <c r="M1095" s="5"/>
    </row>
    <row r="1096" spans="13:13" ht="15" customHeight="1" x14ac:dyDescent="0.3">
      <c r="M1096" s="5"/>
    </row>
    <row r="1097" spans="13:13" ht="15" customHeight="1" x14ac:dyDescent="0.3">
      <c r="M1097" s="5"/>
    </row>
    <row r="1098" spans="13:13" ht="15" customHeight="1" x14ac:dyDescent="0.3">
      <c r="M1098" s="5"/>
    </row>
    <row r="1099" spans="13:13" ht="15" customHeight="1" x14ac:dyDescent="0.3">
      <c r="M1099" s="5"/>
    </row>
    <row r="1100" spans="13:13" ht="15" customHeight="1" x14ac:dyDescent="0.3">
      <c r="M1100" s="5"/>
    </row>
    <row r="1101" spans="13:13" ht="15" customHeight="1" x14ac:dyDescent="0.3">
      <c r="M1101" s="5"/>
    </row>
    <row r="1102" spans="13:13" ht="15" customHeight="1" x14ac:dyDescent="0.3">
      <c r="M1102" s="5"/>
    </row>
    <row r="1103" spans="13:13" ht="15" customHeight="1" x14ac:dyDescent="0.3">
      <c r="M1103" s="5"/>
    </row>
    <row r="1104" spans="13:13" ht="15" customHeight="1" x14ac:dyDescent="0.3">
      <c r="M1104" s="5"/>
    </row>
    <row r="1105" spans="13:13" ht="15" customHeight="1" x14ac:dyDescent="0.3">
      <c r="M1105" s="5"/>
    </row>
    <row r="1106" spans="13:13" ht="15" customHeight="1" x14ac:dyDescent="0.3">
      <c r="M1106" s="5"/>
    </row>
    <row r="1107" spans="13:13" ht="15" customHeight="1" x14ac:dyDescent="0.3">
      <c r="M1107" s="5"/>
    </row>
    <row r="1108" spans="13:13" ht="15" customHeight="1" x14ac:dyDescent="0.3">
      <c r="M1108" s="5"/>
    </row>
    <row r="1109" spans="13:13" ht="15" customHeight="1" x14ac:dyDescent="0.3">
      <c r="M1109" s="5"/>
    </row>
    <row r="1110" spans="13:13" ht="15" customHeight="1" x14ac:dyDescent="0.3">
      <c r="M1110" s="5"/>
    </row>
    <row r="1111" spans="13:13" ht="15" customHeight="1" x14ac:dyDescent="0.3">
      <c r="M1111" s="5"/>
    </row>
    <row r="1112" spans="13:13" ht="15" customHeight="1" x14ac:dyDescent="0.3">
      <c r="M1112" s="5"/>
    </row>
    <row r="1113" spans="13:13" ht="15" customHeight="1" x14ac:dyDescent="0.3">
      <c r="M1113" s="5"/>
    </row>
    <row r="1114" spans="13:13" ht="15" customHeight="1" x14ac:dyDescent="0.3">
      <c r="M1114" s="5"/>
    </row>
    <row r="1115" spans="13:13" ht="15" customHeight="1" x14ac:dyDescent="0.3">
      <c r="M1115" s="5"/>
    </row>
    <row r="1116" spans="13:13" ht="15" customHeight="1" x14ac:dyDescent="0.3">
      <c r="M1116" s="5"/>
    </row>
    <row r="1117" spans="13:13" ht="15" customHeight="1" x14ac:dyDescent="0.3">
      <c r="M1117" s="5"/>
    </row>
    <row r="1118" spans="13:13" ht="15" customHeight="1" x14ac:dyDescent="0.3">
      <c r="M1118" s="5"/>
    </row>
    <row r="1119" spans="13:13" ht="15" customHeight="1" x14ac:dyDescent="0.3">
      <c r="M1119" s="5"/>
    </row>
    <row r="1120" spans="13:13" ht="15" customHeight="1" x14ac:dyDescent="0.3">
      <c r="M1120" s="5"/>
    </row>
    <row r="1121" spans="13:13" ht="15" customHeight="1" x14ac:dyDescent="0.3">
      <c r="M1121" s="5"/>
    </row>
    <row r="1122" spans="13:13" ht="15" customHeight="1" x14ac:dyDescent="0.3">
      <c r="M1122" s="5"/>
    </row>
    <row r="1123" spans="13:13" ht="15" customHeight="1" x14ac:dyDescent="0.3">
      <c r="M1123" s="5"/>
    </row>
    <row r="1124" spans="13:13" ht="15" customHeight="1" x14ac:dyDescent="0.3">
      <c r="M1124" s="5"/>
    </row>
    <row r="1125" spans="13:13" ht="15" customHeight="1" x14ac:dyDescent="0.3">
      <c r="M1125" s="5"/>
    </row>
    <row r="1126" spans="13:13" ht="15" customHeight="1" x14ac:dyDescent="0.3">
      <c r="M1126" s="5"/>
    </row>
    <row r="1127" spans="13:13" ht="15" customHeight="1" x14ac:dyDescent="0.3">
      <c r="M1127" s="5"/>
    </row>
    <row r="1128" spans="13:13" ht="15" customHeight="1" x14ac:dyDescent="0.3">
      <c r="M1128" s="5"/>
    </row>
    <row r="1129" spans="13:13" ht="15" customHeight="1" x14ac:dyDescent="0.3">
      <c r="M1129" s="5"/>
    </row>
    <row r="1130" spans="13:13" ht="15" customHeight="1" x14ac:dyDescent="0.3">
      <c r="M1130" s="5"/>
    </row>
    <row r="1131" spans="13:13" ht="15" customHeight="1" x14ac:dyDescent="0.3">
      <c r="M1131" s="5"/>
    </row>
    <row r="1132" spans="13:13" ht="15" customHeight="1" x14ac:dyDescent="0.3">
      <c r="M1132" s="5"/>
    </row>
    <row r="1133" spans="13:13" ht="15" customHeight="1" x14ac:dyDescent="0.3">
      <c r="M1133" s="5"/>
    </row>
    <row r="1134" spans="13:13" ht="15" customHeight="1" x14ac:dyDescent="0.3">
      <c r="M1134" s="5"/>
    </row>
    <row r="1135" spans="13:13" ht="15" customHeight="1" x14ac:dyDescent="0.3">
      <c r="M1135" s="5"/>
    </row>
    <row r="1136" spans="13:13" ht="15" customHeight="1" x14ac:dyDescent="0.3">
      <c r="M1136" s="5"/>
    </row>
    <row r="1137" spans="13:13" ht="15" customHeight="1" x14ac:dyDescent="0.3">
      <c r="M1137" s="5"/>
    </row>
    <row r="1138" spans="13:13" ht="15" customHeight="1" x14ac:dyDescent="0.3">
      <c r="M1138" s="5"/>
    </row>
    <row r="1139" spans="13:13" ht="15" customHeight="1" x14ac:dyDescent="0.3">
      <c r="M1139" s="5"/>
    </row>
    <row r="1140" spans="13:13" ht="15" customHeight="1" x14ac:dyDescent="0.3">
      <c r="M1140" s="5"/>
    </row>
    <row r="1141" spans="13:13" ht="15" customHeight="1" x14ac:dyDescent="0.3">
      <c r="M1141" s="5"/>
    </row>
    <row r="1142" spans="13:13" ht="15" customHeight="1" x14ac:dyDescent="0.3">
      <c r="M1142" s="5"/>
    </row>
    <row r="1143" spans="13:13" ht="15" customHeight="1" x14ac:dyDescent="0.3">
      <c r="M1143" s="5"/>
    </row>
    <row r="1144" spans="13:13" ht="15" customHeight="1" x14ac:dyDescent="0.3">
      <c r="M1144" s="5"/>
    </row>
    <row r="1145" spans="13:13" ht="15" customHeight="1" x14ac:dyDescent="0.3">
      <c r="M1145" s="5"/>
    </row>
    <row r="1146" spans="13:13" ht="15" customHeight="1" x14ac:dyDescent="0.3">
      <c r="M1146" s="5"/>
    </row>
    <row r="1147" spans="13:13" ht="15" customHeight="1" x14ac:dyDescent="0.3">
      <c r="M1147" s="5"/>
    </row>
    <row r="1148" spans="13:13" ht="15" customHeight="1" x14ac:dyDescent="0.3">
      <c r="M1148" s="5"/>
    </row>
    <row r="1149" spans="13:13" ht="15" customHeight="1" x14ac:dyDescent="0.3">
      <c r="M1149" s="5"/>
    </row>
    <row r="1150" spans="13:13" ht="15" customHeight="1" x14ac:dyDescent="0.3">
      <c r="M1150" s="5"/>
    </row>
    <row r="1151" spans="13:13" ht="15" customHeight="1" x14ac:dyDescent="0.3">
      <c r="M1151" s="5"/>
    </row>
    <row r="1152" spans="13:13" ht="15" customHeight="1" x14ac:dyDescent="0.3">
      <c r="M1152" s="5"/>
    </row>
    <row r="1153" spans="13:13" ht="15" customHeight="1" x14ac:dyDescent="0.3">
      <c r="M1153" s="5"/>
    </row>
    <row r="1154" spans="13:13" ht="15" customHeight="1" x14ac:dyDescent="0.3">
      <c r="M1154" s="5"/>
    </row>
    <row r="1155" spans="13:13" ht="15" customHeight="1" x14ac:dyDescent="0.3">
      <c r="M1155" s="5"/>
    </row>
    <row r="1156" spans="13:13" ht="15" customHeight="1" x14ac:dyDescent="0.3">
      <c r="M1156" s="5"/>
    </row>
    <row r="1157" spans="13:13" ht="15" customHeight="1" x14ac:dyDescent="0.3">
      <c r="M1157" s="5"/>
    </row>
    <row r="1158" spans="13:13" ht="15" customHeight="1" x14ac:dyDescent="0.3">
      <c r="M1158" s="5"/>
    </row>
    <row r="1159" spans="13:13" ht="15" customHeight="1" x14ac:dyDescent="0.3">
      <c r="M1159" s="5"/>
    </row>
    <row r="1160" spans="13:13" ht="15" customHeight="1" x14ac:dyDescent="0.3">
      <c r="M1160" s="5"/>
    </row>
    <row r="1161" spans="13:13" ht="15" customHeight="1" x14ac:dyDescent="0.3">
      <c r="M1161" s="5"/>
    </row>
    <row r="1162" spans="13:13" ht="15" customHeight="1" x14ac:dyDescent="0.3">
      <c r="M1162" s="5"/>
    </row>
    <row r="1163" spans="13:13" ht="15" customHeight="1" x14ac:dyDescent="0.3">
      <c r="M1163" s="5"/>
    </row>
    <row r="1164" spans="13:13" ht="15" customHeight="1" x14ac:dyDescent="0.3">
      <c r="M1164" s="5"/>
    </row>
    <row r="1165" spans="13:13" ht="15" customHeight="1" x14ac:dyDescent="0.3">
      <c r="M1165" s="5"/>
    </row>
    <row r="1166" spans="13:13" ht="15" customHeight="1" x14ac:dyDescent="0.3">
      <c r="M1166" s="5"/>
    </row>
    <row r="1167" spans="13:13" ht="15" customHeight="1" x14ac:dyDescent="0.3">
      <c r="M1167" s="5"/>
    </row>
    <row r="1168" spans="13:13" ht="15" customHeight="1" x14ac:dyDescent="0.3">
      <c r="M1168" s="5"/>
    </row>
    <row r="1169" spans="13:13" ht="15" customHeight="1" x14ac:dyDescent="0.3">
      <c r="M1169" s="5"/>
    </row>
    <row r="1170" spans="13:13" ht="15" customHeight="1" x14ac:dyDescent="0.3">
      <c r="M1170" s="5"/>
    </row>
    <row r="1171" spans="13:13" ht="15" customHeight="1" x14ac:dyDescent="0.3">
      <c r="M1171" s="5"/>
    </row>
    <row r="1172" spans="13:13" ht="15" customHeight="1" x14ac:dyDescent="0.3">
      <c r="M1172" s="5"/>
    </row>
    <row r="1173" spans="13:13" ht="15" customHeight="1" x14ac:dyDescent="0.3">
      <c r="M1173" s="5"/>
    </row>
    <row r="1174" spans="13:13" ht="15" customHeight="1" x14ac:dyDescent="0.3">
      <c r="M1174" s="5"/>
    </row>
    <row r="1175" spans="13:13" ht="15" customHeight="1" x14ac:dyDescent="0.3">
      <c r="M1175" s="5"/>
    </row>
    <row r="1176" spans="13:13" ht="15" customHeight="1" x14ac:dyDescent="0.3">
      <c r="M1176" s="5"/>
    </row>
    <row r="1177" spans="13:13" ht="15" customHeight="1" x14ac:dyDescent="0.3">
      <c r="M1177" s="5"/>
    </row>
    <row r="1178" spans="13:13" ht="15" customHeight="1" x14ac:dyDescent="0.3">
      <c r="M1178" s="5"/>
    </row>
    <row r="1179" spans="13:13" ht="15" customHeight="1" x14ac:dyDescent="0.3">
      <c r="M1179" s="5"/>
    </row>
    <row r="1180" spans="13:13" ht="15" customHeight="1" x14ac:dyDescent="0.3">
      <c r="M1180" s="5"/>
    </row>
    <row r="1181" spans="13:13" ht="15" customHeight="1" x14ac:dyDescent="0.3">
      <c r="M1181" s="5"/>
    </row>
    <row r="1182" spans="13:13" ht="15" customHeight="1" x14ac:dyDescent="0.3">
      <c r="M1182" s="5"/>
    </row>
    <row r="1183" spans="13:13" ht="15" customHeight="1" x14ac:dyDescent="0.3">
      <c r="M1183" s="5"/>
    </row>
    <row r="1184" spans="13:13" ht="15" customHeight="1" x14ac:dyDescent="0.3">
      <c r="M1184" s="5"/>
    </row>
    <row r="1185" spans="13:13" ht="15" customHeight="1" x14ac:dyDescent="0.3">
      <c r="M1185" s="5"/>
    </row>
    <row r="1186" spans="13:13" ht="15" customHeight="1" x14ac:dyDescent="0.3">
      <c r="M1186" s="5"/>
    </row>
    <row r="1187" spans="13:13" ht="15" customHeight="1" x14ac:dyDescent="0.3">
      <c r="M1187" s="5"/>
    </row>
    <row r="1188" spans="13:13" ht="15" customHeight="1" x14ac:dyDescent="0.3">
      <c r="M1188" s="5"/>
    </row>
    <row r="1189" spans="13:13" ht="15" customHeight="1" x14ac:dyDescent="0.3">
      <c r="M1189" s="5"/>
    </row>
    <row r="1190" spans="13:13" ht="15" customHeight="1" x14ac:dyDescent="0.3">
      <c r="M1190" s="5"/>
    </row>
    <row r="1191" spans="13:13" ht="15" customHeight="1" x14ac:dyDescent="0.3">
      <c r="M1191" s="5"/>
    </row>
    <row r="1192" spans="13:13" ht="15" customHeight="1" x14ac:dyDescent="0.3">
      <c r="M1192" s="5"/>
    </row>
    <row r="1193" spans="13:13" ht="15" customHeight="1" x14ac:dyDescent="0.3">
      <c r="M1193" s="5"/>
    </row>
    <row r="1194" spans="13:13" ht="15" customHeight="1" x14ac:dyDescent="0.3">
      <c r="M1194" s="5"/>
    </row>
    <row r="1195" spans="13:13" ht="15" customHeight="1" x14ac:dyDescent="0.3">
      <c r="M1195" s="5"/>
    </row>
    <row r="1196" spans="13:13" ht="15" customHeight="1" x14ac:dyDescent="0.3">
      <c r="M1196" s="5"/>
    </row>
    <row r="1197" spans="13:13" ht="15" customHeight="1" x14ac:dyDescent="0.3">
      <c r="M1197" s="5"/>
    </row>
    <row r="1198" spans="13:13" ht="15" customHeight="1" x14ac:dyDescent="0.3">
      <c r="M1198" s="5"/>
    </row>
    <row r="1199" spans="13:13" ht="15" customHeight="1" x14ac:dyDescent="0.3">
      <c r="M1199" s="5"/>
    </row>
    <row r="1200" spans="13:13" ht="15" customHeight="1" x14ac:dyDescent="0.3">
      <c r="M1200" s="5"/>
    </row>
    <row r="1201" spans="13:13" ht="15" customHeight="1" x14ac:dyDescent="0.3">
      <c r="M1201" s="5"/>
    </row>
    <row r="1202" spans="13:13" ht="15" customHeight="1" x14ac:dyDescent="0.3">
      <c r="M1202" s="5"/>
    </row>
    <row r="1203" spans="13:13" ht="15" customHeight="1" x14ac:dyDescent="0.3">
      <c r="M1203" s="5"/>
    </row>
    <row r="1204" spans="13:13" ht="15" customHeight="1" x14ac:dyDescent="0.3">
      <c r="M1204" s="5"/>
    </row>
    <row r="1205" spans="13:13" ht="15" customHeight="1" x14ac:dyDescent="0.3">
      <c r="M1205" s="5"/>
    </row>
    <row r="1206" spans="13:13" ht="15" customHeight="1" x14ac:dyDescent="0.3">
      <c r="M1206" s="5"/>
    </row>
    <row r="1207" spans="13:13" ht="15" customHeight="1" x14ac:dyDescent="0.3">
      <c r="M1207" s="5"/>
    </row>
    <row r="1208" spans="13:13" ht="15" customHeight="1" x14ac:dyDescent="0.3">
      <c r="M1208" s="5"/>
    </row>
    <row r="1209" spans="13:13" ht="15" customHeight="1" x14ac:dyDescent="0.3">
      <c r="M1209" s="5"/>
    </row>
    <row r="1210" spans="13:13" ht="15" customHeight="1" x14ac:dyDescent="0.3">
      <c r="M1210" s="5"/>
    </row>
    <row r="1211" spans="13:13" ht="15" customHeight="1" x14ac:dyDescent="0.3">
      <c r="M1211" s="5"/>
    </row>
    <row r="1212" spans="13:13" ht="15" customHeight="1" x14ac:dyDescent="0.3">
      <c r="M1212" s="5"/>
    </row>
    <row r="1213" spans="13:13" ht="15" customHeight="1" x14ac:dyDescent="0.3">
      <c r="M1213" s="5"/>
    </row>
    <row r="1214" spans="13:13" ht="15" customHeight="1" x14ac:dyDescent="0.3">
      <c r="M1214" s="5"/>
    </row>
    <row r="1215" spans="13:13" ht="15" customHeight="1" x14ac:dyDescent="0.3">
      <c r="M1215" s="5"/>
    </row>
    <row r="1216" spans="13:13" ht="15" customHeight="1" x14ac:dyDescent="0.3">
      <c r="M1216" s="5"/>
    </row>
    <row r="1217" spans="13:13" ht="15" customHeight="1" x14ac:dyDescent="0.3">
      <c r="M1217" s="5"/>
    </row>
    <row r="1218" spans="13:13" ht="15" customHeight="1" x14ac:dyDescent="0.3">
      <c r="M1218" s="5"/>
    </row>
    <row r="1219" spans="13:13" ht="15" customHeight="1" x14ac:dyDescent="0.3">
      <c r="M1219" s="5"/>
    </row>
    <row r="1220" spans="13:13" ht="15" customHeight="1" x14ac:dyDescent="0.3">
      <c r="M1220" s="5"/>
    </row>
    <row r="1221" spans="13:13" ht="15" customHeight="1" x14ac:dyDescent="0.3">
      <c r="M1221" s="5"/>
    </row>
    <row r="1222" spans="13:13" ht="15" customHeight="1" x14ac:dyDescent="0.3">
      <c r="M1222" s="5"/>
    </row>
    <row r="1223" spans="13:13" ht="15" customHeight="1" x14ac:dyDescent="0.3">
      <c r="M1223" s="5"/>
    </row>
    <row r="1224" spans="13:13" ht="15" customHeight="1" x14ac:dyDescent="0.3">
      <c r="M1224" s="5"/>
    </row>
    <row r="1225" spans="13:13" ht="15" customHeight="1" x14ac:dyDescent="0.3">
      <c r="M1225" s="5"/>
    </row>
    <row r="1226" spans="13:13" ht="15" customHeight="1" x14ac:dyDescent="0.3">
      <c r="M1226" s="5"/>
    </row>
    <row r="1227" spans="13:13" ht="15" customHeight="1" x14ac:dyDescent="0.3">
      <c r="M1227" s="5"/>
    </row>
    <row r="1228" spans="13:13" ht="15" customHeight="1" x14ac:dyDescent="0.3">
      <c r="M1228" s="5"/>
    </row>
    <row r="1229" spans="13:13" ht="15" customHeight="1" x14ac:dyDescent="0.3">
      <c r="M1229" s="5"/>
    </row>
    <row r="1230" spans="13:13" ht="15" customHeight="1" x14ac:dyDescent="0.3">
      <c r="M1230" s="5"/>
    </row>
    <row r="1231" spans="13:13" ht="15" customHeight="1" x14ac:dyDescent="0.3">
      <c r="M1231" s="5"/>
    </row>
    <row r="1232" spans="13:13" ht="15" customHeight="1" x14ac:dyDescent="0.3">
      <c r="M1232" s="5"/>
    </row>
    <row r="1233" spans="13:13" ht="15" customHeight="1" x14ac:dyDescent="0.3">
      <c r="M1233" s="5"/>
    </row>
    <row r="1234" spans="13:13" ht="15" customHeight="1" x14ac:dyDescent="0.3">
      <c r="M1234" s="5"/>
    </row>
    <row r="1235" spans="13:13" ht="15" customHeight="1" x14ac:dyDescent="0.3">
      <c r="M1235" s="5"/>
    </row>
    <row r="1236" spans="13:13" ht="15" customHeight="1" x14ac:dyDescent="0.3">
      <c r="M1236" s="5"/>
    </row>
    <row r="1237" spans="13:13" ht="15" customHeight="1" x14ac:dyDescent="0.3">
      <c r="M1237" s="5"/>
    </row>
    <row r="1238" spans="13:13" ht="15" customHeight="1" x14ac:dyDescent="0.3">
      <c r="M1238" s="5"/>
    </row>
    <row r="1239" spans="13:13" ht="15" customHeight="1" x14ac:dyDescent="0.3">
      <c r="M1239" s="5"/>
    </row>
    <row r="1240" spans="13:13" ht="15" customHeight="1" x14ac:dyDescent="0.3">
      <c r="M1240" s="5"/>
    </row>
    <row r="1241" spans="13:13" ht="15" customHeight="1" x14ac:dyDescent="0.3">
      <c r="M1241" s="5"/>
    </row>
    <row r="1242" spans="13:13" ht="15" customHeight="1" x14ac:dyDescent="0.3">
      <c r="M1242" s="5"/>
    </row>
    <row r="1243" spans="13:13" ht="15" customHeight="1" x14ac:dyDescent="0.3">
      <c r="M1243" s="5"/>
    </row>
    <row r="1244" spans="13:13" ht="15" customHeight="1" x14ac:dyDescent="0.3">
      <c r="M1244" s="5"/>
    </row>
    <row r="1245" spans="13:13" ht="15" customHeight="1" x14ac:dyDescent="0.3">
      <c r="M1245" s="5"/>
    </row>
    <row r="1246" spans="13:13" ht="15" customHeight="1" x14ac:dyDescent="0.3">
      <c r="M1246" s="5"/>
    </row>
    <row r="1247" spans="13:13" ht="15" customHeight="1" x14ac:dyDescent="0.3">
      <c r="M1247" s="5"/>
    </row>
    <row r="1248" spans="13:13" ht="15" customHeight="1" x14ac:dyDescent="0.3">
      <c r="M1248" s="5"/>
    </row>
    <row r="1249" spans="13:13" ht="15" customHeight="1" x14ac:dyDescent="0.3">
      <c r="M1249" s="5"/>
    </row>
    <row r="1250" spans="13:13" ht="15" customHeight="1" x14ac:dyDescent="0.3">
      <c r="M1250" s="5"/>
    </row>
    <row r="1251" spans="13:13" ht="15" customHeight="1" x14ac:dyDescent="0.3">
      <c r="M1251" s="5"/>
    </row>
    <row r="1252" spans="13:13" ht="15" customHeight="1" x14ac:dyDescent="0.3">
      <c r="M1252" s="5"/>
    </row>
    <row r="1253" spans="13:13" ht="15" customHeight="1" x14ac:dyDescent="0.3">
      <c r="M1253" s="5"/>
    </row>
    <row r="1254" spans="13:13" ht="15" customHeight="1" x14ac:dyDescent="0.3">
      <c r="M1254" s="5"/>
    </row>
    <row r="1255" spans="13:13" ht="15" customHeight="1" x14ac:dyDescent="0.3">
      <c r="M1255" s="5"/>
    </row>
    <row r="1256" spans="13:13" ht="15" customHeight="1" x14ac:dyDescent="0.3">
      <c r="M1256" s="5"/>
    </row>
    <row r="1257" spans="13:13" ht="15" customHeight="1" x14ac:dyDescent="0.3">
      <c r="M1257" s="5"/>
    </row>
    <row r="1258" spans="13:13" ht="15" customHeight="1" x14ac:dyDescent="0.3">
      <c r="M1258" s="5"/>
    </row>
    <row r="1259" spans="13:13" ht="15" customHeight="1" x14ac:dyDescent="0.3">
      <c r="M1259" s="5"/>
    </row>
    <row r="1260" spans="13:13" ht="15" customHeight="1" x14ac:dyDescent="0.3">
      <c r="M1260" s="5"/>
    </row>
    <row r="1261" spans="13:13" ht="15" customHeight="1" x14ac:dyDescent="0.3">
      <c r="M1261" s="5"/>
    </row>
    <row r="1262" spans="13:13" ht="15" customHeight="1" x14ac:dyDescent="0.3">
      <c r="M1262" s="5"/>
    </row>
    <row r="1263" spans="13:13" ht="15" customHeight="1" x14ac:dyDescent="0.3">
      <c r="M1263" s="5"/>
    </row>
    <row r="1264" spans="13:13" ht="15" customHeight="1" x14ac:dyDescent="0.3">
      <c r="M1264" s="5"/>
    </row>
    <row r="1265" spans="13:13" ht="15" customHeight="1" x14ac:dyDescent="0.3">
      <c r="M1265" s="5"/>
    </row>
    <row r="1266" spans="13:13" ht="15" customHeight="1" x14ac:dyDescent="0.3">
      <c r="M1266" s="5"/>
    </row>
    <row r="1267" spans="13:13" ht="15" customHeight="1" x14ac:dyDescent="0.3">
      <c r="M1267" s="5"/>
    </row>
    <row r="1268" spans="13:13" ht="15" customHeight="1" x14ac:dyDescent="0.3">
      <c r="M1268" s="5"/>
    </row>
    <row r="1269" spans="13:13" ht="15" customHeight="1" x14ac:dyDescent="0.3">
      <c r="M1269" s="5"/>
    </row>
    <row r="1270" spans="13:13" ht="15" customHeight="1" x14ac:dyDescent="0.3">
      <c r="M1270" s="5"/>
    </row>
    <row r="1271" spans="13:13" ht="15" customHeight="1" x14ac:dyDescent="0.3">
      <c r="M1271" s="5"/>
    </row>
    <row r="1272" spans="13:13" ht="15" customHeight="1" x14ac:dyDescent="0.3">
      <c r="M1272" s="5"/>
    </row>
    <row r="1273" spans="13:13" ht="15" customHeight="1" x14ac:dyDescent="0.3">
      <c r="M1273" s="5"/>
    </row>
    <row r="1274" spans="13:13" ht="15" customHeight="1" x14ac:dyDescent="0.3">
      <c r="M1274" s="5"/>
    </row>
    <row r="1275" spans="13:13" ht="15" customHeight="1" x14ac:dyDescent="0.3">
      <c r="M1275" s="5"/>
    </row>
    <row r="1276" spans="13:13" ht="15" customHeight="1" x14ac:dyDescent="0.3">
      <c r="M1276" s="5"/>
    </row>
    <row r="1277" spans="13:13" ht="15" customHeight="1" x14ac:dyDescent="0.3">
      <c r="M1277" s="5"/>
    </row>
    <row r="1278" spans="13:13" ht="15" customHeight="1" x14ac:dyDescent="0.3">
      <c r="M1278" s="5"/>
    </row>
    <row r="1279" spans="13:13" ht="15" customHeight="1" x14ac:dyDescent="0.3">
      <c r="M1279" s="5"/>
    </row>
    <row r="1280" spans="13:13" ht="15" customHeight="1" x14ac:dyDescent="0.3">
      <c r="M1280" s="5"/>
    </row>
    <row r="1281" spans="13:13" ht="15" customHeight="1" x14ac:dyDescent="0.3">
      <c r="M1281" s="5"/>
    </row>
    <row r="1282" spans="13:13" ht="15" customHeight="1" x14ac:dyDescent="0.3">
      <c r="M1282" s="5"/>
    </row>
    <row r="1283" spans="13:13" ht="15" customHeight="1" x14ac:dyDescent="0.3">
      <c r="M1283" s="5"/>
    </row>
    <row r="1284" spans="13:13" ht="15" customHeight="1" x14ac:dyDescent="0.3">
      <c r="M1284" s="5"/>
    </row>
    <row r="1285" spans="13:13" ht="15" customHeight="1" x14ac:dyDescent="0.3">
      <c r="M1285" s="5"/>
    </row>
    <row r="1286" spans="13:13" ht="15" customHeight="1" x14ac:dyDescent="0.3">
      <c r="M1286" s="5"/>
    </row>
    <row r="1287" spans="13:13" ht="15" customHeight="1" x14ac:dyDescent="0.3">
      <c r="M1287" s="5"/>
    </row>
    <row r="1288" spans="13:13" ht="15" customHeight="1" x14ac:dyDescent="0.3">
      <c r="M1288" s="5"/>
    </row>
    <row r="1289" spans="13:13" ht="15" customHeight="1" x14ac:dyDescent="0.3">
      <c r="M1289" s="5"/>
    </row>
    <row r="1290" spans="13:13" ht="15" customHeight="1" x14ac:dyDescent="0.3">
      <c r="M1290" s="5"/>
    </row>
    <row r="1291" spans="13:13" ht="15" customHeight="1" x14ac:dyDescent="0.3">
      <c r="M1291" s="5"/>
    </row>
    <row r="1292" spans="13:13" ht="15" customHeight="1" x14ac:dyDescent="0.3">
      <c r="M1292" s="5"/>
    </row>
    <row r="1293" spans="13:13" ht="15" customHeight="1" x14ac:dyDescent="0.3">
      <c r="M1293" s="5"/>
    </row>
    <row r="1294" spans="13:13" ht="15" customHeight="1" x14ac:dyDescent="0.3">
      <c r="M1294" s="5"/>
    </row>
    <row r="1295" spans="13:13" ht="15" customHeight="1" x14ac:dyDescent="0.3">
      <c r="M1295" s="5"/>
    </row>
    <row r="1296" spans="13:13" ht="15" customHeight="1" x14ac:dyDescent="0.3">
      <c r="M1296" s="5"/>
    </row>
    <row r="1297" spans="13:13" ht="15" customHeight="1" x14ac:dyDescent="0.3">
      <c r="M1297" s="5"/>
    </row>
    <row r="1298" spans="13:13" ht="15" customHeight="1" x14ac:dyDescent="0.3">
      <c r="M1298" s="5"/>
    </row>
    <row r="1299" spans="13:13" ht="15" customHeight="1" x14ac:dyDescent="0.3">
      <c r="M1299" s="5"/>
    </row>
    <row r="1300" spans="13:13" ht="15" customHeight="1" x14ac:dyDescent="0.3">
      <c r="M1300" s="5"/>
    </row>
    <row r="1301" spans="13:13" ht="15" customHeight="1" x14ac:dyDescent="0.3">
      <c r="M1301" s="5"/>
    </row>
    <row r="1302" spans="13:13" ht="15" customHeight="1" x14ac:dyDescent="0.3">
      <c r="M1302" s="5"/>
    </row>
    <row r="1303" spans="13:13" ht="15" customHeight="1" x14ac:dyDescent="0.3">
      <c r="M1303" s="5"/>
    </row>
    <row r="1304" spans="13:13" ht="15" customHeight="1" x14ac:dyDescent="0.3">
      <c r="M1304" s="5"/>
    </row>
    <row r="1305" spans="13:13" ht="15" customHeight="1" x14ac:dyDescent="0.3">
      <c r="M1305" s="5"/>
    </row>
    <row r="1306" spans="13:13" ht="15" customHeight="1" x14ac:dyDescent="0.3">
      <c r="M1306" s="5"/>
    </row>
    <row r="1307" spans="13:13" ht="15" customHeight="1" x14ac:dyDescent="0.3">
      <c r="M1307" s="5"/>
    </row>
    <row r="1308" spans="13:13" ht="15" customHeight="1" x14ac:dyDescent="0.3">
      <c r="M1308" s="5"/>
    </row>
    <row r="1309" spans="13:13" ht="15" customHeight="1" x14ac:dyDescent="0.3">
      <c r="M1309" s="5"/>
    </row>
    <row r="1310" spans="13:13" ht="15" customHeight="1" x14ac:dyDescent="0.3">
      <c r="M1310" s="5"/>
    </row>
    <row r="1311" spans="13:13" ht="15" customHeight="1" x14ac:dyDescent="0.3">
      <c r="M1311" s="5"/>
    </row>
    <row r="1312" spans="13:13" ht="15" customHeight="1" x14ac:dyDescent="0.3">
      <c r="M1312" s="5"/>
    </row>
    <row r="1313" spans="13:13" ht="15" customHeight="1" x14ac:dyDescent="0.3">
      <c r="M1313" s="5"/>
    </row>
    <row r="1314" spans="13:13" ht="15" customHeight="1" x14ac:dyDescent="0.3">
      <c r="M1314" s="5"/>
    </row>
    <row r="1315" spans="13:13" ht="15" customHeight="1" x14ac:dyDescent="0.3">
      <c r="M1315" s="5"/>
    </row>
    <row r="1316" spans="13:13" ht="15" customHeight="1" x14ac:dyDescent="0.3">
      <c r="M1316" s="5"/>
    </row>
    <row r="1317" spans="13:13" ht="15" customHeight="1" x14ac:dyDescent="0.3">
      <c r="M1317" s="5"/>
    </row>
    <row r="1318" spans="13:13" ht="15" customHeight="1" x14ac:dyDescent="0.3">
      <c r="M1318" s="5"/>
    </row>
    <row r="1319" spans="13:13" ht="15" customHeight="1" x14ac:dyDescent="0.3">
      <c r="M1319" s="5"/>
    </row>
    <row r="1320" spans="13:13" ht="15" customHeight="1" x14ac:dyDescent="0.3">
      <c r="M1320" s="5"/>
    </row>
    <row r="1321" spans="13:13" ht="15" customHeight="1" x14ac:dyDescent="0.3">
      <c r="M1321" s="5"/>
    </row>
    <row r="1322" spans="13:13" ht="15" customHeight="1" x14ac:dyDescent="0.3">
      <c r="M1322" s="5"/>
    </row>
    <row r="1323" spans="13:13" ht="15" customHeight="1" x14ac:dyDescent="0.3">
      <c r="M1323" s="5"/>
    </row>
    <row r="1324" spans="13:13" ht="15" customHeight="1" x14ac:dyDescent="0.3">
      <c r="M1324" s="5"/>
    </row>
    <row r="1325" spans="13:13" ht="15" customHeight="1" x14ac:dyDescent="0.3">
      <c r="M1325" s="5"/>
    </row>
    <row r="1326" spans="13:13" ht="15" customHeight="1" x14ac:dyDescent="0.3">
      <c r="M1326" s="5"/>
    </row>
    <row r="1327" spans="13:13" ht="15" customHeight="1" x14ac:dyDescent="0.3">
      <c r="M1327" s="5"/>
    </row>
    <row r="1328" spans="13:13" ht="15" customHeight="1" x14ac:dyDescent="0.3">
      <c r="M1328" s="5"/>
    </row>
    <row r="1329" spans="13:13" ht="15" customHeight="1" x14ac:dyDescent="0.3">
      <c r="M1329" s="5"/>
    </row>
    <row r="1330" spans="13:13" ht="15" customHeight="1" x14ac:dyDescent="0.3">
      <c r="M1330" s="5"/>
    </row>
    <row r="1331" spans="13:13" ht="15" customHeight="1" x14ac:dyDescent="0.3">
      <c r="M1331" s="5"/>
    </row>
    <row r="1332" spans="13:13" ht="15" customHeight="1" x14ac:dyDescent="0.3">
      <c r="M1332" s="5"/>
    </row>
    <row r="1333" spans="13:13" ht="15" customHeight="1" x14ac:dyDescent="0.3">
      <c r="M1333" s="5"/>
    </row>
    <row r="1334" spans="13:13" ht="15" customHeight="1" x14ac:dyDescent="0.3">
      <c r="M1334" s="5"/>
    </row>
    <row r="1335" spans="13:13" ht="15" customHeight="1" x14ac:dyDescent="0.3">
      <c r="M1335" s="5"/>
    </row>
    <row r="1336" spans="13:13" ht="15" customHeight="1" x14ac:dyDescent="0.3">
      <c r="M1336" s="5"/>
    </row>
    <row r="1337" spans="13:13" ht="15" customHeight="1" x14ac:dyDescent="0.3">
      <c r="M1337" s="5"/>
    </row>
    <row r="1338" spans="13:13" ht="15" customHeight="1" x14ac:dyDescent="0.3">
      <c r="M1338" s="5"/>
    </row>
    <row r="1339" spans="13:13" ht="15" customHeight="1" x14ac:dyDescent="0.3">
      <c r="M1339" s="5"/>
    </row>
    <row r="1340" spans="13:13" ht="15" customHeight="1" x14ac:dyDescent="0.3">
      <c r="M1340" s="5"/>
    </row>
    <row r="1341" spans="13:13" ht="15" customHeight="1" x14ac:dyDescent="0.3">
      <c r="M1341" s="5"/>
    </row>
    <row r="1342" spans="13:13" ht="15" customHeight="1" x14ac:dyDescent="0.3">
      <c r="M1342" s="5"/>
    </row>
    <row r="1343" spans="13:13" ht="15" customHeight="1" x14ac:dyDescent="0.3">
      <c r="M1343" s="5"/>
    </row>
    <row r="1344" spans="13:13" ht="15" customHeight="1" x14ac:dyDescent="0.3">
      <c r="M1344" s="5"/>
    </row>
    <row r="1345" spans="13:13" ht="15" customHeight="1" x14ac:dyDescent="0.3">
      <c r="M1345" s="5"/>
    </row>
    <row r="1346" spans="13:13" ht="15" customHeight="1" x14ac:dyDescent="0.3">
      <c r="M1346" s="5"/>
    </row>
    <row r="1347" spans="13:13" ht="15" customHeight="1" x14ac:dyDescent="0.3">
      <c r="M1347" s="5"/>
    </row>
    <row r="1348" spans="13:13" ht="15" customHeight="1" x14ac:dyDescent="0.3">
      <c r="M1348" s="5"/>
    </row>
    <row r="1349" spans="13:13" ht="15" customHeight="1" x14ac:dyDescent="0.3">
      <c r="M1349" s="5"/>
    </row>
    <row r="1350" spans="13:13" ht="15" customHeight="1" x14ac:dyDescent="0.3">
      <c r="M1350" s="5"/>
    </row>
    <row r="1351" spans="13:13" ht="15" customHeight="1" x14ac:dyDescent="0.3">
      <c r="M1351" s="5"/>
    </row>
    <row r="1352" spans="13:13" ht="15" customHeight="1" x14ac:dyDescent="0.3">
      <c r="M1352" s="5"/>
    </row>
    <row r="1353" spans="13:13" ht="15" customHeight="1" x14ac:dyDescent="0.3">
      <c r="M1353" s="5"/>
    </row>
    <row r="1354" spans="13:13" ht="15" customHeight="1" x14ac:dyDescent="0.3">
      <c r="M1354" s="5"/>
    </row>
    <row r="1355" spans="13:13" ht="15" customHeight="1" x14ac:dyDescent="0.3">
      <c r="M1355" s="5"/>
    </row>
    <row r="1356" spans="13:13" ht="15" customHeight="1" x14ac:dyDescent="0.3">
      <c r="M1356" s="5"/>
    </row>
    <row r="1357" spans="13:13" ht="15" customHeight="1" x14ac:dyDescent="0.3">
      <c r="M1357" s="5"/>
    </row>
    <row r="1358" spans="13:13" ht="15" customHeight="1" x14ac:dyDescent="0.3">
      <c r="M1358" s="5"/>
    </row>
    <row r="1359" spans="13:13" ht="15" customHeight="1" x14ac:dyDescent="0.3">
      <c r="M1359" s="5"/>
    </row>
    <row r="1360" spans="13:13" ht="15" customHeight="1" x14ac:dyDescent="0.3">
      <c r="M1360" s="5"/>
    </row>
    <row r="1361" spans="13:13" ht="15" customHeight="1" x14ac:dyDescent="0.3">
      <c r="M1361" s="5"/>
    </row>
    <row r="1362" spans="13:13" ht="15" customHeight="1" x14ac:dyDescent="0.3">
      <c r="M1362" s="5"/>
    </row>
    <row r="1363" spans="13:13" ht="15" customHeight="1" x14ac:dyDescent="0.3">
      <c r="M1363" s="5"/>
    </row>
    <row r="1364" spans="13:13" ht="15" customHeight="1" x14ac:dyDescent="0.3">
      <c r="M1364" s="5"/>
    </row>
    <row r="1365" spans="13:13" ht="15" customHeight="1" x14ac:dyDescent="0.3">
      <c r="M1365" s="5"/>
    </row>
    <row r="1366" spans="13:13" ht="15" customHeight="1" x14ac:dyDescent="0.3">
      <c r="M1366" s="5"/>
    </row>
    <row r="1367" spans="13:13" ht="15" customHeight="1" x14ac:dyDescent="0.3">
      <c r="M1367" s="5"/>
    </row>
    <row r="1368" spans="13:13" ht="15" customHeight="1" x14ac:dyDescent="0.3">
      <c r="M1368" s="5"/>
    </row>
    <row r="1369" spans="13:13" ht="15" customHeight="1" x14ac:dyDescent="0.3">
      <c r="M1369" s="5"/>
    </row>
    <row r="1370" spans="13:13" ht="15" customHeight="1" x14ac:dyDescent="0.3">
      <c r="M1370" s="5"/>
    </row>
    <row r="1371" spans="13:13" ht="15" customHeight="1" x14ac:dyDescent="0.3">
      <c r="M1371" s="5"/>
    </row>
    <row r="1372" spans="13:13" ht="15" customHeight="1" x14ac:dyDescent="0.3">
      <c r="M1372" s="5"/>
    </row>
    <row r="1373" spans="13:13" ht="15" customHeight="1" x14ac:dyDescent="0.3">
      <c r="M1373" s="5"/>
    </row>
    <row r="1374" spans="13:13" ht="15" customHeight="1" x14ac:dyDescent="0.3">
      <c r="M1374" s="5"/>
    </row>
    <row r="1375" spans="13:13" ht="15" customHeight="1" x14ac:dyDescent="0.3">
      <c r="M1375" s="5"/>
    </row>
    <row r="1376" spans="13:13" ht="15" customHeight="1" x14ac:dyDescent="0.3">
      <c r="M1376" s="5"/>
    </row>
    <row r="1377" spans="13:13" ht="15" customHeight="1" x14ac:dyDescent="0.3">
      <c r="M1377" s="5"/>
    </row>
    <row r="1378" spans="13:13" ht="15" customHeight="1" x14ac:dyDescent="0.3">
      <c r="M1378" s="5"/>
    </row>
    <row r="1379" spans="13:13" ht="15" customHeight="1" x14ac:dyDescent="0.3">
      <c r="M1379" s="5"/>
    </row>
    <row r="1380" spans="13:13" ht="15" customHeight="1" x14ac:dyDescent="0.3">
      <c r="M1380" s="5"/>
    </row>
    <row r="1381" spans="13:13" ht="15" customHeight="1" x14ac:dyDescent="0.3">
      <c r="M1381" s="5"/>
    </row>
    <row r="1382" spans="13:13" ht="15" customHeight="1" x14ac:dyDescent="0.3">
      <c r="M1382" s="5"/>
    </row>
    <row r="1383" spans="13:13" ht="15" customHeight="1" x14ac:dyDescent="0.3">
      <c r="M1383" s="5"/>
    </row>
    <row r="1384" spans="13:13" ht="15" customHeight="1" x14ac:dyDescent="0.3">
      <c r="M1384" s="5"/>
    </row>
    <row r="1385" spans="13:13" ht="15" customHeight="1" x14ac:dyDescent="0.3">
      <c r="M1385" s="5"/>
    </row>
    <row r="1386" spans="13:13" ht="15" customHeight="1" x14ac:dyDescent="0.3">
      <c r="M1386" s="5"/>
    </row>
    <row r="1387" spans="13:13" ht="15" customHeight="1" x14ac:dyDescent="0.3">
      <c r="M1387" s="5"/>
    </row>
    <row r="1388" spans="13:13" ht="15" customHeight="1" x14ac:dyDescent="0.3">
      <c r="M1388" s="5"/>
    </row>
    <row r="1389" spans="13:13" ht="15" customHeight="1" x14ac:dyDescent="0.3">
      <c r="M1389" s="5"/>
    </row>
    <row r="1390" spans="13:13" ht="15" customHeight="1" x14ac:dyDescent="0.3">
      <c r="M1390" s="5"/>
    </row>
    <row r="1391" spans="13:13" ht="15" customHeight="1" x14ac:dyDescent="0.3">
      <c r="M1391" s="5"/>
    </row>
    <row r="1392" spans="13:13" ht="15" customHeight="1" x14ac:dyDescent="0.3">
      <c r="M1392" s="5"/>
    </row>
    <row r="1393" spans="13:13" ht="15" customHeight="1" x14ac:dyDescent="0.3">
      <c r="M1393" s="5"/>
    </row>
    <row r="1394" spans="13:13" ht="15" customHeight="1" x14ac:dyDescent="0.3">
      <c r="M1394" s="5"/>
    </row>
    <row r="1395" spans="13:13" ht="15" customHeight="1" x14ac:dyDescent="0.3">
      <c r="M1395" s="5"/>
    </row>
    <row r="1396" spans="13:13" ht="15" customHeight="1" x14ac:dyDescent="0.3">
      <c r="M1396" s="5"/>
    </row>
    <row r="1397" spans="13:13" ht="15" customHeight="1" x14ac:dyDescent="0.3">
      <c r="M1397" s="5"/>
    </row>
    <row r="1398" spans="13:13" ht="15" customHeight="1" x14ac:dyDescent="0.3">
      <c r="M1398" s="5"/>
    </row>
    <row r="1399" spans="13:13" ht="15" customHeight="1" x14ac:dyDescent="0.3">
      <c r="M1399" s="5"/>
    </row>
    <row r="1400" spans="13:13" ht="15" customHeight="1" x14ac:dyDescent="0.3">
      <c r="M1400" s="5"/>
    </row>
    <row r="1401" spans="13:13" ht="15" customHeight="1" x14ac:dyDescent="0.3">
      <c r="M1401" s="5"/>
    </row>
    <row r="1402" spans="13:13" ht="15" customHeight="1" x14ac:dyDescent="0.3">
      <c r="M1402" s="5"/>
    </row>
    <row r="1403" spans="13:13" ht="15" customHeight="1" x14ac:dyDescent="0.3">
      <c r="M1403" s="5"/>
    </row>
    <row r="1404" spans="13:13" ht="15" customHeight="1" x14ac:dyDescent="0.3">
      <c r="M1404" s="5"/>
    </row>
    <row r="1405" spans="13:13" ht="15" customHeight="1" x14ac:dyDescent="0.3">
      <c r="M1405" s="5"/>
    </row>
    <row r="1406" spans="13:13" ht="15" customHeight="1" x14ac:dyDescent="0.3">
      <c r="M1406" s="5"/>
    </row>
    <row r="1407" spans="13:13" ht="15" customHeight="1" x14ac:dyDescent="0.3">
      <c r="M1407" s="5"/>
    </row>
    <row r="1408" spans="13:13" ht="15" customHeight="1" x14ac:dyDescent="0.3">
      <c r="M1408" s="5"/>
    </row>
    <row r="1409" spans="13:13" ht="15" customHeight="1" x14ac:dyDescent="0.3">
      <c r="M1409" s="5"/>
    </row>
    <row r="1410" spans="13:13" ht="15" customHeight="1" x14ac:dyDescent="0.3">
      <c r="M1410" s="5"/>
    </row>
    <row r="1411" spans="13:13" ht="15" customHeight="1" x14ac:dyDescent="0.3">
      <c r="M1411" s="5"/>
    </row>
    <row r="1412" spans="13:13" ht="15" customHeight="1" x14ac:dyDescent="0.3">
      <c r="M1412" s="5"/>
    </row>
    <row r="1413" spans="13:13" ht="15" customHeight="1" x14ac:dyDescent="0.3">
      <c r="M1413" s="5"/>
    </row>
    <row r="1414" spans="13:13" ht="15" customHeight="1" x14ac:dyDescent="0.3">
      <c r="M1414" s="5"/>
    </row>
    <row r="1415" spans="13:13" ht="15" customHeight="1" x14ac:dyDescent="0.3">
      <c r="M1415" s="5"/>
    </row>
    <row r="1416" spans="13:13" ht="15" customHeight="1" x14ac:dyDescent="0.3">
      <c r="M1416" s="5"/>
    </row>
    <row r="1417" spans="13:13" ht="15" customHeight="1" x14ac:dyDescent="0.3">
      <c r="M1417" s="5"/>
    </row>
    <row r="1418" spans="13:13" ht="15" customHeight="1" x14ac:dyDescent="0.3">
      <c r="M1418" s="5"/>
    </row>
    <row r="1419" spans="13:13" ht="15" customHeight="1" x14ac:dyDescent="0.3">
      <c r="M1419" s="5"/>
    </row>
    <row r="1420" spans="13:13" ht="15" customHeight="1" x14ac:dyDescent="0.3">
      <c r="M1420" s="5"/>
    </row>
    <row r="1421" spans="13:13" ht="15" customHeight="1" x14ac:dyDescent="0.3">
      <c r="M1421" s="5"/>
    </row>
    <row r="1422" spans="13:13" ht="15" customHeight="1" x14ac:dyDescent="0.3">
      <c r="M1422" s="5"/>
    </row>
    <row r="1423" spans="13:13" ht="15" customHeight="1" x14ac:dyDescent="0.3">
      <c r="M1423" s="5"/>
    </row>
    <row r="1424" spans="13:13" ht="15" customHeight="1" x14ac:dyDescent="0.3">
      <c r="M1424" s="5"/>
    </row>
    <row r="1425" spans="13:13" ht="15" customHeight="1" x14ac:dyDescent="0.3">
      <c r="M1425" s="5"/>
    </row>
    <row r="1426" spans="13:13" ht="15" customHeight="1" x14ac:dyDescent="0.3">
      <c r="M1426" s="5"/>
    </row>
    <row r="1427" spans="13:13" ht="15" customHeight="1" x14ac:dyDescent="0.3">
      <c r="M1427" s="5"/>
    </row>
    <row r="1428" spans="13:13" ht="15" customHeight="1" x14ac:dyDescent="0.3">
      <c r="M1428" s="5"/>
    </row>
    <row r="1429" spans="13:13" ht="15" customHeight="1" x14ac:dyDescent="0.3">
      <c r="M1429" s="5"/>
    </row>
    <row r="1430" spans="13:13" ht="15" customHeight="1" x14ac:dyDescent="0.3">
      <c r="M1430" s="5"/>
    </row>
    <row r="1431" spans="13:13" ht="15" customHeight="1" x14ac:dyDescent="0.3">
      <c r="M1431" s="5"/>
    </row>
    <row r="1432" spans="13:13" ht="15" customHeight="1" x14ac:dyDescent="0.3">
      <c r="M1432" s="5"/>
    </row>
    <row r="1433" spans="13:13" ht="15" customHeight="1" x14ac:dyDescent="0.3">
      <c r="M1433" s="5"/>
    </row>
    <row r="1434" spans="13:13" ht="15" customHeight="1" x14ac:dyDescent="0.3">
      <c r="M1434" s="5"/>
    </row>
    <row r="1435" spans="13:13" ht="15" customHeight="1" x14ac:dyDescent="0.3">
      <c r="M1435" s="5"/>
    </row>
    <row r="1436" spans="13:13" ht="15" customHeight="1" x14ac:dyDescent="0.3">
      <c r="M1436" s="5"/>
    </row>
    <row r="1437" spans="13:13" ht="15" customHeight="1" x14ac:dyDescent="0.3">
      <c r="M1437" s="5"/>
    </row>
    <row r="1438" spans="13:13" ht="15" customHeight="1" x14ac:dyDescent="0.3">
      <c r="M1438" s="5"/>
    </row>
    <row r="1439" spans="13:13" ht="15" customHeight="1" x14ac:dyDescent="0.3">
      <c r="M1439" s="5"/>
    </row>
    <row r="1440" spans="13:13" ht="15" customHeight="1" x14ac:dyDescent="0.3">
      <c r="M1440" s="5"/>
    </row>
    <row r="1441" spans="13:13" ht="15" customHeight="1" x14ac:dyDescent="0.3">
      <c r="M1441" s="5"/>
    </row>
    <row r="1442" spans="13:13" ht="15" customHeight="1" x14ac:dyDescent="0.3">
      <c r="M1442" s="5"/>
    </row>
    <row r="1443" spans="13:13" ht="15" customHeight="1" x14ac:dyDescent="0.3">
      <c r="M1443" s="5"/>
    </row>
    <row r="1444" spans="13:13" ht="15" customHeight="1" x14ac:dyDescent="0.3">
      <c r="M1444" s="5"/>
    </row>
    <row r="1445" spans="13:13" ht="15" customHeight="1" x14ac:dyDescent="0.3">
      <c r="M1445" s="5"/>
    </row>
    <row r="1446" spans="13:13" ht="15" customHeight="1" x14ac:dyDescent="0.3">
      <c r="M1446" s="5"/>
    </row>
    <row r="1447" spans="13:13" ht="15" customHeight="1" x14ac:dyDescent="0.3">
      <c r="M1447" s="5"/>
    </row>
    <row r="1448" spans="13:13" ht="15" customHeight="1" x14ac:dyDescent="0.3">
      <c r="M1448" s="5"/>
    </row>
    <row r="1449" spans="13:13" ht="15" customHeight="1" x14ac:dyDescent="0.3">
      <c r="M1449" s="5"/>
    </row>
    <row r="1450" spans="13:13" ht="15" customHeight="1" x14ac:dyDescent="0.3">
      <c r="M1450" s="5"/>
    </row>
    <row r="1451" spans="13:13" ht="15" customHeight="1" x14ac:dyDescent="0.3">
      <c r="M1451" s="5"/>
    </row>
    <row r="1452" spans="13:13" ht="15" customHeight="1" x14ac:dyDescent="0.3">
      <c r="M1452" s="5"/>
    </row>
    <row r="1453" spans="13:13" ht="15" customHeight="1" x14ac:dyDescent="0.3">
      <c r="M1453" s="5"/>
    </row>
    <row r="1454" spans="13:13" ht="15" customHeight="1" x14ac:dyDescent="0.3">
      <c r="M1454" s="5"/>
    </row>
    <row r="1455" spans="13:13" ht="15" customHeight="1" x14ac:dyDescent="0.3">
      <c r="M1455" s="5"/>
    </row>
    <row r="1456" spans="13:13" ht="15" customHeight="1" x14ac:dyDescent="0.3">
      <c r="M1456" s="5"/>
    </row>
    <row r="1457" spans="13:13" ht="15" customHeight="1" x14ac:dyDescent="0.3">
      <c r="M1457" s="5"/>
    </row>
    <row r="1458" spans="13:13" ht="15" customHeight="1" x14ac:dyDescent="0.3">
      <c r="M1458" s="5"/>
    </row>
    <row r="1459" spans="13:13" ht="15" customHeight="1" x14ac:dyDescent="0.3">
      <c r="M1459" s="5"/>
    </row>
    <row r="1460" spans="13:13" ht="15" customHeight="1" x14ac:dyDescent="0.3">
      <c r="M1460" s="5"/>
    </row>
    <row r="1461" spans="13:13" ht="15" customHeight="1" x14ac:dyDescent="0.3">
      <c r="M1461" s="5"/>
    </row>
    <row r="1462" spans="13:13" ht="15" customHeight="1" x14ac:dyDescent="0.3">
      <c r="M1462" s="5"/>
    </row>
    <row r="1463" spans="13:13" ht="15" customHeight="1" x14ac:dyDescent="0.3">
      <c r="M1463" s="5"/>
    </row>
    <row r="1464" spans="13:13" ht="15" customHeight="1" x14ac:dyDescent="0.3">
      <c r="M1464" s="5"/>
    </row>
    <row r="1465" spans="13:13" ht="15" customHeight="1" x14ac:dyDescent="0.3">
      <c r="M1465" s="5"/>
    </row>
    <row r="1466" spans="13:13" ht="15" customHeight="1" x14ac:dyDescent="0.3">
      <c r="M1466" s="5"/>
    </row>
    <row r="1467" spans="13:13" ht="15" customHeight="1" x14ac:dyDescent="0.3">
      <c r="M1467" s="5"/>
    </row>
    <row r="1468" spans="13:13" ht="15" customHeight="1" x14ac:dyDescent="0.3">
      <c r="M1468" s="5"/>
    </row>
    <row r="1469" spans="13:13" ht="15" customHeight="1" x14ac:dyDescent="0.3">
      <c r="M1469" s="5"/>
    </row>
    <row r="1470" spans="13:13" ht="15" customHeight="1" x14ac:dyDescent="0.3">
      <c r="M1470" s="5"/>
    </row>
    <row r="1471" spans="13:13" ht="15" customHeight="1" x14ac:dyDescent="0.3">
      <c r="M1471" s="5"/>
    </row>
    <row r="1472" spans="13:13" ht="15" customHeight="1" x14ac:dyDescent="0.3">
      <c r="M1472" s="5"/>
    </row>
    <row r="1473" spans="13:13" ht="15" customHeight="1" x14ac:dyDescent="0.3">
      <c r="M1473" s="5"/>
    </row>
    <row r="1474" spans="13:13" ht="15" customHeight="1" x14ac:dyDescent="0.3">
      <c r="M1474" s="5"/>
    </row>
    <row r="1475" spans="13:13" ht="15" customHeight="1" x14ac:dyDescent="0.3">
      <c r="M1475" s="5"/>
    </row>
    <row r="1476" spans="13:13" ht="15" customHeight="1" x14ac:dyDescent="0.3">
      <c r="M1476" s="5"/>
    </row>
    <row r="1477" spans="13:13" ht="15" customHeight="1" x14ac:dyDescent="0.3">
      <c r="M1477" s="5"/>
    </row>
    <row r="1478" spans="13:13" ht="15" customHeight="1" x14ac:dyDescent="0.3">
      <c r="M1478" s="5"/>
    </row>
    <row r="1479" spans="13:13" ht="15" customHeight="1" x14ac:dyDescent="0.3">
      <c r="M1479" s="5"/>
    </row>
    <row r="1480" spans="13:13" ht="15" customHeight="1" x14ac:dyDescent="0.3">
      <c r="M1480" s="5"/>
    </row>
    <row r="1481" spans="13:13" ht="15" customHeight="1" x14ac:dyDescent="0.3">
      <c r="M1481" s="5"/>
    </row>
    <row r="1482" spans="13:13" ht="15" customHeight="1" x14ac:dyDescent="0.3">
      <c r="M1482" s="5"/>
    </row>
    <row r="1483" spans="13:13" ht="15" customHeight="1" x14ac:dyDescent="0.3">
      <c r="M1483" s="5"/>
    </row>
    <row r="1484" spans="13:13" ht="15" customHeight="1" x14ac:dyDescent="0.3">
      <c r="M1484" s="5"/>
    </row>
    <row r="1485" spans="13:13" ht="15" customHeight="1" x14ac:dyDescent="0.3">
      <c r="M1485" s="5"/>
    </row>
    <row r="1486" spans="13:13" ht="15" customHeight="1" x14ac:dyDescent="0.3">
      <c r="M1486" s="5"/>
    </row>
    <row r="1487" spans="13:13" ht="15" customHeight="1" x14ac:dyDescent="0.3">
      <c r="M1487" s="5"/>
    </row>
    <row r="1488" spans="13:13" ht="15" customHeight="1" x14ac:dyDescent="0.3">
      <c r="M1488" s="5"/>
    </row>
    <row r="1489" spans="13:13" ht="15" customHeight="1" x14ac:dyDescent="0.3">
      <c r="M1489" s="5"/>
    </row>
    <row r="1490" spans="13:13" ht="15" customHeight="1" x14ac:dyDescent="0.3">
      <c r="M1490" s="5"/>
    </row>
    <row r="1491" spans="13:13" ht="15" customHeight="1" x14ac:dyDescent="0.3">
      <c r="M1491" s="5"/>
    </row>
    <row r="1492" spans="13:13" ht="15" customHeight="1" x14ac:dyDescent="0.3">
      <c r="M1492" s="5"/>
    </row>
    <row r="1493" spans="13:13" ht="15" customHeight="1" x14ac:dyDescent="0.3">
      <c r="M1493" s="5"/>
    </row>
    <row r="1494" spans="13:13" ht="15" customHeight="1" x14ac:dyDescent="0.3">
      <c r="M1494" s="5"/>
    </row>
    <row r="1495" spans="13:13" ht="15" customHeight="1" x14ac:dyDescent="0.3">
      <c r="M1495" s="5"/>
    </row>
    <row r="1496" spans="13:13" ht="15" customHeight="1" x14ac:dyDescent="0.3">
      <c r="M1496" s="5"/>
    </row>
    <row r="1497" spans="13:13" ht="15" customHeight="1" x14ac:dyDescent="0.3">
      <c r="M1497" s="5"/>
    </row>
    <row r="1498" spans="13:13" ht="15" customHeight="1" x14ac:dyDescent="0.3">
      <c r="M1498" s="5"/>
    </row>
    <row r="1499" spans="13:13" ht="15" customHeight="1" x14ac:dyDescent="0.3">
      <c r="M1499" s="5"/>
    </row>
    <row r="1500" spans="13:13" ht="15" customHeight="1" x14ac:dyDescent="0.3">
      <c r="M1500" s="5"/>
    </row>
    <row r="1501" spans="13:13" ht="15" customHeight="1" x14ac:dyDescent="0.3">
      <c r="M1501" s="5"/>
    </row>
    <row r="1502" spans="13:13" ht="15" customHeight="1" x14ac:dyDescent="0.3">
      <c r="M1502" s="5"/>
    </row>
    <row r="1503" spans="13:13" ht="15" customHeight="1" x14ac:dyDescent="0.3">
      <c r="M1503" s="5"/>
    </row>
    <row r="1504" spans="13:13" ht="15" customHeight="1" x14ac:dyDescent="0.3">
      <c r="M1504" s="5"/>
    </row>
    <row r="1505" spans="13:13" ht="15" customHeight="1" x14ac:dyDescent="0.3">
      <c r="M1505" s="5"/>
    </row>
    <row r="1506" spans="13:13" ht="15" customHeight="1" x14ac:dyDescent="0.3">
      <c r="M1506" s="5"/>
    </row>
    <row r="1507" spans="13:13" ht="15" customHeight="1" x14ac:dyDescent="0.3">
      <c r="M1507" s="5"/>
    </row>
    <row r="1508" spans="13:13" ht="15" customHeight="1" x14ac:dyDescent="0.3">
      <c r="M1508" s="5"/>
    </row>
    <row r="1509" spans="13:13" ht="15" customHeight="1" x14ac:dyDescent="0.3">
      <c r="M1509" s="5"/>
    </row>
    <row r="1510" spans="13:13" ht="15" customHeight="1" x14ac:dyDescent="0.3">
      <c r="M1510" s="5"/>
    </row>
    <row r="1511" spans="13:13" ht="15" customHeight="1" x14ac:dyDescent="0.3">
      <c r="M1511" s="5"/>
    </row>
    <row r="1512" spans="13:13" ht="15" customHeight="1" x14ac:dyDescent="0.3">
      <c r="M1512" s="5"/>
    </row>
    <row r="1513" spans="13:13" ht="15" customHeight="1" x14ac:dyDescent="0.3">
      <c r="M1513" s="5"/>
    </row>
    <row r="1514" spans="13:13" ht="15" customHeight="1" x14ac:dyDescent="0.3">
      <c r="M1514" s="5"/>
    </row>
    <row r="1515" spans="13:13" ht="15" customHeight="1" x14ac:dyDescent="0.3">
      <c r="M1515" s="5"/>
    </row>
    <row r="1516" spans="13:13" ht="15" customHeight="1" x14ac:dyDescent="0.3">
      <c r="M1516" s="5"/>
    </row>
    <row r="1517" spans="13:13" ht="15" customHeight="1" x14ac:dyDescent="0.3">
      <c r="M1517" s="5"/>
    </row>
    <row r="1518" spans="13:13" ht="15" customHeight="1" x14ac:dyDescent="0.3">
      <c r="M1518" s="5"/>
    </row>
    <row r="1519" spans="13:13" ht="15" customHeight="1" x14ac:dyDescent="0.3">
      <c r="M1519" s="5"/>
    </row>
    <row r="1520" spans="13:13" ht="15" customHeight="1" x14ac:dyDescent="0.3">
      <c r="M1520" s="5"/>
    </row>
    <row r="1521" spans="13:13" ht="15" customHeight="1" x14ac:dyDescent="0.3">
      <c r="M1521" s="5"/>
    </row>
    <row r="1522" spans="13:13" ht="15" customHeight="1" x14ac:dyDescent="0.3">
      <c r="M1522" s="5"/>
    </row>
    <row r="1523" spans="13:13" ht="15" customHeight="1" x14ac:dyDescent="0.3">
      <c r="M1523" s="5"/>
    </row>
    <row r="1524" spans="13:13" ht="15" customHeight="1" x14ac:dyDescent="0.3">
      <c r="M1524" s="5"/>
    </row>
    <row r="1525" spans="13:13" ht="15" customHeight="1" x14ac:dyDescent="0.3">
      <c r="M1525" s="5"/>
    </row>
    <row r="1526" spans="13:13" ht="15" customHeight="1" x14ac:dyDescent="0.3">
      <c r="M1526" s="5"/>
    </row>
    <row r="1527" spans="13:13" ht="15" customHeight="1" x14ac:dyDescent="0.3">
      <c r="M1527" s="5"/>
    </row>
    <row r="1528" spans="13:13" ht="15" customHeight="1" x14ac:dyDescent="0.3">
      <c r="M1528" s="5"/>
    </row>
    <row r="1529" spans="13:13" ht="15" customHeight="1" x14ac:dyDescent="0.3">
      <c r="M1529" s="5"/>
    </row>
    <row r="1530" spans="13:13" ht="15" customHeight="1" x14ac:dyDescent="0.3">
      <c r="M1530" s="5"/>
    </row>
    <row r="1531" spans="13:13" ht="15" customHeight="1" x14ac:dyDescent="0.3">
      <c r="M1531" s="5"/>
    </row>
    <row r="1532" spans="13:13" ht="15" customHeight="1" x14ac:dyDescent="0.3">
      <c r="M1532" s="5"/>
    </row>
    <row r="1533" spans="13:13" ht="15" customHeight="1" x14ac:dyDescent="0.3">
      <c r="M1533" s="5"/>
    </row>
    <row r="1534" spans="13:13" ht="15" customHeight="1" x14ac:dyDescent="0.3">
      <c r="M1534" s="5"/>
    </row>
    <row r="1535" spans="13:13" ht="15" customHeight="1" x14ac:dyDescent="0.3">
      <c r="M1535" s="5"/>
    </row>
    <row r="1536" spans="13:13" ht="15" customHeight="1" x14ac:dyDescent="0.3">
      <c r="M1536" s="5"/>
    </row>
    <row r="1537" spans="13:13" ht="15" customHeight="1" x14ac:dyDescent="0.3">
      <c r="M1537" s="5"/>
    </row>
    <row r="1538" spans="13:13" ht="15" customHeight="1" x14ac:dyDescent="0.3">
      <c r="M1538" s="5"/>
    </row>
    <row r="1539" spans="13:13" ht="15" customHeight="1" x14ac:dyDescent="0.3">
      <c r="M1539" s="5"/>
    </row>
    <row r="1540" spans="13:13" ht="15" customHeight="1" x14ac:dyDescent="0.3">
      <c r="M1540" s="5"/>
    </row>
    <row r="1541" spans="13:13" ht="15" customHeight="1" x14ac:dyDescent="0.3">
      <c r="M1541" s="5"/>
    </row>
    <row r="1542" spans="13:13" ht="15" customHeight="1" x14ac:dyDescent="0.3">
      <c r="M1542" s="5"/>
    </row>
    <row r="1543" spans="13:13" ht="15" customHeight="1" x14ac:dyDescent="0.3">
      <c r="M1543" s="5"/>
    </row>
    <row r="1544" spans="13:13" ht="15" customHeight="1" x14ac:dyDescent="0.3">
      <c r="M1544" s="5"/>
    </row>
    <row r="1545" spans="13:13" ht="15" customHeight="1" x14ac:dyDescent="0.3">
      <c r="M1545" s="5"/>
    </row>
    <row r="1546" spans="13:13" ht="15" customHeight="1" x14ac:dyDescent="0.3">
      <c r="M1546" s="5"/>
    </row>
    <row r="1547" spans="13:13" ht="15" customHeight="1" x14ac:dyDescent="0.3">
      <c r="M1547" s="5"/>
    </row>
    <row r="1548" spans="13:13" ht="15" customHeight="1" x14ac:dyDescent="0.3">
      <c r="M1548" s="5"/>
    </row>
    <row r="1549" spans="13:13" ht="15" customHeight="1" x14ac:dyDescent="0.3">
      <c r="M1549" s="5"/>
    </row>
    <row r="1550" spans="13:13" ht="15" customHeight="1" x14ac:dyDescent="0.3">
      <c r="M1550" s="5"/>
    </row>
    <row r="1551" spans="13:13" ht="15" customHeight="1" x14ac:dyDescent="0.3">
      <c r="M1551" s="5"/>
    </row>
    <row r="1552" spans="13:13" ht="15" customHeight="1" x14ac:dyDescent="0.3">
      <c r="M1552" s="5"/>
    </row>
    <row r="1553" spans="13:13" ht="15" customHeight="1" x14ac:dyDescent="0.3">
      <c r="M1553" s="5"/>
    </row>
    <row r="1554" spans="13:13" ht="15" customHeight="1" x14ac:dyDescent="0.3">
      <c r="M1554" s="5"/>
    </row>
    <row r="1555" spans="13:13" ht="15" customHeight="1" x14ac:dyDescent="0.3">
      <c r="M1555" s="5"/>
    </row>
    <row r="1556" spans="13:13" ht="15" customHeight="1" x14ac:dyDescent="0.3">
      <c r="M1556" s="5"/>
    </row>
    <row r="1557" spans="13:13" ht="15" customHeight="1" x14ac:dyDescent="0.3">
      <c r="M1557" s="5"/>
    </row>
    <row r="1558" spans="13:13" ht="15" customHeight="1" x14ac:dyDescent="0.3">
      <c r="M1558" s="5"/>
    </row>
    <row r="1559" spans="13:13" ht="15" customHeight="1" x14ac:dyDescent="0.3">
      <c r="M1559" s="5"/>
    </row>
    <row r="1560" spans="13:13" ht="15" customHeight="1" x14ac:dyDescent="0.3">
      <c r="M1560" s="5"/>
    </row>
    <row r="1561" spans="13:13" ht="15" customHeight="1" x14ac:dyDescent="0.3">
      <c r="M1561" s="5"/>
    </row>
    <row r="1562" spans="13:13" ht="15" customHeight="1" x14ac:dyDescent="0.3">
      <c r="M1562" s="5"/>
    </row>
    <row r="1563" spans="13:13" ht="15" customHeight="1" x14ac:dyDescent="0.3">
      <c r="M1563" s="5"/>
    </row>
    <row r="1564" spans="13:13" ht="15" customHeight="1" x14ac:dyDescent="0.3">
      <c r="M1564" s="5"/>
    </row>
    <row r="1565" spans="13:13" ht="15" customHeight="1" x14ac:dyDescent="0.3">
      <c r="M1565" s="5"/>
    </row>
    <row r="1566" spans="13:13" ht="15" customHeight="1" x14ac:dyDescent="0.3">
      <c r="M1566" s="5"/>
    </row>
    <row r="1567" spans="13:13" ht="15" customHeight="1" x14ac:dyDescent="0.3">
      <c r="M1567" s="5"/>
    </row>
    <row r="1568" spans="13:13" ht="15" customHeight="1" x14ac:dyDescent="0.3">
      <c r="M1568" s="5"/>
    </row>
    <row r="1569" spans="13:13" ht="15" customHeight="1" x14ac:dyDescent="0.3">
      <c r="M1569" s="5"/>
    </row>
    <row r="1570" spans="13:13" ht="15" customHeight="1" x14ac:dyDescent="0.3">
      <c r="M1570" s="5"/>
    </row>
    <row r="1571" spans="13:13" ht="15" customHeight="1" x14ac:dyDescent="0.3">
      <c r="M1571" s="5"/>
    </row>
    <row r="1572" spans="13:13" ht="15" customHeight="1" x14ac:dyDescent="0.3">
      <c r="M1572" s="5"/>
    </row>
    <row r="1573" spans="13:13" ht="15" customHeight="1" x14ac:dyDescent="0.3">
      <c r="M1573" s="5"/>
    </row>
    <row r="1574" spans="13:13" ht="15" customHeight="1" x14ac:dyDescent="0.3">
      <c r="M1574" s="5"/>
    </row>
    <row r="1575" spans="13:13" ht="15" customHeight="1" x14ac:dyDescent="0.3">
      <c r="M1575" s="5"/>
    </row>
    <row r="1576" spans="13:13" ht="15" customHeight="1" x14ac:dyDescent="0.3">
      <c r="M1576" s="5"/>
    </row>
    <row r="1577" spans="13:13" ht="15" customHeight="1" x14ac:dyDescent="0.3">
      <c r="M1577" s="5"/>
    </row>
    <row r="1578" spans="13:13" ht="15" customHeight="1" x14ac:dyDescent="0.3">
      <c r="M1578" s="5"/>
    </row>
    <row r="1579" spans="13:13" ht="15" customHeight="1" x14ac:dyDescent="0.3">
      <c r="M1579" s="5"/>
    </row>
    <row r="1580" spans="13:13" ht="15" customHeight="1" x14ac:dyDescent="0.3">
      <c r="M1580" s="5"/>
    </row>
    <row r="1581" spans="13:13" ht="15" customHeight="1" x14ac:dyDescent="0.3">
      <c r="M1581" s="5"/>
    </row>
    <row r="1582" spans="13:13" ht="15" customHeight="1" x14ac:dyDescent="0.3">
      <c r="M1582" s="5"/>
    </row>
    <row r="1583" spans="13:13" ht="15" customHeight="1" x14ac:dyDescent="0.3">
      <c r="M1583" s="5"/>
    </row>
    <row r="1584" spans="13:13" ht="15" customHeight="1" x14ac:dyDescent="0.3">
      <c r="M1584" s="5"/>
    </row>
    <row r="1585" spans="13:13" ht="15" customHeight="1" x14ac:dyDescent="0.3">
      <c r="M1585" s="5"/>
    </row>
    <row r="1586" spans="13:13" ht="15" customHeight="1" x14ac:dyDescent="0.3">
      <c r="M1586" s="5"/>
    </row>
    <row r="1587" spans="13:13" ht="15" customHeight="1" x14ac:dyDescent="0.3">
      <c r="M1587" s="5"/>
    </row>
    <row r="1588" spans="13:13" ht="15" customHeight="1" x14ac:dyDescent="0.3">
      <c r="M1588" s="5"/>
    </row>
    <row r="1589" spans="13:13" ht="15" customHeight="1" x14ac:dyDescent="0.3">
      <c r="M1589" s="5"/>
    </row>
    <row r="1590" spans="13:13" ht="15" customHeight="1" x14ac:dyDescent="0.3">
      <c r="M1590" s="5"/>
    </row>
    <row r="1591" spans="13:13" ht="15" customHeight="1" x14ac:dyDescent="0.3">
      <c r="M1591" s="5"/>
    </row>
    <row r="1592" spans="13:13" ht="15" customHeight="1" x14ac:dyDescent="0.3">
      <c r="M1592" s="5"/>
    </row>
    <row r="1593" spans="13:13" ht="15" customHeight="1" x14ac:dyDescent="0.3">
      <c r="M1593" s="5"/>
    </row>
    <row r="1594" spans="13:13" ht="15" customHeight="1" x14ac:dyDescent="0.3">
      <c r="M1594" s="5"/>
    </row>
    <row r="1595" spans="13:13" ht="15" customHeight="1" x14ac:dyDescent="0.3">
      <c r="M1595" s="5"/>
    </row>
    <row r="1596" spans="13:13" ht="15" customHeight="1" x14ac:dyDescent="0.3">
      <c r="M1596" s="5"/>
    </row>
    <row r="1597" spans="13:13" ht="15" customHeight="1" x14ac:dyDescent="0.3">
      <c r="M1597" s="5"/>
    </row>
    <row r="1598" spans="13:13" ht="15" customHeight="1" x14ac:dyDescent="0.3">
      <c r="M1598" s="5"/>
    </row>
    <row r="1599" spans="13:13" ht="15" customHeight="1" x14ac:dyDescent="0.3">
      <c r="M1599" s="5"/>
    </row>
    <row r="1600" spans="13:13" ht="15" customHeight="1" x14ac:dyDescent="0.3">
      <c r="M1600" s="5"/>
    </row>
    <row r="1601" spans="13:13" ht="15" customHeight="1" x14ac:dyDescent="0.3">
      <c r="M1601" s="5"/>
    </row>
    <row r="1602" spans="13:13" ht="15" customHeight="1" x14ac:dyDescent="0.3">
      <c r="M1602" s="5"/>
    </row>
    <row r="1603" spans="13:13" ht="15" customHeight="1" x14ac:dyDescent="0.3">
      <c r="M1603" s="5"/>
    </row>
    <row r="1604" spans="13:13" ht="15" customHeight="1" x14ac:dyDescent="0.3">
      <c r="M1604" s="5"/>
    </row>
    <row r="1605" spans="13:13" ht="15" customHeight="1" x14ac:dyDescent="0.3">
      <c r="M1605" s="5"/>
    </row>
    <row r="1606" spans="13:13" ht="15" customHeight="1" x14ac:dyDescent="0.3">
      <c r="M1606" s="5"/>
    </row>
    <row r="1607" spans="13:13" ht="15" customHeight="1" x14ac:dyDescent="0.3">
      <c r="M1607" s="5"/>
    </row>
    <row r="1608" spans="13:13" ht="15" customHeight="1" x14ac:dyDescent="0.3">
      <c r="M1608" s="5"/>
    </row>
    <row r="1609" spans="13:13" ht="15" customHeight="1" x14ac:dyDescent="0.3">
      <c r="M1609" s="5"/>
    </row>
    <row r="1610" spans="13:13" ht="15" customHeight="1" x14ac:dyDescent="0.3">
      <c r="M1610" s="5"/>
    </row>
    <row r="1611" spans="13:13" ht="15" customHeight="1" x14ac:dyDescent="0.3">
      <c r="M1611" s="5"/>
    </row>
    <row r="1612" spans="13:13" ht="15" customHeight="1" x14ac:dyDescent="0.3">
      <c r="M1612" s="5"/>
    </row>
    <row r="1613" spans="13:13" ht="15" customHeight="1" x14ac:dyDescent="0.3">
      <c r="M1613" s="5"/>
    </row>
    <row r="1614" spans="13:13" ht="15" customHeight="1" x14ac:dyDescent="0.3">
      <c r="M1614" s="5"/>
    </row>
    <row r="1615" spans="13:13" ht="15" customHeight="1" x14ac:dyDescent="0.3">
      <c r="M1615" s="5"/>
    </row>
    <row r="1616" spans="13:13" ht="15" customHeight="1" x14ac:dyDescent="0.3">
      <c r="M1616" s="5"/>
    </row>
    <row r="1617" spans="13:13" ht="15" customHeight="1" x14ac:dyDescent="0.3">
      <c r="M1617" s="5"/>
    </row>
    <row r="1618" spans="13:13" ht="15" customHeight="1" x14ac:dyDescent="0.3">
      <c r="M1618" s="5"/>
    </row>
    <row r="1619" spans="13:13" ht="15" customHeight="1" x14ac:dyDescent="0.3">
      <c r="M1619" s="5"/>
    </row>
    <row r="1620" spans="13:13" ht="15" customHeight="1" x14ac:dyDescent="0.3">
      <c r="M1620" s="5"/>
    </row>
    <row r="1621" spans="13:13" ht="15" customHeight="1" x14ac:dyDescent="0.3">
      <c r="M1621" s="5"/>
    </row>
    <row r="1622" spans="13:13" ht="15" customHeight="1" x14ac:dyDescent="0.3">
      <c r="M1622" s="5"/>
    </row>
    <row r="1623" spans="13:13" ht="15" customHeight="1" x14ac:dyDescent="0.3">
      <c r="M1623" s="5"/>
    </row>
    <row r="1624" spans="13:13" ht="15" customHeight="1" x14ac:dyDescent="0.3">
      <c r="M1624" s="5"/>
    </row>
    <row r="1625" spans="13:13" ht="15" customHeight="1" x14ac:dyDescent="0.3">
      <c r="M1625" s="5"/>
    </row>
    <row r="1626" spans="13:13" ht="15" customHeight="1" x14ac:dyDescent="0.3">
      <c r="M1626" s="5"/>
    </row>
    <row r="1627" spans="13:13" ht="15" customHeight="1" x14ac:dyDescent="0.3">
      <c r="M1627" s="5"/>
    </row>
    <row r="1628" spans="13:13" ht="15" customHeight="1" x14ac:dyDescent="0.3">
      <c r="M1628" s="5"/>
    </row>
    <row r="1629" spans="13:13" ht="15" customHeight="1" x14ac:dyDescent="0.3">
      <c r="M1629" s="5"/>
    </row>
    <row r="1630" spans="13:13" ht="15" customHeight="1" x14ac:dyDescent="0.3">
      <c r="M1630" s="5"/>
    </row>
    <row r="1631" spans="13:13" ht="15" customHeight="1" x14ac:dyDescent="0.3">
      <c r="M1631" s="5"/>
    </row>
    <row r="1632" spans="13:13" ht="15" customHeight="1" x14ac:dyDescent="0.3">
      <c r="M1632" s="5"/>
    </row>
    <row r="1633" spans="13:13" ht="15" customHeight="1" x14ac:dyDescent="0.3">
      <c r="M1633" s="5"/>
    </row>
    <row r="1634" spans="13:13" ht="15" customHeight="1" x14ac:dyDescent="0.3">
      <c r="M1634" s="5"/>
    </row>
    <row r="1635" spans="13:13" ht="15" customHeight="1" x14ac:dyDescent="0.3">
      <c r="M1635" s="5"/>
    </row>
    <row r="1636" spans="13:13" ht="15" customHeight="1" x14ac:dyDescent="0.3">
      <c r="M1636" s="5"/>
    </row>
    <row r="1637" spans="13:13" ht="15" customHeight="1" x14ac:dyDescent="0.3">
      <c r="M1637" s="5"/>
    </row>
    <row r="1638" spans="13:13" ht="15" customHeight="1" x14ac:dyDescent="0.3">
      <c r="M1638" s="5"/>
    </row>
    <row r="1639" spans="13:13" ht="15" customHeight="1" x14ac:dyDescent="0.3">
      <c r="M1639" s="5"/>
    </row>
    <row r="1640" spans="13:13" ht="15" customHeight="1" x14ac:dyDescent="0.3">
      <c r="M1640" s="5"/>
    </row>
    <row r="1641" spans="13:13" ht="15" customHeight="1" x14ac:dyDescent="0.3">
      <c r="M1641" s="5"/>
    </row>
    <row r="1642" spans="13:13" ht="15" customHeight="1" x14ac:dyDescent="0.3">
      <c r="M1642" s="5"/>
    </row>
    <row r="1643" spans="13:13" ht="15" customHeight="1" x14ac:dyDescent="0.3">
      <c r="M1643" s="5"/>
    </row>
    <row r="1644" spans="13:13" ht="15" customHeight="1" x14ac:dyDescent="0.3">
      <c r="M1644" s="5"/>
    </row>
    <row r="1645" spans="13:13" ht="15" customHeight="1" x14ac:dyDescent="0.3">
      <c r="M1645" s="5"/>
    </row>
    <row r="1646" spans="13:13" ht="15" customHeight="1" x14ac:dyDescent="0.3">
      <c r="M1646" s="5"/>
    </row>
    <row r="1647" spans="13:13" ht="15" customHeight="1" x14ac:dyDescent="0.3">
      <c r="M1647" s="5"/>
    </row>
    <row r="1648" spans="13:13" ht="15" customHeight="1" x14ac:dyDescent="0.3">
      <c r="M1648" s="5"/>
    </row>
    <row r="1649" spans="13:13" ht="15" customHeight="1" x14ac:dyDescent="0.3">
      <c r="M1649" s="5"/>
    </row>
    <row r="1650" spans="13:13" ht="15" customHeight="1" x14ac:dyDescent="0.3">
      <c r="M1650" s="5"/>
    </row>
    <row r="1651" spans="13:13" ht="15" customHeight="1" x14ac:dyDescent="0.3">
      <c r="M1651" s="5"/>
    </row>
    <row r="1652" spans="13:13" ht="15" customHeight="1" x14ac:dyDescent="0.3">
      <c r="M1652" s="5"/>
    </row>
    <row r="1653" spans="13:13" ht="15" customHeight="1" x14ac:dyDescent="0.3">
      <c r="M1653" s="5"/>
    </row>
    <row r="1654" spans="13:13" ht="15" customHeight="1" x14ac:dyDescent="0.3">
      <c r="M1654" s="5"/>
    </row>
    <row r="1655" spans="13:13" ht="15" customHeight="1" x14ac:dyDescent="0.3">
      <c r="M1655" s="5"/>
    </row>
    <row r="1656" spans="13:13" ht="15" customHeight="1" x14ac:dyDescent="0.3">
      <c r="M1656" s="5"/>
    </row>
    <row r="1657" spans="13:13" ht="15" customHeight="1" x14ac:dyDescent="0.3">
      <c r="M1657" s="5"/>
    </row>
    <row r="1658" spans="13:13" ht="15" customHeight="1" x14ac:dyDescent="0.3">
      <c r="M1658" s="5"/>
    </row>
    <row r="1659" spans="13:13" ht="15" customHeight="1" x14ac:dyDescent="0.3">
      <c r="M1659" s="5"/>
    </row>
    <row r="1660" spans="13:13" ht="15" customHeight="1" x14ac:dyDescent="0.3">
      <c r="M1660" s="5"/>
    </row>
    <row r="1661" spans="13:13" ht="15" customHeight="1" x14ac:dyDescent="0.3">
      <c r="M1661" s="5"/>
    </row>
    <row r="1662" spans="13:13" ht="15" customHeight="1" x14ac:dyDescent="0.3">
      <c r="M1662" s="5"/>
    </row>
    <row r="1663" spans="13:13" ht="15" customHeight="1" x14ac:dyDescent="0.3">
      <c r="M1663" s="5"/>
    </row>
    <row r="1664" spans="13:13" ht="15" customHeight="1" x14ac:dyDescent="0.3">
      <c r="M1664" s="5"/>
    </row>
    <row r="1665" spans="13:13" ht="15" customHeight="1" x14ac:dyDescent="0.3">
      <c r="M1665" s="5"/>
    </row>
    <row r="1666" spans="13:13" ht="15" customHeight="1" x14ac:dyDescent="0.3">
      <c r="M1666" s="5"/>
    </row>
    <row r="1667" spans="13:13" ht="15" customHeight="1" x14ac:dyDescent="0.3">
      <c r="M1667" s="5"/>
    </row>
    <row r="1668" spans="13:13" ht="15" customHeight="1" x14ac:dyDescent="0.3">
      <c r="M1668" s="5"/>
    </row>
    <row r="1669" spans="13:13" ht="15" customHeight="1" x14ac:dyDescent="0.3">
      <c r="M1669" s="5"/>
    </row>
    <row r="1670" spans="13:13" ht="15" customHeight="1" x14ac:dyDescent="0.3">
      <c r="M1670" s="5"/>
    </row>
    <row r="1671" spans="13:13" ht="15" customHeight="1" x14ac:dyDescent="0.3">
      <c r="M1671" s="5"/>
    </row>
    <row r="1672" spans="13:13" ht="15" customHeight="1" x14ac:dyDescent="0.3">
      <c r="M1672" s="5"/>
    </row>
    <row r="1673" spans="13:13" ht="15" customHeight="1" x14ac:dyDescent="0.3">
      <c r="M1673" s="5"/>
    </row>
    <row r="1674" spans="13:13" ht="15" customHeight="1" x14ac:dyDescent="0.3">
      <c r="M1674" s="5"/>
    </row>
    <row r="1675" spans="13:13" ht="15" customHeight="1" x14ac:dyDescent="0.3">
      <c r="M1675" s="5"/>
    </row>
    <row r="1676" spans="13:13" ht="15" customHeight="1" x14ac:dyDescent="0.3">
      <c r="M1676" s="5"/>
    </row>
    <row r="1677" spans="13:13" ht="15" customHeight="1" x14ac:dyDescent="0.3">
      <c r="M1677" s="5"/>
    </row>
    <row r="1678" spans="13:13" ht="15" customHeight="1" x14ac:dyDescent="0.3">
      <c r="M1678" s="5"/>
    </row>
    <row r="1679" spans="13:13" ht="15" customHeight="1" x14ac:dyDescent="0.3">
      <c r="M1679" s="5"/>
    </row>
    <row r="1680" spans="13:13" ht="15" customHeight="1" x14ac:dyDescent="0.3">
      <c r="M1680" s="5"/>
    </row>
    <row r="1681" spans="13:13" ht="15" customHeight="1" x14ac:dyDescent="0.3">
      <c r="M1681" s="5"/>
    </row>
    <row r="1682" spans="13:13" ht="15" customHeight="1" x14ac:dyDescent="0.3">
      <c r="M1682" s="5"/>
    </row>
    <row r="1683" spans="13:13" ht="15" customHeight="1" x14ac:dyDescent="0.3">
      <c r="M1683" s="5"/>
    </row>
    <row r="1684" spans="13:13" ht="15" customHeight="1" x14ac:dyDescent="0.3">
      <c r="M1684" s="5"/>
    </row>
    <row r="1685" spans="13:13" ht="15" customHeight="1" x14ac:dyDescent="0.3">
      <c r="M1685" s="5"/>
    </row>
    <row r="1686" spans="13:13" ht="15" customHeight="1" x14ac:dyDescent="0.3">
      <c r="M1686" s="5"/>
    </row>
    <row r="1687" spans="13:13" ht="15" customHeight="1" x14ac:dyDescent="0.3">
      <c r="M1687" s="5"/>
    </row>
    <row r="1688" spans="13:13" ht="15" customHeight="1" x14ac:dyDescent="0.3">
      <c r="M1688" s="5"/>
    </row>
    <row r="1689" spans="13:13" ht="15" customHeight="1" x14ac:dyDescent="0.3">
      <c r="M1689" s="5"/>
    </row>
    <row r="1690" spans="13:13" ht="15" customHeight="1" x14ac:dyDescent="0.3">
      <c r="M1690" s="5"/>
    </row>
    <row r="1691" spans="13:13" ht="15" customHeight="1" x14ac:dyDescent="0.3">
      <c r="M1691" s="5"/>
    </row>
    <row r="1692" spans="13:13" ht="15" customHeight="1" x14ac:dyDescent="0.3">
      <c r="M1692" s="5"/>
    </row>
    <row r="1693" spans="13:13" ht="15" customHeight="1" x14ac:dyDescent="0.3">
      <c r="M1693" s="5"/>
    </row>
    <row r="1694" spans="13:13" ht="15" customHeight="1" x14ac:dyDescent="0.3">
      <c r="M1694" s="5"/>
    </row>
    <row r="1695" spans="13:13" ht="15" customHeight="1" x14ac:dyDescent="0.3">
      <c r="M1695" s="5"/>
    </row>
    <row r="1696" spans="13:13" ht="15" customHeight="1" x14ac:dyDescent="0.3">
      <c r="M1696" s="5"/>
    </row>
    <row r="1697" spans="13:13" ht="15" customHeight="1" x14ac:dyDescent="0.3">
      <c r="M1697" s="5"/>
    </row>
    <row r="1698" spans="13:13" ht="15" customHeight="1" x14ac:dyDescent="0.3">
      <c r="M1698" s="5"/>
    </row>
    <row r="1699" spans="13:13" ht="15" customHeight="1" x14ac:dyDescent="0.3">
      <c r="M1699" s="5"/>
    </row>
    <row r="1700" spans="13:13" ht="15" customHeight="1" x14ac:dyDescent="0.3">
      <c r="M1700" s="5"/>
    </row>
    <row r="1701" spans="13:13" ht="15" customHeight="1" x14ac:dyDescent="0.3">
      <c r="M1701" s="5"/>
    </row>
    <row r="1702" spans="13:13" ht="15" customHeight="1" x14ac:dyDescent="0.3">
      <c r="M1702" s="5"/>
    </row>
    <row r="1703" spans="13:13" ht="15" customHeight="1" x14ac:dyDescent="0.3">
      <c r="M1703" s="5"/>
    </row>
    <row r="1704" spans="13:13" ht="15" customHeight="1" x14ac:dyDescent="0.3">
      <c r="M1704" s="5"/>
    </row>
    <row r="1705" spans="13:13" ht="15" customHeight="1" x14ac:dyDescent="0.3">
      <c r="M1705" s="5"/>
    </row>
    <row r="1706" spans="13:13" ht="15" customHeight="1" x14ac:dyDescent="0.3">
      <c r="M1706" s="5"/>
    </row>
    <row r="1707" spans="13:13" ht="15" customHeight="1" x14ac:dyDescent="0.3">
      <c r="M1707" s="5"/>
    </row>
    <row r="1708" spans="13:13" ht="15" customHeight="1" x14ac:dyDescent="0.3">
      <c r="M1708" s="5"/>
    </row>
    <row r="1709" spans="13:13" ht="15" customHeight="1" x14ac:dyDescent="0.3">
      <c r="M1709" s="5"/>
    </row>
    <row r="1710" spans="13:13" ht="15" customHeight="1" x14ac:dyDescent="0.3">
      <c r="M1710" s="5"/>
    </row>
    <row r="1711" spans="13:13" ht="15" customHeight="1" x14ac:dyDescent="0.3">
      <c r="M1711" s="5"/>
    </row>
    <row r="1712" spans="13:13" ht="15" customHeight="1" x14ac:dyDescent="0.3">
      <c r="M1712" s="5"/>
    </row>
    <row r="1713" spans="13:13" ht="15" customHeight="1" x14ac:dyDescent="0.3">
      <c r="M1713" s="5"/>
    </row>
    <row r="1714" spans="13:13" ht="15" customHeight="1" x14ac:dyDescent="0.3">
      <c r="M1714" s="5"/>
    </row>
    <row r="1715" spans="13:13" ht="15" customHeight="1" x14ac:dyDescent="0.3">
      <c r="M1715" s="5"/>
    </row>
    <row r="1716" spans="13:13" ht="15" customHeight="1" x14ac:dyDescent="0.3">
      <c r="M1716" s="5"/>
    </row>
    <row r="1717" spans="13:13" ht="15" customHeight="1" x14ac:dyDescent="0.3">
      <c r="M1717" s="5"/>
    </row>
    <row r="1718" spans="13:13" ht="15" customHeight="1" x14ac:dyDescent="0.3">
      <c r="M1718" s="5"/>
    </row>
    <row r="1719" spans="13:13" ht="15" customHeight="1" x14ac:dyDescent="0.3">
      <c r="M1719" s="5"/>
    </row>
    <row r="1720" spans="13:13" ht="15" customHeight="1" x14ac:dyDescent="0.3">
      <c r="M1720" s="5"/>
    </row>
    <row r="1721" spans="13:13" ht="15" customHeight="1" x14ac:dyDescent="0.3">
      <c r="M1721" s="5"/>
    </row>
    <row r="1722" spans="13:13" ht="15" customHeight="1" x14ac:dyDescent="0.3">
      <c r="M1722" s="5"/>
    </row>
    <row r="1723" spans="13:13" ht="15" customHeight="1" x14ac:dyDescent="0.3">
      <c r="M1723" s="5"/>
    </row>
    <row r="1724" spans="13:13" ht="15" customHeight="1" x14ac:dyDescent="0.3">
      <c r="M1724" s="5"/>
    </row>
    <row r="1725" spans="13:13" ht="15" customHeight="1" x14ac:dyDescent="0.3">
      <c r="M1725" s="5"/>
    </row>
    <row r="1726" spans="13:13" ht="15" customHeight="1" x14ac:dyDescent="0.3">
      <c r="M1726" s="5"/>
    </row>
    <row r="1727" spans="13:13" ht="15" customHeight="1" x14ac:dyDescent="0.3">
      <c r="M1727" s="5"/>
    </row>
    <row r="1728" spans="13:13" ht="15" customHeight="1" x14ac:dyDescent="0.3">
      <c r="M1728" s="5"/>
    </row>
    <row r="1729" spans="13:13" ht="15" customHeight="1" x14ac:dyDescent="0.3">
      <c r="M1729" s="5"/>
    </row>
    <row r="1730" spans="13:13" ht="15" customHeight="1" x14ac:dyDescent="0.3">
      <c r="M1730" s="5"/>
    </row>
    <row r="1731" spans="13:13" ht="15" customHeight="1" x14ac:dyDescent="0.3">
      <c r="M1731" s="5"/>
    </row>
    <row r="1732" spans="13:13" ht="15" customHeight="1" x14ac:dyDescent="0.3">
      <c r="M1732" s="5"/>
    </row>
    <row r="1733" spans="13:13" ht="15" customHeight="1" x14ac:dyDescent="0.3">
      <c r="M1733" s="5"/>
    </row>
    <row r="1734" spans="13:13" ht="15" customHeight="1" x14ac:dyDescent="0.3">
      <c r="M1734" s="5"/>
    </row>
    <row r="1735" spans="13:13" ht="15" customHeight="1" x14ac:dyDescent="0.3">
      <c r="M1735" s="5"/>
    </row>
    <row r="1736" spans="13:13" ht="15" customHeight="1" x14ac:dyDescent="0.3">
      <c r="M1736" s="5"/>
    </row>
    <row r="1737" spans="13:13" ht="15" customHeight="1" x14ac:dyDescent="0.3">
      <c r="M1737" s="5"/>
    </row>
    <row r="1738" spans="13:13" ht="15" customHeight="1" x14ac:dyDescent="0.3">
      <c r="M1738" s="5"/>
    </row>
    <row r="1739" spans="13:13" ht="15" customHeight="1" x14ac:dyDescent="0.3">
      <c r="M1739" s="5"/>
    </row>
    <row r="1740" spans="13:13" ht="15" customHeight="1" x14ac:dyDescent="0.3">
      <c r="M1740" s="5"/>
    </row>
    <row r="1741" spans="13:13" ht="15" customHeight="1" x14ac:dyDescent="0.3">
      <c r="M1741" s="5"/>
    </row>
    <row r="1742" spans="13:13" ht="15" customHeight="1" x14ac:dyDescent="0.3">
      <c r="M1742" s="5"/>
    </row>
    <row r="1743" spans="13:13" ht="15" customHeight="1" x14ac:dyDescent="0.3">
      <c r="M1743" s="5"/>
    </row>
    <row r="1744" spans="13:13" ht="15" customHeight="1" x14ac:dyDescent="0.3">
      <c r="M1744" s="5"/>
    </row>
    <row r="1745" spans="13:13" ht="15" customHeight="1" x14ac:dyDescent="0.3">
      <c r="M1745" s="5"/>
    </row>
    <row r="1746" spans="13:13" ht="15" customHeight="1" x14ac:dyDescent="0.3">
      <c r="M1746" s="5"/>
    </row>
    <row r="1747" spans="13:13" ht="15" customHeight="1" x14ac:dyDescent="0.3">
      <c r="M1747" s="5"/>
    </row>
    <row r="1748" spans="13:13" ht="15" customHeight="1" x14ac:dyDescent="0.3">
      <c r="M1748" s="5"/>
    </row>
    <row r="1749" spans="13:13" ht="15" customHeight="1" x14ac:dyDescent="0.3">
      <c r="M1749" s="5"/>
    </row>
    <row r="1750" spans="13:13" ht="15" customHeight="1" x14ac:dyDescent="0.3">
      <c r="M1750" s="5"/>
    </row>
    <row r="1751" spans="13:13" ht="15" customHeight="1" x14ac:dyDescent="0.3">
      <c r="M1751" s="5"/>
    </row>
    <row r="1752" spans="13:13" ht="15" customHeight="1" x14ac:dyDescent="0.3">
      <c r="M1752" s="5"/>
    </row>
    <row r="1753" spans="13:13" ht="15" customHeight="1" x14ac:dyDescent="0.3">
      <c r="M1753" s="5"/>
    </row>
    <row r="1754" spans="13:13" ht="15" customHeight="1" x14ac:dyDescent="0.3">
      <c r="M1754" s="5"/>
    </row>
    <row r="1755" spans="13:13" ht="15" customHeight="1" x14ac:dyDescent="0.3">
      <c r="M1755" s="5"/>
    </row>
    <row r="1756" spans="13:13" ht="15" customHeight="1" x14ac:dyDescent="0.3">
      <c r="M1756" s="5"/>
    </row>
    <row r="1757" spans="13:13" ht="15" customHeight="1" x14ac:dyDescent="0.3">
      <c r="M1757" s="5"/>
    </row>
    <row r="1758" spans="13:13" ht="15" customHeight="1" x14ac:dyDescent="0.3">
      <c r="M1758" s="5"/>
    </row>
    <row r="1759" spans="13:13" ht="15" customHeight="1" x14ac:dyDescent="0.3">
      <c r="M1759" s="5"/>
    </row>
    <row r="1760" spans="13:13" ht="15" customHeight="1" x14ac:dyDescent="0.3">
      <c r="M1760" s="5"/>
    </row>
    <row r="1761" spans="13:13" ht="15" customHeight="1" x14ac:dyDescent="0.3">
      <c r="M1761" s="5"/>
    </row>
    <row r="1762" spans="13:13" ht="15" customHeight="1" x14ac:dyDescent="0.3">
      <c r="M1762" s="5"/>
    </row>
    <row r="1763" spans="13:13" ht="15" customHeight="1" x14ac:dyDescent="0.3">
      <c r="M1763" s="5"/>
    </row>
    <row r="1764" spans="13:13" ht="15" customHeight="1" x14ac:dyDescent="0.3">
      <c r="M1764" s="5"/>
    </row>
    <row r="1765" spans="13:13" ht="15" customHeight="1" x14ac:dyDescent="0.3">
      <c r="M1765" s="5"/>
    </row>
    <row r="1766" spans="13:13" ht="15" customHeight="1" x14ac:dyDescent="0.3">
      <c r="M1766" s="5"/>
    </row>
    <row r="1767" spans="13:13" ht="15" customHeight="1" x14ac:dyDescent="0.3">
      <c r="M1767" s="5"/>
    </row>
    <row r="1768" spans="13:13" ht="15" customHeight="1" x14ac:dyDescent="0.3">
      <c r="M1768" s="5"/>
    </row>
    <row r="1769" spans="13:13" ht="15" customHeight="1" x14ac:dyDescent="0.3">
      <c r="M1769" s="5"/>
    </row>
    <row r="1770" spans="13:13" ht="15" customHeight="1" x14ac:dyDescent="0.3">
      <c r="M1770" s="5"/>
    </row>
    <row r="1771" spans="13:13" ht="15" customHeight="1" x14ac:dyDescent="0.3">
      <c r="M1771" s="5"/>
    </row>
    <row r="1772" spans="13:13" ht="15" customHeight="1" x14ac:dyDescent="0.3">
      <c r="M1772" s="5"/>
    </row>
    <row r="1773" spans="13:13" ht="15" customHeight="1" x14ac:dyDescent="0.3">
      <c r="M1773" s="5"/>
    </row>
    <row r="1774" spans="13:13" ht="15" customHeight="1" x14ac:dyDescent="0.3">
      <c r="M1774" s="5"/>
    </row>
    <row r="1775" spans="13:13" ht="15" customHeight="1" x14ac:dyDescent="0.3">
      <c r="M1775" s="5"/>
    </row>
    <row r="1776" spans="13:13" ht="15" customHeight="1" x14ac:dyDescent="0.3">
      <c r="M1776" s="5"/>
    </row>
    <row r="1777" spans="13:13" ht="15" customHeight="1" x14ac:dyDescent="0.3">
      <c r="M1777" s="5"/>
    </row>
    <row r="1778" spans="13:13" ht="15" customHeight="1" x14ac:dyDescent="0.3">
      <c r="M1778" s="5"/>
    </row>
    <row r="1779" spans="13:13" ht="15" customHeight="1" x14ac:dyDescent="0.3">
      <c r="M1779" s="5"/>
    </row>
    <row r="1780" spans="13:13" ht="15" customHeight="1" x14ac:dyDescent="0.3">
      <c r="M1780" s="5"/>
    </row>
    <row r="1781" spans="13:13" ht="15" customHeight="1" x14ac:dyDescent="0.3">
      <c r="M1781" s="5"/>
    </row>
    <row r="1782" spans="13:13" ht="15" customHeight="1" x14ac:dyDescent="0.3">
      <c r="M1782" s="5"/>
    </row>
    <row r="1783" spans="13:13" ht="15" customHeight="1" x14ac:dyDescent="0.3">
      <c r="M1783" s="5"/>
    </row>
    <row r="1784" spans="13:13" ht="15" customHeight="1" x14ac:dyDescent="0.3">
      <c r="M1784" s="5"/>
    </row>
    <row r="1785" spans="13:13" ht="15" customHeight="1" x14ac:dyDescent="0.3">
      <c r="M1785" s="5"/>
    </row>
    <row r="1786" spans="13:13" ht="15" customHeight="1" x14ac:dyDescent="0.3">
      <c r="M1786" s="5"/>
    </row>
    <row r="1787" spans="13:13" ht="15" customHeight="1" x14ac:dyDescent="0.3">
      <c r="M1787" s="5"/>
    </row>
    <row r="1788" spans="13:13" ht="15" customHeight="1" x14ac:dyDescent="0.3">
      <c r="M1788" s="5"/>
    </row>
    <row r="1789" spans="13:13" ht="15" customHeight="1" x14ac:dyDescent="0.3">
      <c r="M1789" s="5"/>
    </row>
    <row r="1790" spans="13:13" ht="15" customHeight="1" x14ac:dyDescent="0.3">
      <c r="M1790" s="5"/>
    </row>
    <row r="1791" spans="13:13" ht="15" customHeight="1" x14ac:dyDescent="0.3">
      <c r="M1791" s="5"/>
    </row>
    <row r="1792" spans="13:13" ht="15" customHeight="1" x14ac:dyDescent="0.3">
      <c r="M1792" s="5"/>
    </row>
    <row r="1793" spans="13:13" ht="15" customHeight="1" x14ac:dyDescent="0.3">
      <c r="M1793" s="5"/>
    </row>
    <row r="1794" spans="13:13" ht="15" customHeight="1" x14ac:dyDescent="0.3">
      <c r="M1794" s="5"/>
    </row>
    <row r="1795" spans="13:13" ht="15" customHeight="1" x14ac:dyDescent="0.3">
      <c r="M1795" s="5"/>
    </row>
    <row r="1796" spans="13:13" ht="15" customHeight="1" x14ac:dyDescent="0.3">
      <c r="M1796" s="5"/>
    </row>
    <row r="1797" spans="13:13" ht="15" customHeight="1" x14ac:dyDescent="0.3">
      <c r="M1797" s="5"/>
    </row>
    <row r="1798" spans="13:13" ht="15" customHeight="1" x14ac:dyDescent="0.3">
      <c r="M1798" s="5"/>
    </row>
    <row r="1799" spans="13:13" ht="15" customHeight="1" x14ac:dyDescent="0.3">
      <c r="M1799" s="5"/>
    </row>
    <row r="1800" spans="13:13" ht="15" customHeight="1" x14ac:dyDescent="0.3">
      <c r="M1800" s="5"/>
    </row>
    <row r="1801" spans="13:13" ht="15" customHeight="1" x14ac:dyDescent="0.3">
      <c r="M1801" s="5"/>
    </row>
    <row r="1802" spans="13:13" ht="15" customHeight="1" x14ac:dyDescent="0.3">
      <c r="M1802" s="5"/>
    </row>
    <row r="1803" spans="13:13" ht="15" customHeight="1" x14ac:dyDescent="0.3">
      <c r="M1803" s="5"/>
    </row>
    <row r="1804" spans="13:13" ht="15" customHeight="1" x14ac:dyDescent="0.3">
      <c r="M1804" s="5"/>
    </row>
    <row r="1805" spans="13:13" ht="15" customHeight="1" x14ac:dyDescent="0.3">
      <c r="M1805" s="5"/>
    </row>
    <row r="1806" spans="13:13" ht="15" customHeight="1" x14ac:dyDescent="0.3">
      <c r="M1806" s="5"/>
    </row>
    <row r="1807" spans="13:13" ht="15" customHeight="1" x14ac:dyDescent="0.3">
      <c r="M1807" s="5"/>
    </row>
    <row r="1808" spans="13:13" ht="15" customHeight="1" x14ac:dyDescent="0.3">
      <c r="M1808" s="5"/>
    </row>
    <row r="1809" spans="13:13" ht="15" customHeight="1" x14ac:dyDescent="0.3">
      <c r="M1809" s="5"/>
    </row>
    <row r="1810" spans="13:13" ht="15" customHeight="1" x14ac:dyDescent="0.3">
      <c r="M1810" s="5"/>
    </row>
    <row r="1811" spans="13:13" ht="15" customHeight="1" x14ac:dyDescent="0.3">
      <c r="M1811" s="5"/>
    </row>
    <row r="1812" spans="13:13" ht="15" customHeight="1" x14ac:dyDescent="0.3">
      <c r="M1812" s="5"/>
    </row>
    <row r="1813" spans="13:13" ht="15" customHeight="1" x14ac:dyDescent="0.3">
      <c r="M1813" s="5"/>
    </row>
    <row r="1814" spans="13:13" ht="15" customHeight="1" x14ac:dyDescent="0.3">
      <c r="M1814" s="5"/>
    </row>
    <row r="1815" spans="13:13" ht="15" customHeight="1" x14ac:dyDescent="0.3">
      <c r="M1815" s="5"/>
    </row>
    <row r="1816" spans="13:13" ht="15" customHeight="1" x14ac:dyDescent="0.3">
      <c r="M1816" s="5"/>
    </row>
    <row r="1817" spans="13:13" ht="15" customHeight="1" x14ac:dyDescent="0.3">
      <c r="M1817" s="5"/>
    </row>
    <row r="1818" spans="13:13" ht="15" customHeight="1" x14ac:dyDescent="0.3">
      <c r="M1818" s="5"/>
    </row>
    <row r="1819" spans="13:13" ht="15" customHeight="1" x14ac:dyDescent="0.3">
      <c r="M1819" s="5"/>
    </row>
    <row r="1820" spans="13:13" ht="15" customHeight="1" x14ac:dyDescent="0.3">
      <c r="M1820" s="5"/>
    </row>
    <row r="1821" spans="13:13" ht="15" customHeight="1" x14ac:dyDescent="0.3">
      <c r="M1821" s="5"/>
    </row>
    <row r="1822" spans="13:13" ht="15" customHeight="1" x14ac:dyDescent="0.3">
      <c r="M1822" s="5"/>
    </row>
    <row r="1823" spans="13:13" ht="15" customHeight="1" x14ac:dyDescent="0.3">
      <c r="M1823" s="5"/>
    </row>
    <row r="1824" spans="13:13" ht="15" customHeight="1" x14ac:dyDescent="0.3">
      <c r="M1824" s="5"/>
    </row>
    <row r="1825" spans="13:13" ht="15" customHeight="1" x14ac:dyDescent="0.3">
      <c r="M1825" s="5"/>
    </row>
    <row r="1826" spans="13:13" ht="15" customHeight="1" x14ac:dyDescent="0.3">
      <c r="M1826" s="5"/>
    </row>
    <row r="1827" spans="13:13" ht="15" customHeight="1" x14ac:dyDescent="0.3">
      <c r="M1827" s="5"/>
    </row>
    <row r="1828" spans="13:13" ht="15" customHeight="1" x14ac:dyDescent="0.3">
      <c r="M1828" s="5"/>
    </row>
    <row r="1829" spans="13:13" ht="15" customHeight="1" x14ac:dyDescent="0.3">
      <c r="M1829" s="5"/>
    </row>
    <row r="1830" spans="13:13" ht="15" customHeight="1" x14ac:dyDescent="0.3">
      <c r="M1830" s="5"/>
    </row>
    <row r="1831" spans="13:13" ht="15" customHeight="1" x14ac:dyDescent="0.3">
      <c r="M1831" s="5"/>
    </row>
    <row r="1832" spans="13:13" ht="15" customHeight="1" x14ac:dyDescent="0.3">
      <c r="M1832" s="5"/>
    </row>
    <row r="1833" spans="13:13" ht="15" customHeight="1" x14ac:dyDescent="0.3">
      <c r="M1833" s="5"/>
    </row>
    <row r="1834" spans="13:13" ht="15" customHeight="1" x14ac:dyDescent="0.3">
      <c r="M1834" s="5"/>
    </row>
    <row r="1835" spans="13:13" ht="15" customHeight="1" x14ac:dyDescent="0.3">
      <c r="M1835" s="5"/>
    </row>
    <row r="1836" spans="13:13" ht="15" customHeight="1" x14ac:dyDescent="0.3">
      <c r="M1836" s="5"/>
    </row>
    <row r="1837" spans="13:13" ht="15" customHeight="1" x14ac:dyDescent="0.3">
      <c r="M1837" s="5"/>
    </row>
    <row r="1838" spans="13:13" ht="15" customHeight="1" x14ac:dyDescent="0.3">
      <c r="M1838" s="5"/>
    </row>
    <row r="1839" spans="13:13" ht="15" customHeight="1" x14ac:dyDescent="0.3">
      <c r="M1839" s="5"/>
    </row>
    <row r="1840" spans="13:13" ht="15" customHeight="1" x14ac:dyDescent="0.3">
      <c r="M1840" s="5"/>
    </row>
    <row r="1841" spans="13:13" ht="15" customHeight="1" x14ac:dyDescent="0.3">
      <c r="M1841" s="5"/>
    </row>
    <row r="1842" spans="13:13" ht="15" customHeight="1" x14ac:dyDescent="0.3">
      <c r="M1842" s="5"/>
    </row>
    <row r="1843" spans="13:13" ht="15" customHeight="1" x14ac:dyDescent="0.3">
      <c r="M1843" s="5"/>
    </row>
    <row r="1844" spans="13:13" ht="15" customHeight="1" x14ac:dyDescent="0.3">
      <c r="M1844" s="5"/>
    </row>
    <row r="1845" spans="13:13" ht="15" customHeight="1" x14ac:dyDescent="0.3">
      <c r="M1845" s="5"/>
    </row>
    <row r="1846" spans="13:13" ht="15" customHeight="1" x14ac:dyDescent="0.3">
      <c r="M1846" s="5"/>
    </row>
    <row r="1847" spans="13:13" ht="15" customHeight="1" x14ac:dyDescent="0.3">
      <c r="M1847" s="5"/>
    </row>
    <row r="1848" spans="13:13" ht="15" customHeight="1" x14ac:dyDescent="0.3">
      <c r="M1848" s="5"/>
    </row>
    <row r="1849" spans="13:13" ht="15" customHeight="1" x14ac:dyDescent="0.3">
      <c r="M1849" s="5"/>
    </row>
    <row r="1850" spans="13:13" ht="15" customHeight="1" x14ac:dyDescent="0.3">
      <c r="M1850" s="5"/>
    </row>
    <row r="1851" spans="13:13" ht="15" customHeight="1" x14ac:dyDescent="0.3">
      <c r="M1851" s="5"/>
    </row>
    <row r="1852" spans="13:13" ht="15" customHeight="1" x14ac:dyDescent="0.3">
      <c r="M1852" s="5"/>
    </row>
    <row r="1853" spans="13:13" ht="15" customHeight="1" x14ac:dyDescent="0.3">
      <c r="M1853" s="5"/>
    </row>
    <row r="1854" spans="13:13" ht="15" customHeight="1" x14ac:dyDescent="0.3">
      <c r="M1854" s="5"/>
    </row>
    <row r="1855" spans="13:13" ht="15" customHeight="1" x14ac:dyDescent="0.3">
      <c r="M1855" s="5"/>
    </row>
    <row r="1856" spans="13:13" ht="15" customHeight="1" x14ac:dyDescent="0.3">
      <c r="M1856" s="5"/>
    </row>
    <row r="1857" spans="13:13" ht="15" customHeight="1" x14ac:dyDescent="0.3">
      <c r="M1857" s="5"/>
    </row>
    <row r="1858" spans="13:13" ht="15" customHeight="1" x14ac:dyDescent="0.3">
      <c r="M1858" s="5"/>
    </row>
    <row r="1859" spans="13:13" ht="15" customHeight="1" x14ac:dyDescent="0.3">
      <c r="M1859" s="5"/>
    </row>
    <row r="1860" spans="13:13" ht="15" customHeight="1" x14ac:dyDescent="0.3">
      <c r="M1860" s="5"/>
    </row>
    <row r="1861" spans="13:13" ht="15" customHeight="1" x14ac:dyDescent="0.3">
      <c r="M1861" s="5"/>
    </row>
    <row r="1862" spans="13:13" ht="15" customHeight="1" x14ac:dyDescent="0.3">
      <c r="M1862" s="5"/>
    </row>
    <row r="1863" spans="13:13" ht="15" customHeight="1" x14ac:dyDescent="0.3">
      <c r="M1863" s="5"/>
    </row>
    <row r="1864" spans="13:13" ht="15" customHeight="1" x14ac:dyDescent="0.3">
      <c r="M1864" s="5"/>
    </row>
    <row r="1865" spans="13:13" ht="15" customHeight="1" x14ac:dyDescent="0.3">
      <c r="M1865" s="5"/>
    </row>
    <row r="1866" spans="13:13" ht="15" customHeight="1" x14ac:dyDescent="0.3">
      <c r="M1866" s="5"/>
    </row>
    <row r="1867" spans="13:13" ht="15" customHeight="1" x14ac:dyDescent="0.3">
      <c r="M1867" s="5"/>
    </row>
    <row r="1868" spans="13:13" ht="15" customHeight="1" x14ac:dyDescent="0.3">
      <c r="M1868" s="5"/>
    </row>
    <row r="1869" spans="13:13" ht="15" customHeight="1" x14ac:dyDescent="0.3">
      <c r="M1869" s="5"/>
    </row>
    <row r="1870" spans="13:13" ht="15" customHeight="1" x14ac:dyDescent="0.3">
      <c r="M1870" s="5"/>
    </row>
    <row r="1871" spans="13:13" ht="15" customHeight="1" x14ac:dyDescent="0.3">
      <c r="M1871" s="5"/>
    </row>
    <row r="1872" spans="13:13" ht="15" customHeight="1" x14ac:dyDescent="0.3">
      <c r="M1872" s="5"/>
    </row>
    <row r="1873" spans="13:13" ht="15" customHeight="1" x14ac:dyDescent="0.3">
      <c r="M1873" s="5"/>
    </row>
    <row r="1874" spans="13:13" ht="15" customHeight="1" x14ac:dyDescent="0.3">
      <c r="M1874" s="5"/>
    </row>
    <row r="1875" spans="13:13" ht="15" customHeight="1" x14ac:dyDescent="0.3">
      <c r="M1875" s="5"/>
    </row>
    <row r="1876" spans="13:13" ht="15" customHeight="1" x14ac:dyDescent="0.3">
      <c r="M1876" s="5"/>
    </row>
    <row r="1877" spans="13:13" ht="15" customHeight="1" x14ac:dyDescent="0.3">
      <c r="M1877" s="5"/>
    </row>
    <row r="1878" spans="13:13" ht="15" customHeight="1" x14ac:dyDescent="0.3">
      <c r="M1878" s="5"/>
    </row>
    <row r="1879" spans="13:13" ht="15" customHeight="1" x14ac:dyDescent="0.3">
      <c r="M1879" s="5"/>
    </row>
    <row r="1880" spans="13:13" ht="15" customHeight="1" x14ac:dyDescent="0.3">
      <c r="M1880" s="5"/>
    </row>
    <row r="1881" spans="13:13" ht="15" customHeight="1" x14ac:dyDescent="0.3">
      <c r="M1881" s="5"/>
    </row>
    <row r="1882" spans="13:13" ht="15" customHeight="1" x14ac:dyDescent="0.3">
      <c r="M1882" s="5"/>
    </row>
    <row r="1883" spans="13:13" ht="15" customHeight="1" x14ac:dyDescent="0.3">
      <c r="M1883" s="5"/>
    </row>
    <row r="1884" spans="13:13" ht="15" customHeight="1" x14ac:dyDescent="0.3">
      <c r="M1884" s="5"/>
    </row>
    <row r="1885" spans="13:13" ht="15" customHeight="1" x14ac:dyDescent="0.3">
      <c r="M1885" s="5"/>
    </row>
    <row r="1886" spans="13:13" ht="15" customHeight="1" x14ac:dyDescent="0.3">
      <c r="M1886" s="5"/>
    </row>
    <row r="1887" spans="13:13" ht="15" customHeight="1" x14ac:dyDescent="0.3">
      <c r="M1887" s="5"/>
    </row>
    <row r="1888" spans="13:13" ht="15" customHeight="1" x14ac:dyDescent="0.3">
      <c r="M1888" s="5"/>
    </row>
    <row r="1889" spans="13:13" ht="15" customHeight="1" x14ac:dyDescent="0.3">
      <c r="M1889" s="5"/>
    </row>
    <row r="1890" spans="13:13" ht="15" customHeight="1" x14ac:dyDescent="0.3">
      <c r="M1890" s="5"/>
    </row>
    <row r="1891" spans="13:13" ht="15" customHeight="1" x14ac:dyDescent="0.3">
      <c r="M1891" s="5"/>
    </row>
    <row r="1892" spans="13:13" ht="15" customHeight="1" x14ac:dyDescent="0.3">
      <c r="M1892" s="5"/>
    </row>
    <row r="1893" spans="13:13" ht="15" customHeight="1" x14ac:dyDescent="0.3">
      <c r="M1893" s="5"/>
    </row>
    <row r="1894" spans="13:13" ht="15" customHeight="1" x14ac:dyDescent="0.3">
      <c r="M1894" s="5"/>
    </row>
    <row r="1895" spans="13:13" ht="15" customHeight="1" x14ac:dyDescent="0.3">
      <c r="M1895" s="5"/>
    </row>
    <row r="1896" spans="13:13" ht="15" customHeight="1" x14ac:dyDescent="0.3">
      <c r="M1896" s="5"/>
    </row>
    <row r="1897" spans="13:13" ht="15" customHeight="1" x14ac:dyDescent="0.3">
      <c r="M1897" s="5"/>
    </row>
    <row r="1898" spans="13:13" ht="15" customHeight="1" x14ac:dyDescent="0.3">
      <c r="M1898" s="5"/>
    </row>
    <row r="1899" spans="13:13" ht="15" customHeight="1" x14ac:dyDescent="0.3">
      <c r="M1899" s="5"/>
    </row>
    <row r="1900" spans="13:13" ht="15" customHeight="1" x14ac:dyDescent="0.3">
      <c r="M1900" s="5"/>
    </row>
    <row r="1901" spans="13:13" ht="15" customHeight="1" x14ac:dyDescent="0.3">
      <c r="M1901" s="5"/>
    </row>
    <row r="1902" spans="13:13" ht="15" customHeight="1" x14ac:dyDescent="0.3">
      <c r="M1902" s="5"/>
    </row>
    <row r="1903" spans="13:13" ht="15" customHeight="1" x14ac:dyDescent="0.3">
      <c r="M1903" s="5"/>
    </row>
    <row r="1904" spans="13:13" ht="15" customHeight="1" x14ac:dyDescent="0.3">
      <c r="M1904" s="5"/>
    </row>
    <row r="1905" spans="13:13" ht="15" customHeight="1" x14ac:dyDescent="0.3">
      <c r="M1905" s="5"/>
    </row>
    <row r="1906" spans="13:13" ht="15" customHeight="1" x14ac:dyDescent="0.3">
      <c r="M1906" s="5"/>
    </row>
    <row r="1907" spans="13:13" ht="15" customHeight="1" x14ac:dyDescent="0.3">
      <c r="M1907" s="5"/>
    </row>
    <row r="1908" spans="13:13" ht="15" customHeight="1" x14ac:dyDescent="0.3">
      <c r="M1908" s="5"/>
    </row>
    <row r="1909" spans="13:13" ht="15" customHeight="1" x14ac:dyDescent="0.3">
      <c r="M1909" s="5"/>
    </row>
    <row r="1910" spans="13:13" ht="15" customHeight="1" x14ac:dyDescent="0.3">
      <c r="M1910" s="5"/>
    </row>
    <row r="1911" spans="13:13" ht="15" customHeight="1" x14ac:dyDescent="0.3">
      <c r="M1911" s="5"/>
    </row>
    <row r="1912" spans="13:13" ht="15" customHeight="1" x14ac:dyDescent="0.3">
      <c r="M1912" s="5"/>
    </row>
    <row r="1913" spans="13:13" ht="15" customHeight="1" x14ac:dyDescent="0.3">
      <c r="M1913" s="5"/>
    </row>
    <row r="1914" spans="13:13" ht="15" customHeight="1" x14ac:dyDescent="0.3">
      <c r="M1914" s="5"/>
    </row>
    <row r="1915" spans="13:13" ht="15" customHeight="1" x14ac:dyDescent="0.3">
      <c r="M1915" s="5"/>
    </row>
    <row r="1916" spans="13:13" ht="15" customHeight="1" x14ac:dyDescent="0.3">
      <c r="M1916" s="5"/>
    </row>
    <row r="1917" spans="13:13" ht="15" customHeight="1" x14ac:dyDescent="0.3">
      <c r="M1917" s="5"/>
    </row>
    <row r="1918" spans="13:13" ht="15" customHeight="1" x14ac:dyDescent="0.3">
      <c r="M1918" s="5"/>
    </row>
    <row r="1919" spans="13:13" ht="15" customHeight="1" x14ac:dyDescent="0.3">
      <c r="M1919" s="5"/>
    </row>
    <row r="1920" spans="13:13" ht="15" customHeight="1" x14ac:dyDescent="0.3">
      <c r="M1920" s="5"/>
    </row>
    <row r="1921" spans="13:13" ht="15" customHeight="1" x14ac:dyDescent="0.3">
      <c r="M1921" s="5"/>
    </row>
    <row r="1922" spans="13:13" ht="15" customHeight="1" x14ac:dyDescent="0.3">
      <c r="M1922" s="5"/>
    </row>
    <row r="1923" spans="13:13" ht="15" customHeight="1" x14ac:dyDescent="0.3">
      <c r="M1923" s="5"/>
    </row>
    <row r="1924" spans="13:13" ht="15" customHeight="1" x14ac:dyDescent="0.3">
      <c r="M1924" s="5"/>
    </row>
    <row r="1925" spans="13:13" ht="15" customHeight="1" x14ac:dyDescent="0.3">
      <c r="M1925" s="5"/>
    </row>
    <row r="1926" spans="13:13" ht="15" customHeight="1" x14ac:dyDescent="0.3">
      <c r="M1926" s="5"/>
    </row>
    <row r="1927" spans="13:13" ht="15" customHeight="1" x14ac:dyDescent="0.3">
      <c r="M1927" s="5"/>
    </row>
    <row r="1928" spans="13:13" ht="15" customHeight="1" x14ac:dyDescent="0.3">
      <c r="M1928" s="5"/>
    </row>
    <row r="1929" spans="13:13" ht="15" customHeight="1" x14ac:dyDescent="0.3">
      <c r="M1929" s="5"/>
    </row>
    <row r="1930" spans="13:13" ht="15" customHeight="1" x14ac:dyDescent="0.3">
      <c r="M1930" s="5"/>
    </row>
    <row r="1931" spans="13:13" ht="15" customHeight="1" x14ac:dyDescent="0.3">
      <c r="M1931" s="5"/>
    </row>
    <row r="1932" spans="13:13" ht="15" customHeight="1" x14ac:dyDescent="0.3">
      <c r="M1932" s="5"/>
    </row>
    <row r="1933" spans="13:13" ht="15" customHeight="1" x14ac:dyDescent="0.3">
      <c r="M1933" s="5"/>
    </row>
    <row r="1934" spans="13:13" ht="15" customHeight="1" x14ac:dyDescent="0.3">
      <c r="M1934" s="5"/>
    </row>
    <row r="1935" spans="13:13" ht="15" customHeight="1" x14ac:dyDescent="0.3">
      <c r="M1935" s="5"/>
    </row>
    <row r="1936" spans="13:13" ht="15" customHeight="1" x14ac:dyDescent="0.3">
      <c r="M1936" s="5"/>
    </row>
    <row r="1937" spans="13:13" ht="15" customHeight="1" x14ac:dyDescent="0.3">
      <c r="M1937" s="5"/>
    </row>
    <row r="1938" spans="13:13" ht="15" customHeight="1" x14ac:dyDescent="0.3">
      <c r="M1938" s="5"/>
    </row>
    <row r="1939" spans="13:13" ht="15" customHeight="1" x14ac:dyDescent="0.3">
      <c r="M1939" s="5"/>
    </row>
    <row r="1940" spans="13:13" ht="15" customHeight="1" x14ac:dyDescent="0.3">
      <c r="M1940" s="5"/>
    </row>
    <row r="1941" spans="13:13" ht="15" customHeight="1" x14ac:dyDescent="0.3">
      <c r="M1941" s="5"/>
    </row>
    <row r="1942" spans="13:13" ht="15" customHeight="1" x14ac:dyDescent="0.3">
      <c r="M1942" s="5"/>
    </row>
    <row r="1943" spans="13:13" ht="15" customHeight="1" x14ac:dyDescent="0.3">
      <c r="M1943" s="5"/>
    </row>
    <row r="1944" spans="13:13" ht="15" customHeight="1" x14ac:dyDescent="0.3">
      <c r="M1944" s="5"/>
    </row>
    <row r="1945" spans="13:13" ht="15" customHeight="1" x14ac:dyDescent="0.3">
      <c r="M1945" s="5"/>
    </row>
    <row r="1946" spans="13:13" ht="15" customHeight="1" x14ac:dyDescent="0.3">
      <c r="M1946" s="5"/>
    </row>
    <row r="1947" spans="13:13" ht="15" customHeight="1" x14ac:dyDescent="0.3">
      <c r="M1947" s="5"/>
    </row>
    <row r="1948" spans="13:13" ht="15" customHeight="1" x14ac:dyDescent="0.3">
      <c r="M1948" s="5"/>
    </row>
    <row r="1949" spans="13:13" ht="15" customHeight="1" x14ac:dyDescent="0.3">
      <c r="M1949" s="5"/>
    </row>
    <row r="1950" spans="13:13" ht="15" customHeight="1" x14ac:dyDescent="0.3">
      <c r="M1950" s="5"/>
    </row>
    <row r="1951" spans="13:13" ht="15" customHeight="1" x14ac:dyDescent="0.3">
      <c r="M1951" s="5"/>
    </row>
    <row r="1952" spans="13:13" ht="15" customHeight="1" x14ac:dyDescent="0.3">
      <c r="M1952" s="5"/>
    </row>
    <row r="1953" spans="13:13" ht="15" customHeight="1" x14ac:dyDescent="0.3">
      <c r="M1953" s="5"/>
    </row>
    <row r="1954" spans="13:13" ht="15" customHeight="1" x14ac:dyDescent="0.3">
      <c r="M1954" s="5"/>
    </row>
    <row r="1955" spans="13:13" ht="15" customHeight="1" x14ac:dyDescent="0.3">
      <c r="M1955" s="5"/>
    </row>
    <row r="1956" spans="13:13" ht="15" customHeight="1" x14ac:dyDescent="0.3">
      <c r="M1956" s="5"/>
    </row>
    <row r="1957" spans="13:13" ht="15" customHeight="1" x14ac:dyDescent="0.3">
      <c r="M1957" s="5"/>
    </row>
    <row r="1958" spans="13:13" ht="15" customHeight="1" x14ac:dyDescent="0.3">
      <c r="M1958" s="5"/>
    </row>
    <row r="1959" spans="13:13" ht="15" customHeight="1" x14ac:dyDescent="0.3">
      <c r="M1959" s="5"/>
    </row>
    <row r="1960" spans="13:13" ht="15" customHeight="1" x14ac:dyDescent="0.3">
      <c r="M1960" s="5"/>
    </row>
    <row r="1961" spans="13:13" ht="15" customHeight="1" x14ac:dyDescent="0.3">
      <c r="M1961" s="5"/>
    </row>
    <row r="1962" spans="13:13" ht="15" customHeight="1" x14ac:dyDescent="0.3">
      <c r="M1962" s="5"/>
    </row>
    <row r="1963" spans="13:13" ht="15" customHeight="1" x14ac:dyDescent="0.3">
      <c r="M1963" s="5"/>
    </row>
    <row r="1964" spans="13:13" ht="15" customHeight="1" x14ac:dyDescent="0.3">
      <c r="M1964" s="5"/>
    </row>
    <row r="1965" spans="13:13" ht="15" customHeight="1" x14ac:dyDescent="0.3">
      <c r="M1965" s="5"/>
    </row>
    <row r="1966" spans="13:13" ht="15" customHeight="1" x14ac:dyDescent="0.3">
      <c r="M1966" s="5"/>
    </row>
    <row r="1967" spans="13:13" ht="15" customHeight="1" x14ac:dyDescent="0.3">
      <c r="M1967" s="5"/>
    </row>
    <row r="1968" spans="13:13" ht="15" customHeight="1" x14ac:dyDescent="0.3">
      <c r="M1968" s="5"/>
    </row>
    <row r="1969" spans="13:13" ht="15" customHeight="1" x14ac:dyDescent="0.3">
      <c r="M1969" s="5"/>
    </row>
    <row r="1970" spans="13:13" ht="15" customHeight="1" x14ac:dyDescent="0.3">
      <c r="M1970" s="5"/>
    </row>
    <row r="1971" spans="13:13" ht="15" customHeight="1" x14ac:dyDescent="0.3">
      <c r="M1971" s="5"/>
    </row>
    <row r="1972" spans="13:13" ht="15" customHeight="1" x14ac:dyDescent="0.3">
      <c r="M1972" s="5"/>
    </row>
    <row r="1973" spans="13:13" ht="15" customHeight="1" x14ac:dyDescent="0.3">
      <c r="M1973" s="5"/>
    </row>
    <row r="1974" spans="13:13" ht="15" customHeight="1" x14ac:dyDescent="0.3">
      <c r="M1974" s="5"/>
    </row>
    <row r="1975" spans="13:13" ht="15" customHeight="1" x14ac:dyDescent="0.3">
      <c r="M1975" s="5"/>
    </row>
    <row r="1976" spans="13:13" ht="15" customHeight="1" x14ac:dyDescent="0.3">
      <c r="M1976" s="5"/>
    </row>
    <row r="1977" spans="13:13" ht="15" customHeight="1" x14ac:dyDescent="0.3">
      <c r="M1977" s="5"/>
    </row>
    <row r="1978" spans="13:13" ht="15" customHeight="1" x14ac:dyDescent="0.3">
      <c r="M1978" s="5"/>
    </row>
    <row r="1979" spans="13:13" ht="15" customHeight="1" x14ac:dyDescent="0.3">
      <c r="M1979" s="5"/>
    </row>
    <row r="1980" spans="13:13" ht="15" customHeight="1" x14ac:dyDescent="0.3">
      <c r="M1980" s="5"/>
    </row>
    <row r="1981" spans="13:13" ht="15" customHeight="1" x14ac:dyDescent="0.3">
      <c r="M1981" s="5"/>
    </row>
    <row r="1982" spans="13:13" ht="15" customHeight="1" x14ac:dyDescent="0.3">
      <c r="M1982" s="5"/>
    </row>
    <row r="1983" spans="13:13" ht="15" customHeight="1" x14ac:dyDescent="0.3">
      <c r="M1983" s="5"/>
    </row>
    <row r="1984" spans="13:13" ht="15" customHeight="1" x14ac:dyDescent="0.3">
      <c r="M1984" s="5"/>
    </row>
    <row r="1985" spans="13:13" ht="15" customHeight="1" x14ac:dyDescent="0.3">
      <c r="M1985" s="5"/>
    </row>
    <row r="1986" spans="13:13" ht="15" customHeight="1" x14ac:dyDescent="0.3">
      <c r="M1986" s="5"/>
    </row>
    <row r="1987" spans="13:13" ht="15" customHeight="1" x14ac:dyDescent="0.3">
      <c r="M1987" s="5"/>
    </row>
    <row r="1988" spans="13:13" ht="15" customHeight="1" x14ac:dyDescent="0.3">
      <c r="M1988" s="5"/>
    </row>
    <row r="1989" spans="13:13" ht="15" customHeight="1" x14ac:dyDescent="0.3">
      <c r="M1989" s="5"/>
    </row>
    <row r="1990" spans="13:13" ht="15" customHeight="1" x14ac:dyDescent="0.3">
      <c r="M1990" s="5"/>
    </row>
    <row r="1991" spans="13:13" ht="15" customHeight="1" x14ac:dyDescent="0.3">
      <c r="M1991" s="5"/>
    </row>
    <row r="1992" spans="13:13" ht="15" customHeight="1" x14ac:dyDescent="0.3">
      <c r="M1992" s="5"/>
    </row>
    <row r="1993" spans="13:13" ht="15" customHeight="1" x14ac:dyDescent="0.3">
      <c r="M1993" s="5"/>
    </row>
    <row r="1994" spans="13:13" ht="15" customHeight="1" x14ac:dyDescent="0.3">
      <c r="M1994" s="5"/>
    </row>
    <row r="1995" spans="13:13" ht="15" customHeight="1" x14ac:dyDescent="0.3">
      <c r="M1995" s="5"/>
    </row>
    <row r="1996" spans="13:13" ht="15" customHeight="1" x14ac:dyDescent="0.3">
      <c r="M1996" s="5"/>
    </row>
    <row r="1997" spans="13:13" ht="15" customHeight="1" x14ac:dyDescent="0.3">
      <c r="M1997" s="5"/>
    </row>
    <row r="1998" spans="13:13" ht="15" customHeight="1" x14ac:dyDescent="0.3">
      <c r="M1998" s="5"/>
    </row>
    <row r="1999" spans="13:13" ht="15" customHeight="1" x14ac:dyDescent="0.3">
      <c r="M1999" s="5"/>
    </row>
    <row r="2000" spans="13:13" ht="15" customHeight="1" x14ac:dyDescent="0.3">
      <c r="M2000" s="5"/>
    </row>
    <row r="2001" spans="13:13" ht="15" customHeight="1" x14ac:dyDescent="0.3">
      <c r="M2001" s="5"/>
    </row>
    <row r="2002" spans="13:13" ht="15" customHeight="1" x14ac:dyDescent="0.3">
      <c r="M2002" s="5"/>
    </row>
    <row r="2003" spans="13:13" ht="15" customHeight="1" x14ac:dyDescent="0.3">
      <c r="M2003" s="5"/>
    </row>
    <row r="2004" spans="13:13" ht="15" customHeight="1" x14ac:dyDescent="0.3">
      <c r="M2004" s="5"/>
    </row>
    <row r="2005" spans="13:13" ht="15" customHeight="1" x14ac:dyDescent="0.3">
      <c r="M2005" s="5"/>
    </row>
    <row r="2006" spans="13:13" ht="15" customHeight="1" x14ac:dyDescent="0.3">
      <c r="M2006" s="5"/>
    </row>
    <row r="2007" spans="13:13" ht="15" customHeight="1" x14ac:dyDescent="0.3">
      <c r="M2007" s="5"/>
    </row>
    <row r="2008" spans="13:13" ht="15" customHeight="1" x14ac:dyDescent="0.3">
      <c r="M2008" s="5"/>
    </row>
    <row r="2009" spans="13:13" ht="15" customHeight="1" x14ac:dyDescent="0.3">
      <c r="M2009" s="5"/>
    </row>
    <row r="2010" spans="13:13" ht="15" customHeight="1" x14ac:dyDescent="0.3">
      <c r="M2010" s="5"/>
    </row>
    <row r="2011" spans="13:13" ht="15" customHeight="1" x14ac:dyDescent="0.3">
      <c r="M2011" s="5"/>
    </row>
    <row r="2012" spans="13:13" ht="15" customHeight="1" x14ac:dyDescent="0.3">
      <c r="M2012" s="5"/>
    </row>
    <row r="2013" spans="13:13" ht="15" customHeight="1" x14ac:dyDescent="0.3">
      <c r="M2013" s="5"/>
    </row>
    <row r="2014" spans="13:13" ht="15" customHeight="1" x14ac:dyDescent="0.3">
      <c r="M2014" s="5"/>
    </row>
    <row r="2015" spans="13:13" ht="15" customHeight="1" x14ac:dyDescent="0.3">
      <c r="M2015" s="5"/>
    </row>
    <row r="2016" spans="13:13" ht="15" customHeight="1" x14ac:dyDescent="0.3">
      <c r="M2016" s="5"/>
    </row>
    <row r="2017" spans="13:13" ht="15" customHeight="1" x14ac:dyDescent="0.3">
      <c r="M2017" s="5"/>
    </row>
    <row r="2018" spans="13:13" ht="15" customHeight="1" x14ac:dyDescent="0.3">
      <c r="M2018" s="5"/>
    </row>
    <row r="2019" spans="13:13" ht="15" customHeight="1" x14ac:dyDescent="0.3">
      <c r="M2019" s="5"/>
    </row>
    <row r="2020" spans="13:13" ht="15" customHeight="1" x14ac:dyDescent="0.3">
      <c r="M2020" s="5"/>
    </row>
    <row r="2021" spans="13:13" ht="15" customHeight="1" x14ac:dyDescent="0.3">
      <c r="M2021" s="5"/>
    </row>
    <row r="2022" spans="13:13" ht="15" customHeight="1" x14ac:dyDescent="0.3">
      <c r="M2022" s="5"/>
    </row>
    <row r="2023" spans="13:13" ht="15" customHeight="1" x14ac:dyDescent="0.3">
      <c r="M2023" s="5"/>
    </row>
    <row r="2024" spans="13:13" ht="15" customHeight="1" x14ac:dyDescent="0.3">
      <c r="M2024" s="5"/>
    </row>
    <row r="2025" spans="13:13" ht="15" customHeight="1" x14ac:dyDescent="0.3">
      <c r="M2025" s="5"/>
    </row>
    <row r="2026" spans="13:13" ht="15" customHeight="1" x14ac:dyDescent="0.3">
      <c r="M2026" s="5"/>
    </row>
    <row r="2027" spans="13:13" ht="15" customHeight="1" x14ac:dyDescent="0.3">
      <c r="M2027" s="5"/>
    </row>
    <row r="2028" spans="13:13" ht="15" customHeight="1" x14ac:dyDescent="0.3">
      <c r="M2028" s="5"/>
    </row>
    <row r="2029" spans="13:13" ht="15" customHeight="1" x14ac:dyDescent="0.3">
      <c r="M2029" s="5"/>
    </row>
    <row r="2030" spans="13:13" ht="15" customHeight="1" x14ac:dyDescent="0.3">
      <c r="M2030" s="5"/>
    </row>
    <row r="2031" spans="13:13" ht="15" customHeight="1" x14ac:dyDescent="0.3">
      <c r="M2031" s="5"/>
    </row>
    <row r="2032" spans="13:13" ht="15" customHeight="1" x14ac:dyDescent="0.3">
      <c r="M2032" s="5"/>
    </row>
    <row r="2033" spans="13:13" ht="15" customHeight="1" x14ac:dyDescent="0.3">
      <c r="M2033" s="5"/>
    </row>
    <row r="2034" spans="13:13" ht="15" customHeight="1" x14ac:dyDescent="0.3">
      <c r="M2034" s="5"/>
    </row>
    <row r="2035" spans="13:13" ht="15" customHeight="1" x14ac:dyDescent="0.3">
      <c r="M2035" s="5"/>
    </row>
    <row r="2036" spans="13:13" ht="15" customHeight="1" x14ac:dyDescent="0.3">
      <c r="M2036" s="5"/>
    </row>
    <row r="2037" spans="13:13" ht="15" customHeight="1" x14ac:dyDescent="0.3">
      <c r="M2037" s="5"/>
    </row>
    <row r="2038" spans="13:13" ht="15" customHeight="1" x14ac:dyDescent="0.3">
      <c r="M2038" s="5"/>
    </row>
    <row r="2039" spans="13:13" ht="15" customHeight="1" x14ac:dyDescent="0.3">
      <c r="M2039" s="5"/>
    </row>
    <row r="2040" spans="13:13" ht="15" customHeight="1" x14ac:dyDescent="0.3">
      <c r="M2040" s="5"/>
    </row>
    <row r="2041" spans="13:13" ht="15" customHeight="1" x14ac:dyDescent="0.3">
      <c r="M2041" s="5"/>
    </row>
    <row r="2042" spans="13:13" ht="15" customHeight="1" x14ac:dyDescent="0.3">
      <c r="M2042" s="5"/>
    </row>
    <row r="2043" spans="13:13" ht="15" customHeight="1" x14ac:dyDescent="0.3">
      <c r="M2043" s="5"/>
    </row>
    <row r="2044" spans="13:13" ht="15" customHeight="1" x14ac:dyDescent="0.3">
      <c r="M2044" s="5"/>
    </row>
    <row r="2045" spans="13:13" ht="15" customHeight="1" x14ac:dyDescent="0.3">
      <c r="M2045" s="5"/>
    </row>
    <row r="2046" spans="13:13" ht="15" customHeight="1" x14ac:dyDescent="0.3">
      <c r="M2046" s="5"/>
    </row>
    <row r="2047" spans="13:13" ht="15" customHeight="1" x14ac:dyDescent="0.3">
      <c r="M2047" s="5"/>
    </row>
    <row r="2048" spans="13:13" ht="15" customHeight="1" x14ac:dyDescent="0.3">
      <c r="M2048" s="5"/>
    </row>
    <row r="2049" spans="13:13" ht="15" customHeight="1" x14ac:dyDescent="0.3">
      <c r="M2049" s="5"/>
    </row>
    <row r="2050" spans="13:13" ht="15" customHeight="1" x14ac:dyDescent="0.3">
      <c r="M2050" s="5"/>
    </row>
    <row r="2051" spans="13:13" ht="15" customHeight="1" x14ac:dyDescent="0.3">
      <c r="M2051" s="5"/>
    </row>
    <row r="2052" spans="13:13" ht="15" customHeight="1" x14ac:dyDescent="0.3">
      <c r="M2052" s="5"/>
    </row>
    <row r="2053" spans="13:13" ht="15" customHeight="1" x14ac:dyDescent="0.3">
      <c r="M2053" s="5"/>
    </row>
    <row r="2054" spans="13:13" ht="15" customHeight="1" x14ac:dyDescent="0.3">
      <c r="M2054" s="5"/>
    </row>
    <row r="2055" spans="13:13" ht="15" customHeight="1" x14ac:dyDescent="0.3">
      <c r="M2055" s="5"/>
    </row>
    <row r="2056" spans="13:13" ht="15" customHeight="1" x14ac:dyDescent="0.3">
      <c r="M2056" s="5"/>
    </row>
    <row r="2057" spans="13:13" ht="15" customHeight="1" x14ac:dyDescent="0.3">
      <c r="M2057" s="5"/>
    </row>
    <row r="2058" spans="13:13" ht="15" customHeight="1" x14ac:dyDescent="0.3">
      <c r="M2058" s="5"/>
    </row>
    <row r="2059" spans="13:13" ht="15" customHeight="1" x14ac:dyDescent="0.3">
      <c r="M2059" s="5"/>
    </row>
    <row r="2060" spans="13:13" ht="15" customHeight="1" x14ac:dyDescent="0.3">
      <c r="M2060" s="5"/>
    </row>
    <row r="2061" spans="13:13" ht="15" customHeight="1" x14ac:dyDescent="0.3">
      <c r="M2061" s="5"/>
    </row>
    <row r="2062" spans="13:13" ht="15" customHeight="1" x14ac:dyDescent="0.3">
      <c r="M2062" s="5"/>
    </row>
    <row r="2063" spans="13:13" ht="15" customHeight="1" x14ac:dyDescent="0.3">
      <c r="M2063" s="5"/>
    </row>
    <row r="2064" spans="13:13" ht="15" customHeight="1" x14ac:dyDescent="0.3">
      <c r="M2064" s="5"/>
    </row>
    <row r="2065" spans="13:13" ht="15" customHeight="1" x14ac:dyDescent="0.3">
      <c r="M2065" s="5"/>
    </row>
    <row r="2066" spans="13:13" ht="15" customHeight="1" x14ac:dyDescent="0.3">
      <c r="M2066" s="5"/>
    </row>
    <row r="2067" spans="13:13" ht="15" customHeight="1" x14ac:dyDescent="0.3">
      <c r="M2067" s="5"/>
    </row>
    <row r="2068" spans="13:13" ht="15" customHeight="1" x14ac:dyDescent="0.3">
      <c r="M2068" s="5"/>
    </row>
    <row r="2069" spans="13:13" ht="15" customHeight="1" x14ac:dyDescent="0.3">
      <c r="M2069" s="5"/>
    </row>
    <row r="2070" spans="13:13" ht="15" customHeight="1" x14ac:dyDescent="0.3">
      <c r="M2070" s="5"/>
    </row>
    <row r="2071" spans="13:13" ht="15" customHeight="1" x14ac:dyDescent="0.3">
      <c r="M2071" s="5"/>
    </row>
    <row r="2072" spans="13:13" ht="15" customHeight="1" x14ac:dyDescent="0.3">
      <c r="M2072" s="5"/>
    </row>
    <row r="2073" spans="13:13" ht="15" customHeight="1" x14ac:dyDescent="0.3">
      <c r="M2073" s="5"/>
    </row>
    <row r="2074" spans="13:13" ht="15" customHeight="1" x14ac:dyDescent="0.3">
      <c r="M2074" s="5"/>
    </row>
    <row r="2075" spans="13:13" ht="15" customHeight="1" x14ac:dyDescent="0.3">
      <c r="M2075" s="5"/>
    </row>
    <row r="2076" spans="13:13" ht="15" customHeight="1" x14ac:dyDescent="0.3">
      <c r="M2076" s="5"/>
    </row>
    <row r="2077" spans="13:13" ht="15" customHeight="1" x14ac:dyDescent="0.3">
      <c r="M2077" s="5"/>
    </row>
    <row r="2078" spans="13:13" ht="15" customHeight="1" x14ac:dyDescent="0.3">
      <c r="M2078" s="5"/>
    </row>
    <row r="2079" spans="13:13" ht="15" customHeight="1" x14ac:dyDescent="0.3">
      <c r="M2079" s="5"/>
    </row>
    <row r="2080" spans="13:13" ht="15" customHeight="1" x14ac:dyDescent="0.3">
      <c r="M2080" s="5"/>
    </row>
    <row r="2081" spans="13:13" ht="15" customHeight="1" x14ac:dyDescent="0.3">
      <c r="M2081" s="5"/>
    </row>
    <row r="2082" spans="13:13" ht="15" customHeight="1" x14ac:dyDescent="0.3">
      <c r="M2082" s="5"/>
    </row>
    <row r="2083" spans="13:13" ht="15" customHeight="1" x14ac:dyDescent="0.3">
      <c r="M2083" s="5"/>
    </row>
    <row r="2084" spans="13:13" ht="15" customHeight="1" x14ac:dyDescent="0.3">
      <c r="M2084" s="5"/>
    </row>
    <row r="2085" spans="13:13" ht="15" customHeight="1" x14ac:dyDescent="0.3">
      <c r="M2085" s="5"/>
    </row>
    <row r="2086" spans="13:13" ht="15" customHeight="1" x14ac:dyDescent="0.3">
      <c r="M2086" s="5"/>
    </row>
    <row r="2087" spans="13:13" ht="15" customHeight="1" x14ac:dyDescent="0.3">
      <c r="M2087" s="5"/>
    </row>
    <row r="2088" spans="13:13" ht="15" customHeight="1" x14ac:dyDescent="0.3">
      <c r="M2088" s="5"/>
    </row>
    <row r="2089" spans="13:13" ht="15" customHeight="1" x14ac:dyDescent="0.3">
      <c r="M2089" s="5"/>
    </row>
    <row r="2090" spans="13:13" ht="15" customHeight="1" x14ac:dyDescent="0.3">
      <c r="M2090" s="5"/>
    </row>
    <row r="2091" spans="13:13" ht="15" customHeight="1" x14ac:dyDescent="0.3">
      <c r="M2091" s="5"/>
    </row>
    <row r="2092" spans="13:13" ht="15" customHeight="1" x14ac:dyDescent="0.3">
      <c r="M2092" s="5"/>
    </row>
    <row r="2093" spans="13:13" ht="15" customHeight="1" x14ac:dyDescent="0.3">
      <c r="M2093" s="5"/>
    </row>
    <row r="2094" spans="13:13" ht="15" customHeight="1" x14ac:dyDescent="0.3">
      <c r="M2094" s="5"/>
    </row>
    <row r="2095" spans="13:13" ht="15" customHeight="1" x14ac:dyDescent="0.3">
      <c r="M2095" s="5"/>
    </row>
    <row r="2096" spans="13:13" ht="15" customHeight="1" x14ac:dyDescent="0.3">
      <c r="M2096" s="5"/>
    </row>
    <row r="2097" spans="13:13" ht="15" customHeight="1" x14ac:dyDescent="0.3">
      <c r="M2097" s="5"/>
    </row>
    <row r="2098" spans="13:13" ht="15" customHeight="1" x14ac:dyDescent="0.3">
      <c r="M2098" s="5"/>
    </row>
    <row r="2099" spans="13:13" ht="15" customHeight="1" x14ac:dyDescent="0.3">
      <c r="M2099" s="5"/>
    </row>
    <row r="2100" spans="13:13" ht="15" customHeight="1" x14ac:dyDescent="0.3">
      <c r="M2100" s="5"/>
    </row>
    <row r="2101" spans="13:13" ht="15" customHeight="1" x14ac:dyDescent="0.3">
      <c r="M2101" s="5"/>
    </row>
    <row r="2102" spans="13:13" ht="15" customHeight="1" x14ac:dyDescent="0.3">
      <c r="M2102" s="5"/>
    </row>
    <row r="2103" spans="13:13" ht="15" customHeight="1" x14ac:dyDescent="0.3">
      <c r="M2103" s="5"/>
    </row>
    <row r="2104" spans="13:13" ht="15" customHeight="1" x14ac:dyDescent="0.3">
      <c r="M2104" s="5"/>
    </row>
    <row r="2105" spans="13:13" ht="15" customHeight="1" x14ac:dyDescent="0.3">
      <c r="M2105" s="5"/>
    </row>
    <row r="2106" spans="13:13" ht="15" customHeight="1" x14ac:dyDescent="0.3">
      <c r="M2106" s="5"/>
    </row>
    <row r="2107" spans="13:13" ht="15" customHeight="1" x14ac:dyDescent="0.3">
      <c r="M2107" s="5"/>
    </row>
    <row r="2108" spans="13:13" ht="15" customHeight="1" x14ac:dyDescent="0.3">
      <c r="M2108" s="5"/>
    </row>
    <row r="2109" spans="13:13" ht="15" customHeight="1" x14ac:dyDescent="0.3">
      <c r="M2109" s="5"/>
    </row>
    <row r="2110" spans="13:13" ht="15" customHeight="1" x14ac:dyDescent="0.3">
      <c r="M2110" s="5"/>
    </row>
    <row r="2111" spans="13:13" ht="15" customHeight="1" x14ac:dyDescent="0.3">
      <c r="M2111" s="5"/>
    </row>
    <row r="2112" spans="13:13" ht="15" customHeight="1" x14ac:dyDescent="0.3">
      <c r="M2112" s="5"/>
    </row>
    <row r="2113" spans="13:13" ht="15" customHeight="1" x14ac:dyDescent="0.3">
      <c r="M2113" s="5"/>
    </row>
    <row r="2114" spans="13:13" ht="15" customHeight="1" x14ac:dyDescent="0.3">
      <c r="M2114" s="5"/>
    </row>
    <row r="2115" spans="13:13" ht="15" customHeight="1" x14ac:dyDescent="0.3">
      <c r="M2115" s="5"/>
    </row>
    <row r="2116" spans="13:13" ht="15" customHeight="1" x14ac:dyDescent="0.3">
      <c r="M2116" s="5"/>
    </row>
    <row r="2117" spans="13:13" ht="15" customHeight="1" x14ac:dyDescent="0.3">
      <c r="M2117" s="5"/>
    </row>
    <row r="2118" spans="13:13" ht="15" customHeight="1" x14ac:dyDescent="0.3">
      <c r="M2118" s="5"/>
    </row>
    <row r="2119" spans="13:13" ht="15" customHeight="1" x14ac:dyDescent="0.3">
      <c r="M2119" s="5"/>
    </row>
    <row r="2120" spans="13:13" ht="15" customHeight="1" x14ac:dyDescent="0.3">
      <c r="M2120" s="5"/>
    </row>
    <row r="2121" spans="13:13" ht="15" customHeight="1" x14ac:dyDescent="0.3">
      <c r="M2121" s="5"/>
    </row>
    <row r="2122" spans="13:13" ht="15" customHeight="1" x14ac:dyDescent="0.3">
      <c r="M2122" s="5"/>
    </row>
    <row r="2123" spans="13:13" ht="15" customHeight="1" x14ac:dyDescent="0.3">
      <c r="M2123" s="5"/>
    </row>
    <row r="2124" spans="13:13" ht="15" customHeight="1" x14ac:dyDescent="0.3">
      <c r="M2124" s="5"/>
    </row>
    <row r="2125" spans="13:13" ht="15" customHeight="1" x14ac:dyDescent="0.3">
      <c r="M2125" s="5"/>
    </row>
    <row r="2126" spans="13:13" ht="15" customHeight="1" x14ac:dyDescent="0.3">
      <c r="M2126" s="5"/>
    </row>
    <row r="2127" spans="13:13" ht="15" customHeight="1" x14ac:dyDescent="0.3">
      <c r="M2127" s="5"/>
    </row>
    <row r="2128" spans="13:13" ht="15" customHeight="1" x14ac:dyDescent="0.3">
      <c r="M2128" s="5"/>
    </row>
    <row r="2129" spans="13:13" ht="15" customHeight="1" x14ac:dyDescent="0.3">
      <c r="M2129" s="5"/>
    </row>
    <row r="2130" spans="13:13" ht="15" customHeight="1" x14ac:dyDescent="0.3">
      <c r="M2130" s="5"/>
    </row>
    <row r="2131" spans="13:13" ht="15" customHeight="1" x14ac:dyDescent="0.3">
      <c r="M2131" s="5"/>
    </row>
    <row r="2132" spans="13:13" ht="15" customHeight="1" x14ac:dyDescent="0.3">
      <c r="M2132" s="5"/>
    </row>
    <row r="2133" spans="13:13" ht="15" customHeight="1" x14ac:dyDescent="0.3">
      <c r="M2133" s="5"/>
    </row>
    <row r="2134" spans="13:13" ht="15" customHeight="1" x14ac:dyDescent="0.3">
      <c r="M2134" s="5"/>
    </row>
    <row r="2135" spans="13:13" ht="15" customHeight="1" x14ac:dyDescent="0.3">
      <c r="M2135" s="5"/>
    </row>
    <row r="2136" spans="13:13" ht="15" customHeight="1" x14ac:dyDescent="0.3">
      <c r="M2136" s="5"/>
    </row>
    <row r="2137" spans="13:13" ht="15" customHeight="1" x14ac:dyDescent="0.3">
      <c r="M2137" s="5"/>
    </row>
    <row r="2138" spans="13:13" ht="15" customHeight="1" x14ac:dyDescent="0.3">
      <c r="M2138" s="5"/>
    </row>
    <row r="2139" spans="13:13" ht="15" customHeight="1" x14ac:dyDescent="0.3">
      <c r="M2139" s="5"/>
    </row>
    <row r="2140" spans="13:13" ht="15" customHeight="1" x14ac:dyDescent="0.3">
      <c r="M2140" s="5"/>
    </row>
    <row r="2141" spans="13:13" ht="15" customHeight="1" x14ac:dyDescent="0.3">
      <c r="M2141" s="5"/>
    </row>
    <row r="2142" spans="13:13" ht="15" customHeight="1" x14ac:dyDescent="0.3">
      <c r="M2142" s="5"/>
    </row>
    <row r="2143" spans="13:13" ht="15" customHeight="1" x14ac:dyDescent="0.3">
      <c r="M2143" s="5"/>
    </row>
    <row r="2144" spans="13:13" ht="15" customHeight="1" x14ac:dyDescent="0.3">
      <c r="M2144" s="5"/>
    </row>
    <row r="2145" spans="13:13" ht="15" customHeight="1" x14ac:dyDescent="0.3">
      <c r="M2145" s="5"/>
    </row>
    <row r="2146" spans="13:13" ht="15" customHeight="1" x14ac:dyDescent="0.3">
      <c r="M2146" s="5"/>
    </row>
    <row r="2147" spans="13:13" ht="15" customHeight="1" x14ac:dyDescent="0.3">
      <c r="M2147" s="5"/>
    </row>
    <row r="2148" spans="13:13" ht="15" customHeight="1" x14ac:dyDescent="0.3">
      <c r="M2148" s="5"/>
    </row>
    <row r="2149" spans="13:13" ht="15" customHeight="1" x14ac:dyDescent="0.3">
      <c r="M2149" s="5"/>
    </row>
    <row r="2150" spans="13:13" ht="15" customHeight="1" x14ac:dyDescent="0.3">
      <c r="M2150" s="5"/>
    </row>
    <row r="2151" spans="13:13" ht="15" customHeight="1" x14ac:dyDescent="0.3">
      <c r="M2151" s="5"/>
    </row>
    <row r="2152" spans="13:13" ht="15" customHeight="1" x14ac:dyDescent="0.3">
      <c r="M2152" s="5"/>
    </row>
    <row r="2153" spans="13:13" ht="15" customHeight="1" x14ac:dyDescent="0.3">
      <c r="M2153" s="5"/>
    </row>
    <row r="2154" spans="13:13" ht="15" customHeight="1" x14ac:dyDescent="0.3">
      <c r="M2154" s="5"/>
    </row>
    <row r="2155" spans="13:13" ht="15" customHeight="1" x14ac:dyDescent="0.3">
      <c r="M2155" s="5"/>
    </row>
    <row r="2156" spans="13:13" ht="15" customHeight="1" x14ac:dyDescent="0.3">
      <c r="M2156" s="5"/>
    </row>
    <row r="2157" spans="13:13" ht="15" customHeight="1" x14ac:dyDescent="0.3">
      <c r="M2157" s="5"/>
    </row>
    <row r="2158" spans="13:13" ht="15" customHeight="1" x14ac:dyDescent="0.3">
      <c r="M2158" s="5"/>
    </row>
    <row r="2159" spans="13:13" ht="15" customHeight="1" x14ac:dyDescent="0.3">
      <c r="M2159" s="5"/>
    </row>
    <row r="2160" spans="13:13" ht="15" customHeight="1" x14ac:dyDescent="0.3">
      <c r="M2160" s="5"/>
    </row>
    <row r="2161" spans="13:13" ht="15" customHeight="1" x14ac:dyDescent="0.3">
      <c r="M2161" s="5"/>
    </row>
    <row r="2162" spans="13:13" ht="15" customHeight="1" x14ac:dyDescent="0.3">
      <c r="M2162" s="5"/>
    </row>
    <row r="2163" spans="13:13" ht="15" customHeight="1" x14ac:dyDescent="0.3">
      <c r="M2163" s="5"/>
    </row>
    <row r="2164" spans="13:13" ht="15" customHeight="1" x14ac:dyDescent="0.3">
      <c r="M2164" s="5"/>
    </row>
    <row r="2165" spans="13:13" ht="15" customHeight="1" x14ac:dyDescent="0.3">
      <c r="M2165" s="5"/>
    </row>
    <row r="2166" spans="13:13" ht="15" customHeight="1" x14ac:dyDescent="0.3">
      <c r="M2166" s="5"/>
    </row>
    <row r="2167" spans="13:13" ht="15" customHeight="1" x14ac:dyDescent="0.3">
      <c r="M2167" s="5"/>
    </row>
    <row r="2168" spans="13:13" ht="15" customHeight="1" x14ac:dyDescent="0.3">
      <c r="M2168" s="5"/>
    </row>
    <row r="2169" spans="13:13" ht="15" customHeight="1" x14ac:dyDescent="0.3">
      <c r="M2169" s="5"/>
    </row>
    <row r="2170" spans="13:13" ht="15" customHeight="1" x14ac:dyDescent="0.3">
      <c r="M2170" s="5"/>
    </row>
    <row r="2171" spans="13:13" ht="15" customHeight="1" x14ac:dyDescent="0.3">
      <c r="M2171" s="5"/>
    </row>
    <row r="2172" spans="13:13" ht="15" customHeight="1" x14ac:dyDescent="0.3">
      <c r="M2172" s="5"/>
    </row>
    <row r="2173" spans="13:13" ht="15" customHeight="1" x14ac:dyDescent="0.3">
      <c r="M2173" s="5"/>
    </row>
    <row r="2174" spans="13:13" ht="15" customHeight="1" x14ac:dyDescent="0.3">
      <c r="M2174" s="5"/>
    </row>
    <row r="2175" spans="13:13" ht="15" customHeight="1" x14ac:dyDescent="0.3">
      <c r="M2175" s="5"/>
    </row>
    <row r="2176" spans="13:13" ht="15" customHeight="1" x14ac:dyDescent="0.3">
      <c r="M2176" s="5"/>
    </row>
    <row r="2177" spans="13:13" ht="15" customHeight="1" x14ac:dyDescent="0.3">
      <c r="M2177" s="5"/>
    </row>
    <row r="2178" spans="13:13" ht="15" customHeight="1" x14ac:dyDescent="0.3">
      <c r="M2178" s="5"/>
    </row>
    <row r="2179" spans="13:13" ht="15" customHeight="1" x14ac:dyDescent="0.3">
      <c r="M2179" s="5"/>
    </row>
    <row r="2180" spans="13:13" ht="15" customHeight="1" x14ac:dyDescent="0.3">
      <c r="M2180" s="5"/>
    </row>
    <row r="2181" spans="13:13" ht="15" customHeight="1" x14ac:dyDescent="0.3">
      <c r="M2181" s="5"/>
    </row>
    <row r="2182" spans="13:13" ht="15" customHeight="1" x14ac:dyDescent="0.3">
      <c r="M2182" s="5"/>
    </row>
    <row r="2183" spans="13:13" ht="15" customHeight="1" x14ac:dyDescent="0.3">
      <c r="M2183" s="5"/>
    </row>
    <row r="2184" spans="13:13" ht="15" customHeight="1" x14ac:dyDescent="0.3">
      <c r="M2184" s="5"/>
    </row>
    <row r="2185" spans="13:13" ht="15" customHeight="1" x14ac:dyDescent="0.3">
      <c r="M2185" s="5"/>
    </row>
    <row r="2186" spans="13:13" ht="15" customHeight="1" x14ac:dyDescent="0.3">
      <c r="M2186" s="5"/>
    </row>
    <row r="2187" spans="13:13" ht="15" customHeight="1" x14ac:dyDescent="0.3">
      <c r="M2187" s="5"/>
    </row>
    <row r="2188" spans="13:13" ht="15" customHeight="1" x14ac:dyDescent="0.3">
      <c r="M2188" s="5"/>
    </row>
    <row r="2189" spans="13:13" ht="15" customHeight="1" x14ac:dyDescent="0.3">
      <c r="M2189" s="5"/>
    </row>
    <row r="2190" spans="13:13" ht="15" customHeight="1" x14ac:dyDescent="0.3">
      <c r="M2190" s="5"/>
    </row>
    <row r="2191" spans="13:13" ht="15" customHeight="1" x14ac:dyDescent="0.3">
      <c r="M2191" s="5"/>
    </row>
    <row r="2192" spans="13:13" ht="15" customHeight="1" x14ac:dyDescent="0.3">
      <c r="M2192" s="5"/>
    </row>
    <row r="2193" spans="13:13" ht="15" customHeight="1" x14ac:dyDescent="0.3">
      <c r="M2193" s="5"/>
    </row>
    <row r="2194" spans="13:13" ht="15" customHeight="1" x14ac:dyDescent="0.3">
      <c r="M2194" s="5"/>
    </row>
    <row r="2195" spans="13:13" ht="15" customHeight="1" x14ac:dyDescent="0.3">
      <c r="M2195" s="5"/>
    </row>
    <row r="2196" spans="13:13" ht="15" customHeight="1" x14ac:dyDescent="0.3">
      <c r="M2196" s="5"/>
    </row>
    <row r="2197" spans="13:13" ht="15" customHeight="1" x14ac:dyDescent="0.3">
      <c r="M2197" s="5"/>
    </row>
    <row r="2198" spans="13:13" ht="15" customHeight="1" x14ac:dyDescent="0.3">
      <c r="M2198" s="5"/>
    </row>
    <row r="2199" spans="13:13" ht="15" customHeight="1" x14ac:dyDescent="0.3">
      <c r="M2199" s="5"/>
    </row>
    <row r="2200" spans="13:13" ht="15" customHeight="1" x14ac:dyDescent="0.3">
      <c r="M2200" s="5"/>
    </row>
    <row r="2201" spans="13:13" ht="15" customHeight="1" x14ac:dyDescent="0.3">
      <c r="M2201" s="5"/>
    </row>
    <row r="2202" spans="13:13" ht="15" customHeight="1" x14ac:dyDescent="0.3">
      <c r="M2202" s="5"/>
    </row>
    <row r="2203" spans="13:13" ht="15" customHeight="1" x14ac:dyDescent="0.3">
      <c r="M2203" s="5"/>
    </row>
    <row r="2204" spans="13:13" ht="15" customHeight="1" x14ac:dyDescent="0.3">
      <c r="M2204" s="5"/>
    </row>
    <row r="2205" spans="13:13" ht="15" customHeight="1" x14ac:dyDescent="0.3">
      <c r="M2205" s="5"/>
    </row>
    <row r="2206" spans="13:13" ht="15" customHeight="1" x14ac:dyDescent="0.3">
      <c r="M2206" s="5"/>
    </row>
    <row r="2207" spans="13:13" ht="15" customHeight="1" x14ac:dyDescent="0.3">
      <c r="M2207" s="5"/>
    </row>
    <row r="2208" spans="13:13" ht="15" customHeight="1" x14ac:dyDescent="0.3">
      <c r="M2208" s="5"/>
    </row>
    <row r="2209" spans="13:13" ht="15" customHeight="1" x14ac:dyDescent="0.3">
      <c r="M2209" s="5"/>
    </row>
    <row r="2210" spans="13:13" ht="15" customHeight="1" x14ac:dyDescent="0.3">
      <c r="M2210" s="5"/>
    </row>
    <row r="2211" spans="13:13" ht="15" customHeight="1" x14ac:dyDescent="0.3">
      <c r="M2211" s="5"/>
    </row>
    <row r="2212" spans="13:13" ht="15" customHeight="1" x14ac:dyDescent="0.3">
      <c r="M2212" s="5"/>
    </row>
    <row r="2213" spans="13:13" ht="15" customHeight="1" x14ac:dyDescent="0.3">
      <c r="M2213" s="5"/>
    </row>
    <row r="2214" spans="13:13" ht="15" customHeight="1" x14ac:dyDescent="0.3">
      <c r="M2214" s="5"/>
    </row>
    <row r="2215" spans="13:13" ht="15" customHeight="1" x14ac:dyDescent="0.3">
      <c r="M2215" s="5"/>
    </row>
    <row r="2216" spans="13:13" ht="15" customHeight="1" x14ac:dyDescent="0.3">
      <c r="M2216" s="5"/>
    </row>
    <row r="2217" spans="13:13" ht="15" customHeight="1" x14ac:dyDescent="0.3">
      <c r="M2217" s="5"/>
    </row>
    <row r="2218" spans="13:13" ht="15" customHeight="1" x14ac:dyDescent="0.3">
      <c r="M2218" s="5"/>
    </row>
    <row r="2219" spans="13:13" ht="15" customHeight="1" x14ac:dyDescent="0.3">
      <c r="M2219" s="5"/>
    </row>
    <row r="2220" spans="13:13" ht="15" customHeight="1" x14ac:dyDescent="0.3">
      <c r="M2220" s="5"/>
    </row>
    <row r="2221" spans="13:13" ht="15" customHeight="1" x14ac:dyDescent="0.3">
      <c r="M2221" s="5"/>
    </row>
    <row r="2222" spans="13:13" ht="15" customHeight="1" x14ac:dyDescent="0.3">
      <c r="M2222" s="5"/>
    </row>
    <row r="2223" spans="13:13" ht="15" customHeight="1" x14ac:dyDescent="0.3">
      <c r="M2223" s="5"/>
    </row>
    <row r="2224" spans="13:13" ht="15" customHeight="1" x14ac:dyDescent="0.3">
      <c r="M2224" s="5"/>
    </row>
    <row r="2225" spans="13:13" ht="15" customHeight="1" x14ac:dyDescent="0.3">
      <c r="M2225" s="5"/>
    </row>
    <row r="2226" spans="13:13" ht="15" customHeight="1" x14ac:dyDescent="0.3">
      <c r="M2226" s="5"/>
    </row>
    <row r="2227" spans="13:13" ht="15" customHeight="1" x14ac:dyDescent="0.3">
      <c r="M2227" s="5"/>
    </row>
    <row r="2228" spans="13:13" ht="15" customHeight="1" x14ac:dyDescent="0.3">
      <c r="M2228" s="5"/>
    </row>
    <row r="2229" spans="13:13" ht="15" customHeight="1" x14ac:dyDescent="0.3">
      <c r="M2229" s="5"/>
    </row>
    <row r="2230" spans="13:13" ht="15" customHeight="1" x14ac:dyDescent="0.3">
      <c r="M2230" s="5"/>
    </row>
    <row r="2231" spans="13:13" ht="15" customHeight="1" x14ac:dyDescent="0.3">
      <c r="M2231" s="5"/>
    </row>
    <row r="2232" spans="13:13" ht="15" customHeight="1" x14ac:dyDescent="0.3">
      <c r="M2232" s="5"/>
    </row>
    <row r="2233" spans="13:13" ht="15" customHeight="1" x14ac:dyDescent="0.3">
      <c r="M2233" s="5"/>
    </row>
    <row r="2234" spans="13:13" ht="15" customHeight="1" x14ac:dyDescent="0.3">
      <c r="M2234" s="5"/>
    </row>
    <row r="2235" spans="13:13" ht="15" customHeight="1" x14ac:dyDescent="0.3">
      <c r="M2235" s="5"/>
    </row>
    <row r="2236" spans="13:13" ht="15" customHeight="1" x14ac:dyDescent="0.3">
      <c r="M2236" s="5"/>
    </row>
    <row r="2237" spans="13:13" ht="15" customHeight="1" x14ac:dyDescent="0.3">
      <c r="M2237" s="5"/>
    </row>
    <row r="2238" spans="13:13" ht="15" customHeight="1" x14ac:dyDescent="0.3">
      <c r="M2238" s="5"/>
    </row>
    <row r="2239" spans="13:13" ht="15" customHeight="1" x14ac:dyDescent="0.3">
      <c r="M2239" s="5"/>
    </row>
    <row r="2240" spans="13:13" ht="15" customHeight="1" x14ac:dyDescent="0.3">
      <c r="M2240" s="5"/>
    </row>
    <row r="2241" spans="13:13" ht="15" customHeight="1" x14ac:dyDescent="0.3">
      <c r="M2241" s="5"/>
    </row>
    <row r="2242" spans="13:13" ht="15" customHeight="1" x14ac:dyDescent="0.3">
      <c r="M2242" s="5"/>
    </row>
    <row r="2243" spans="13:13" ht="15" customHeight="1" x14ac:dyDescent="0.3">
      <c r="M2243" s="5"/>
    </row>
    <row r="2244" spans="13:13" ht="15" customHeight="1" x14ac:dyDescent="0.3">
      <c r="M2244" s="5"/>
    </row>
    <row r="2245" spans="13:13" ht="15" customHeight="1" x14ac:dyDescent="0.3">
      <c r="M2245" s="5"/>
    </row>
    <row r="2246" spans="13:13" ht="15" customHeight="1" x14ac:dyDescent="0.3">
      <c r="M2246" s="5"/>
    </row>
    <row r="2247" spans="13:13" ht="15" customHeight="1" x14ac:dyDescent="0.3">
      <c r="M2247" s="5"/>
    </row>
    <row r="2248" spans="13:13" ht="15" customHeight="1" x14ac:dyDescent="0.3">
      <c r="M2248" s="5"/>
    </row>
    <row r="2249" spans="13:13" ht="15" customHeight="1" x14ac:dyDescent="0.3">
      <c r="M2249" s="5"/>
    </row>
    <row r="2250" spans="13:13" ht="15" customHeight="1" x14ac:dyDescent="0.3">
      <c r="M2250" s="5"/>
    </row>
    <row r="2251" spans="13:13" ht="15" customHeight="1" x14ac:dyDescent="0.3">
      <c r="M2251" s="5"/>
    </row>
    <row r="2252" spans="13:13" ht="15" customHeight="1" x14ac:dyDescent="0.3">
      <c r="M2252" s="5"/>
    </row>
    <row r="2253" spans="13:13" ht="15" customHeight="1" x14ac:dyDescent="0.3">
      <c r="M2253" s="5"/>
    </row>
    <row r="2254" spans="13:13" ht="15" customHeight="1" x14ac:dyDescent="0.3">
      <c r="M2254" s="5"/>
    </row>
    <row r="2255" spans="13:13" ht="15" customHeight="1" x14ac:dyDescent="0.3">
      <c r="M2255" s="5"/>
    </row>
    <row r="2256" spans="13:13" ht="15" customHeight="1" x14ac:dyDescent="0.3">
      <c r="M2256" s="5"/>
    </row>
    <row r="2257" spans="13:13" ht="15" customHeight="1" x14ac:dyDescent="0.3">
      <c r="M2257" s="5"/>
    </row>
    <row r="2258" spans="13:13" ht="15" customHeight="1" x14ac:dyDescent="0.3">
      <c r="M2258" s="5"/>
    </row>
    <row r="2259" spans="13:13" ht="15" customHeight="1" x14ac:dyDescent="0.3">
      <c r="M2259" s="5"/>
    </row>
    <row r="2260" spans="13:13" ht="15" customHeight="1" x14ac:dyDescent="0.3">
      <c r="M2260" s="5"/>
    </row>
    <row r="2261" spans="13:13" ht="15" customHeight="1" x14ac:dyDescent="0.3">
      <c r="M2261" s="5"/>
    </row>
    <row r="2262" spans="13:13" ht="15" customHeight="1" x14ac:dyDescent="0.3">
      <c r="M2262" s="5"/>
    </row>
    <row r="2263" spans="13:13" ht="15" customHeight="1" x14ac:dyDescent="0.3">
      <c r="M2263" s="5"/>
    </row>
    <row r="2264" spans="13:13" ht="15" customHeight="1" x14ac:dyDescent="0.3">
      <c r="M2264" s="5"/>
    </row>
    <row r="2265" spans="13:13" ht="15" customHeight="1" x14ac:dyDescent="0.3">
      <c r="M2265" s="5"/>
    </row>
    <row r="2266" spans="13:13" ht="15" customHeight="1" x14ac:dyDescent="0.3">
      <c r="M2266" s="5"/>
    </row>
    <row r="2267" spans="13:13" ht="15" customHeight="1" x14ac:dyDescent="0.3">
      <c r="M2267" s="5"/>
    </row>
    <row r="2268" spans="13:13" ht="15" customHeight="1" x14ac:dyDescent="0.3">
      <c r="M2268" s="5"/>
    </row>
    <row r="2269" spans="13:13" ht="15" customHeight="1" x14ac:dyDescent="0.3">
      <c r="M2269" s="5"/>
    </row>
    <row r="2270" spans="13:13" ht="15" customHeight="1" x14ac:dyDescent="0.3">
      <c r="M2270" s="5"/>
    </row>
    <row r="2271" spans="13:13" ht="15" customHeight="1" x14ac:dyDescent="0.3">
      <c r="M2271" s="5"/>
    </row>
    <row r="2272" spans="13:13" ht="15" customHeight="1" x14ac:dyDescent="0.3">
      <c r="M2272" s="5"/>
    </row>
    <row r="2273" spans="13:13" ht="15" customHeight="1" x14ac:dyDescent="0.3">
      <c r="M2273" s="5"/>
    </row>
    <row r="2274" spans="13:13" ht="15" customHeight="1" x14ac:dyDescent="0.3">
      <c r="M2274" s="5"/>
    </row>
    <row r="2275" spans="13:13" ht="15" customHeight="1" x14ac:dyDescent="0.3">
      <c r="M2275" s="5"/>
    </row>
    <row r="2276" spans="13:13" ht="15" customHeight="1" x14ac:dyDescent="0.3">
      <c r="M2276" s="5"/>
    </row>
    <row r="2277" spans="13:13" ht="15" customHeight="1" x14ac:dyDescent="0.3">
      <c r="M2277" s="5"/>
    </row>
    <row r="2278" spans="13:13" ht="15" customHeight="1" x14ac:dyDescent="0.3">
      <c r="M2278" s="5"/>
    </row>
    <row r="2279" spans="13:13" ht="15" customHeight="1" x14ac:dyDescent="0.3">
      <c r="M2279" s="5"/>
    </row>
    <row r="2280" spans="13:13" ht="15" customHeight="1" x14ac:dyDescent="0.3">
      <c r="M2280" s="5"/>
    </row>
    <row r="2281" spans="13:13" ht="15" customHeight="1" x14ac:dyDescent="0.3">
      <c r="M2281" s="5"/>
    </row>
    <row r="2282" spans="13:13" ht="15" customHeight="1" x14ac:dyDescent="0.3">
      <c r="M2282" s="5"/>
    </row>
    <row r="2283" spans="13:13" ht="15" customHeight="1" x14ac:dyDescent="0.3">
      <c r="M2283" s="5"/>
    </row>
    <row r="2284" spans="13:13" ht="15" customHeight="1" x14ac:dyDescent="0.3">
      <c r="M2284" s="5"/>
    </row>
    <row r="2285" spans="13:13" ht="15" customHeight="1" x14ac:dyDescent="0.3">
      <c r="M2285" s="5"/>
    </row>
    <row r="2286" spans="13:13" ht="15" customHeight="1" x14ac:dyDescent="0.3">
      <c r="M2286" s="5"/>
    </row>
    <row r="2287" spans="13:13" ht="15" customHeight="1" x14ac:dyDescent="0.3">
      <c r="M2287" s="5"/>
    </row>
    <row r="2288" spans="13:13" ht="15" customHeight="1" x14ac:dyDescent="0.3">
      <c r="M2288" s="5"/>
    </row>
    <row r="2289" spans="13:13" ht="15" customHeight="1" x14ac:dyDescent="0.3">
      <c r="M2289" s="5"/>
    </row>
    <row r="2290" spans="13:13" ht="15" customHeight="1" x14ac:dyDescent="0.3">
      <c r="M2290" s="5"/>
    </row>
    <row r="2291" spans="13:13" ht="15" customHeight="1" x14ac:dyDescent="0.3">
      <c r="M2291" s="5"/>
    </row>
    <row r="2292" spans="13:13" ht="15" customHeight="1" x14ac:dyDescent="0.3">
      <c r="M2292" s="5"/>
    </row>
    <row r="2293" spans="13:13" ht="15" customHeight="1" x14ac:dyDescent="0.3">
      <c r="M2293" s="5"/>
    </row>
    <row r="2294" spans="13:13" ht="15" customHeight="1" x14ac:dyDescent="0.3">
      <c r="M2294" s="5"/>
    </row>
    <row r="2295" spans="13:13" ht="15" customHeight="1" x14ac:dyDescent="0.3">
      <c r="M2295" s="5"/>
    </row>
    <row r="2296" spans="13:13" ht="15" customHeight="1" x14ac:dyDescent="0.3">
      <c r="M2296" s="5"/>
    </row>
    <row r="2297" spans="13:13" ht="15" customHeight="1" x14ac:dyDescent="0.3">
      <c r="M2297" s="5"/>
    </row>
    <row r="2298" spans="13:13" ht="15" customHeight="1" x14ac:dyDescent="0.3">
      <c r="M2298" s="5"/>
    </row>
    <row r="2299" spans="13:13" ht="15" customHeight="1" x14ac:dyDescent="0.3">
      <c r="M2299" s="5"/>
    </row>
    <row r="2300" spans="13:13" ht="15" customHeight="1" x14ac:dyDescent="0.3">
      <c r="M2300" s="5"/>
    </row>
    <row r="2301" spans="13:13" ht="15" customHeight="1" x14ac:dyDescent="0.3">
      <c r="M2301" s="5"/>
    </row>
    <row r="2302" spans="13:13" ht="15" customHeight="1" x14ac:dyDescent="0.3">
      <c r="M2302" s="5"/>
    </row>
    <row r="2303" spans="13:13" ht="15" customHeight="1" x14ac:dyDescent="0.3">
      <c r="M2303" s="5"/>
    </row>
    <row r="2304" spans="13:13" ht="15" customHeight="1" x14ac:dyDescent="0.3">
      <c r="M2304" s="5"/>
    </row>
    <row r="2305" spans="13:13" ht="15" customHeight="1" x14ac:dyDescent="0.3">
      <c r="M2305" s="5"/>
    </row>
    <row r="2306" spans="13:13" ht="15" customHeight="1" x14ac:dyDescent="0.3">
      <c r="M2306" s="5"/>
    </row>
    <row r="2307" spans="13:13" ht="15" customHeight="1" x14ac:dyDescent="0.3">
      <c r="M2307" s="5"/>
    </row>
    <row r="2308" spans="13:13" ht="15" customHeight="1" x14ac:dyDescent="0.3">
      <c r="M2308" s="5"/>
    </row>
    <row r="2309" spans="13:13" ht="15" customHeight="1" x14ac:dyDescent="0.3">
      <c r="M2309" s="5"/>
    </row>
    <row r="2310" spans="13:13" ht="15" customHeight="1" x14ac:dyDescent="0.3">
      <c r="M2310" s="5"/>
    </row>
    <row r="2311" spans="13:13" ht="15" customHeight="1" x14ac:dyDescent="0.3">
      <c r="M2311" s="5"/>
    </row>
    <row r="2312" spans="13:13" ht="15" customHeight="1" x14ac:dyDescent="0.3">
      <c r="M2312" s="5"/>
    </row>
    <row r="2313" spans="13:13" ht="15" customHeight="1" x14ac:dyDescent="0.3">
      <c r="M2313" s="5"/>
    </row>
    <row r="2314" spans="13:13" ht="15" customHeight="1" x14ac:dyDescent="0.3">
      <c r="M2314" s="5"/>
    </row>
    <row r="2315" spans="13:13" ht="15" customHeight="1" x14ac:dyDescent="0.3">
      <c r="M2315" s="5"/>
    </row>
    <row r="2316" spans="13:13" ht="15" customHeight="1" x14ac:dyDescent="0.3">
      <c r="M2316" s="5"/>
    </row>
    <row r="2317" spans="13:13" ht="15" customHeight="1" x14ac:dyDescent="0.3">
      <c r="M2317" s="5"/>
    </row>
    <row r="2318" spans="13:13" ht="15" customHeight="1" x14ac:dyDescent="0.3">
      <c r="M2318" s="5"/>
    </row>
    <row r="2319" spans="13:13" ht="15" customHeight="1" x14ac:dyDescent="0.3">
      <c r="M2319" s="5"/>
    </row>
    <row r="2320" spans="13:13" ht="15" customHeight="1" x14ac:dyDescent="0.3">
      <c r="M2320" s="5"/>
    </row>
    <row r="2321" spans="13:13" ht="15" customHeight="1" x14ac:dyDescent="0.3">
      <c r="M2321" s="5"/>
    </row>
    <row r="2322" spans="13:13" ht="15" customHeight="1" x14ac:dyDescent="0.3">
      <c r="M2322" s="5"/>
    </row>
    <row r="2323" spans="13:13" ht="15" customHeight="1" x14ac:dyDescent="0.3">
      <c r="M2323" s="5"/>
    </row>
    <row r="2324" spans="13:13" ht="15" customHeight="1" x14ac:dyDescent="0.3">
      <c r="M2324" s="5"/>
    </row>
    <row r="2325" spans="13:13" ht="15" customHeight="1" x14ac:dyDescent="0.3">
      <c r="M2325" s="5"/>
    </row>
    <row r="2326" spans="13:13" ht="15" customHeight="1" x14ac:dyDescent="0.3">
      <c r="M2326" s="5"/>
    </row>
    <row r="2327" spans="13:13" ht="15" customHeight="1" x14ac:dyDescent="0.3">
      <c r="M2327" s="5"/>
    </row>
    <row r="2328" spans="13:13" ht="15" customHeight="1" x14ac:dyDescent="0.3">
      <c r="M2328" s="5"/>
    </row>
    <row r="2329" spans="13:13" ht="15" customHeight="1" x14ac:dyDescent="0.3">
      <c r="M2329" s="5"/>
    </row>
    <row r="2330" spans="13:13" ht="15" customHeight="1" x14ac:dyDescent="0.3">
      <c r="M2330" s="5"/>
    </row>
    <row r="2331" spans="13:13" ht="15" customHeight="1" x14ac:dyDescent="0.3">
      <c r="M2331" s="5"/>
    </row>
    <row r="2332" spans="13:13" ht="15" customHeight="1" x14ac:dyDescent="0.3">
      <c r="M2332" s="5"/>
    </row>
    <row r="2333" spans="13:13" ht="15" customHeight="1" x14ac:dyDescent="0.3">
      <c r="M2333" s="5"/>
    </row>
    <row r="2334" spans="13:13" ht="15" customHeight="1" x14ac:dyDescent="0.3">
      <c r="M2334" s="5"/>
    </row>
    <row r="2335" spans="13:13" ht="15" customHeight="1" x14ac:dyDescent="0.3">
      <c r="M2335" s="5"/>
    </row>
    <row r="2336" spans="13:13" ht="15" customHeight="1" x14ac:dyDescent="0.3">
      <c r="M2336" s="5"/>
    </row>
    <row r="2337" spans="13:13" ht="15" customHeight="1" x14ac:dyDescent="0.3">
      <c r="M2337" s="5"/>
    </row>
    <row r="2338" spans="13:13" ht="15" customHeight="1" x14ac:dyDescent="0.3">
      <c r="M2338" s="5"/>
    </row>
    <row r="2339" spans="13:13" ht="15" customHeight="1" x14ac:dyDescent="0.3">
      <c r="M2339" s="5"/>
    </row>
    <row r="2340" spans="13:13" ht="15" customHeight="1" x14ac:dyDescent="0.3">
      <c r="M2340" s="5"/>
    </row>
    <row r="2341" spans="13:13" ht="15" customHeight="1" x14ac:dyDescent="0.3">
      <c r="M2341" s="5"/>
    </row>
    <row r="2342" spans="13:13" ht="15" customHeight="1" x14ac:dyDescent="0.3">
      <c r="M2342" s="5"/>
    </row>
    <row r="2343" spans="13:13" ht="15" customHeight="1" x14ac:dyDescent="0.3">
      <c r="M2343" s="5"/>
    </row>
    <row r="2344" spans="13:13" ht="15" customHeight="1" x14ac:dyDescent="0.3">
      <c r="M2344" s="5"/>
    </row>
    <row r="2345" spans="13:13" ht="15" customHeight="1" x14ac:dyDescent="0.3">
      <c r="M2345" s="5"/>
    </row>
    <row r="2346" spans="13:13" ht="15" customHeight="1" x14ac:dyDescent="0.3">
      <c r="M2346" s="5"/>
    </row>
    <row r="2347" spans="13:13" ht="15" customHeight="1" x14ac:dyDescent="0.3">
      <c r="M2347" s="5"/>
    </row>
    <row r="2348" spans="13:13" ht="15" customHeight="1" x14ac:dyDescent="0.3">
      <c r="M2348" s="5"/>
    </row>
    <row r="2349" spans="13:13" ht="15" customHeight="1" x14ac:dyDescent="0.3">
      <c r="M2349" s="5"/>
    </row>
    <row r="2350" spans="13:13" ht="15" customHeight="1" x14ac:dyDescent="0.3">
      <c r="M2350" s="5"/>
    </row>
    <row r="2351" spans="13:13" ht="15" customHeight="1" x14ac:dyDescent="0.3">
      <c r="M2351" s="5"/>
    </row>
    <row r="2352" spans="13:13" ht="15" customHeight="1" x14ac:dyDescent="0.3">
      <c r="M2352" s="5"/>
    </row>
    <row r="2353" spans="13:13" ht="15" customHeight="1" x14ac:dyDescent="0.3">
      <c r="M2353" s="5"/>
    </row>
    <row r="2354" spans="13:13" ht="15" customHeight="1" x14ac:dyDescent="0.3">
      <c r="M2354" s="5"/>
    </row>
    <row r="2355" spans="13:13" ht="15" customHeight="1" x14ac:dyDescent="0.3">
      <c r="M2355" s="5"/>
    </row>
    <row r="2356" spans="13:13" ht="15" customHeight="1" x14ac:dyDescent="0.3">
      <c r="M2356" s="5"/>
    </row>
    <row r="2357" spans="13:13" ht="15" customHeight="1" x14ac:dyDescent="0.3">
      <c r="M2357" s="5"/>
    </row>
    <row r="2358" spans="13:13" ht="15" customHeight="1" x14ac:dyDescent="0.3">
      <c r="M2358" s="5"/>
    </row>
    <row r="2359" spans="13:13" ht="15" customHeight="1" x14ac:dyDescent="0.3">
      <c r="M2359" s="5"/>
    </row>
    <row r="2360" spans="13:13" ht="15" customHeight="1" x14ac:dyDescent="0.3">
      <c r="M2360" s="5"/>
    </row>
    <row r="2361" spans="13:13" ht="15" customHeight="1" x14ac:dyDescent="0.3">
      <c r="M2361" s="5"/>
    </row>
    <row r="2362" spans="13:13" ht="15" customHeight="1" x14ac:dyDescent="0.3">
      <c r="M2362" s="5"/>
    </row>
    <row r="2363" spans="13:13" ht="15" customHeight="1" x14ac:dyDescent="0.3">
      <c r="M2363" s="5"/>
    </row>
    <row r="2364" spans="13:13" ht="15" customHeight="1" x14ac:dyDescent="0.3">
      <c r="M2364" s="5"/>
    </row>
    <row r="2365" spans="13:13" ht="15" customHeight="1" x14ac:dyDescent="0.3">
      <c r="M2365" s="5"/>
    </row>
    <row r="2366" spans="13:13" ht="15" customHeight="1" x14ac:dyDescent="0.3">
      <c r="M2366" s="5"/>
    </row>
    <row r="2367" spans="13:13" ht="15" customHeight="1" x14ac:dyDescent="0.3">
      <c r="M2367" s="5"/>
    </row>
    <row r="2368" spans="13:13" ht="15" customHeight="1" x14ac:dyDescent="0.3">
      <c r="M2368" s="5"/>
    </row>
    <row r="2369" spans="13:13" ht="15" customHeight="1" x14ac:dyDescent="0.3">
      <c r="M2369" s="5"/>
    </row>
    <row r="2370" spans="13:13" ht="15" customHeight="1" x14ac:dyDescent="0.3">
      <c r="M2370" s="5"/>
    </row>
    <row r="2371" spans="13:13" ht="15" customHeight="1" x14ac:dyDescent="0.3">
      <c r="M2371" s="5"/>
    </row>
    <row r="2372" spans="13:13" ht="15" customHeight="1" x14ac:dyDescent="0.3">
      <c r="M2372" s="5"/>
    </row>
    <row r="2373" spans="13:13" ht="15" customHeight="1" x14ac:dyDescent="0.3">
      <c r="M2373" s="5"/>
    </row>
    <row r="2374" spans="13:13" ht="15" customHeight="1" x14ac:dyDescent="0.3">
      <c r="M2374" s="5"/>
    </row>
    <row r="2375" spans="13:13" ht="15" customHeight="1" x14ac:dyDescent="0.3">
      <c r="M2375" s="5"/>
    </row>
    <row r="2376" spans="13:13" ht="15" customHeight="1" x14ac:dyDescent="0.3">
      <c r="M2376" s="5"/>
    </row>
    <row r="2377" spans="13:13" ht="15" customHeight="1" x14ac:dyDescent="0.3">
      <c r="M2377" s="5"/>
    </row>
    <row r="2378" spans="13:13" ht="15" customHeight="1" x14ac:dyDescent="0.3">
      <c r="M2378" s="5"/>
    </row>
    <row r="2379" spans="13:13" ht="15" customHeight="1" x14ac:dyDescent="0.3">
      <c r="M2379" s="5"/>
    </row>
    <row r="2380" spans="13:13" ht="15" customHeight="1" x14ac:dyDescent="0.3">
      <c r="M2380" s="5"/>
    </row>
    <row r="2381" spans="13:13" ht="15" customHeight="1" x14ac:dyDescent="0.3">
      <c r="M2381" s="5"/>
    </row>
    <row r="2382" spans="13:13" ht="15" customHeight="1" x14ac:dyDescent="0.3">
      <c r="M2382" s="5"/>
    </row>
    <row r="2383" spans="13:13" ht="15" customHeight="1" x14ac:dyDescent="0.3">
      <c r="M2383" s="5"/>
    </row>
    <row r="2384" spans="13:13" ht="15" customHeight="1" x14ac:dyDescent="0.3">
      <c r="M2384" s="5"/>
    </row>
    <row r="2385" spans="13:13" ht="15" customHeight="1" x14ac:dyDescent="0.3">
      <c r="M2385" s="5"/>
    </row>
    <row r="2386" spans="13:13" ht="15" customHeight="1" x14ac:dyDescent="0.3">
      <c r="M2386" s="5"/>
    </row>
    <row r="2387" spans="13:13" ht="15" customHeight="1" x14ac:dyDescent="0.3">
      <c r="M2387" s="5"/>
    </row>
    <row r="2388" spans="13:13" ht="15" customHeight="1" x14ac:dyDescent="0.3">
      <c r="M2388" s="5"/>
    </row>
    <row r="2389" spans="13:13" ht="15" customHeight="1" x14ac:dyDescent="0.3">
      <c r="M2389" s="5"/>
    </row>
    <row r="2390" spans="13:13" ht="15" customHeight="1" x14ac:dyDescent="0.3">
      <c r="M2390" s="5"/>
    </row>
    <row r="2391" spans="13:13" ht="15" customHeight="1" x14ac:dyDescent="0.3">
      <c r="M2391" s="5"/>
    </row>
    <row r="2392" spans="13:13" ht="15" customHeight="1" x14ac:dyDescent="0.3">
      <c r="M2392" s="5"/>
    </row>
    <row r="2393" spans="13:13" ht="15" customHeight="1" x14ac:dyDescent="0.3">
      <c r="M2393" s="5"/>
    </row>
    <row r="2394" spans="13:13" ht="15" customHeight="1" x14ac:dyDescent="0.3">
      <c r="M2394" s="5"/>
    </row>
    <row r="2395" spans="13:13" ht="15" customHeight="1" x14ac:dyDescent="0.3">
      <c r="M2395" s="5"/>
    </row>
    <row r="2396" spans="13:13" ht="15" customHeight="1" x14ac:dyDescent="0.3">
      <c r="M2396" s="5"/>
    </row>
    <row r="2397" spans="13:13" ht="15" customHeight="1" x14ac:dyDescent="0.3">
      <c r="M2397" s="5"/>
    </row>
    <row r="2398" spans="13:13" ht="15" customHeight="1" x14ac:dyDescent="0.3">
      <c r="M2398" s="5"/>
    </row>
    <row r="2399" spans="13:13" ht="15" customHeight="1" x14ac:dyDescent="0.3">
      <c r="M2399" s="5"/>
    </row>
    <row r="2400" spans="13:13" ht="15" customHeight="1" x14ac:dyDescent="0.3">
      <c r="M2400" s="5"/>
    </row>
    <row r="2401" spans="13:13" ht="15" customHeight="1" x14ac:dyDescent="0.3">
      <c r="M2401" s="5"/>
    </row>
    <row r="2402" spans="13:13" ht="15" customHeight="1" x14ac:dyDescent="0.3">
      <c r="M2402" s="5"/>
    </row>
    <row r="2403" spans="13:13" ht="15" customHeight="1" x14ac:dyDescent="0.3">
      <c r="M2403" s="5"/>
    </row>
    <row r="2404" spans="13:13" ht="15" customHeight="1" x14ac:dyDescent="0.3">
      <c r="M2404" s="5"/>
    </row>
    <row r="2405" spans="13:13" ht="15" customHeight="1" x14ac:dyDescent="0.3">
      <c r="M2405" s="5"/>
    </row>
    <row r="2406" spans="13:13" ht="15" customHeight="1" x14ac:dyDescent="0.3">
      <c r="M2406" s="5"/>
    </row>
    <row r="2407" spans="13:13" ht="15" customHeight="1" x14ac:dyDescent="0.3">
      <c r="M2407" s="5"/>
    </row>
    <row r="2408" spans="13:13" ht="15" customHeight="1" x14ac:dyDescent="0.3">
      <c r="M2408" s="5"/>
    </row>
    <row r="2409" spans="13:13" ht="15" customHeight="1" x14ac:dyDescent="0.3">
      <c r="M2409" s="5"/>
    </row>
    <row r="2410" spans="13:13" ht="15" customHeight="1" x14ac:dyDescent="0.3">
      <c r="M2410" s="5"/>
    </row>
    <row r="2411" spans="13:13" ht="15" customHeight="1" x14ac:dyDescent="0.3">
      <c r="M2411" s="5"/>
    </row>
    <row r="2412" spans="13:13" ht="15" customHeight="1" x14ac:dyDescent="0.3">
      <c r="M2412" s="5"/>
    </row>
    <row r="2413" spans="13:13" ht="15" customHeight="1" x14ac:dyDescent="0.3">
      <c r="M2413" s="5"/>
    </row>
    <row r="2414" spans="13:13" ht="15" customHeight="1" x14ac:dyDescent="0.3">
      <c r="M2414" s="5"/>
    </row>
    <row r="2415" spans="13:13" ht="15" customHeight="1" x14ac:dyDescent="0.3">
      <c r="M2415" s="5"/>
    </row>
    <row r="2416" spans="13:13" ht="15" customHeight="1" x14ac:dyDescent="0.3">
      <c r="M2416" s="5"/>
    </row>
    <row r="2417" spans="13:13" ht="15" customHeight="1" x14ac:dyDescent="0.3">
      <c r="M2417" s="5"/>
    </row>
    <row r="2418" spans="13:13" ht="15" customHeight="1" x14ac:dyDescent="0.3">
      <c r="M2418" s="5"/>
    </row>
    <row r="2419" spans="13:13" ht="15" customHeight="1" x14ac:dyDescent="0.3">
      <c r="M2419" s="5"/>
    </row>
    <row r="2420" spans="13:13" ht="15" customHeight="1" x14ac:dyDescent="0.3">
      <c r="M2420" s="5"/>
    </row>
    <row r="2421" spans="13:13" ht="15" customHeight="1" x14ac:dyDescent="0.3">
      <c r="M2421" s="5"/>
    </row>
    <row r="2422" spans="13:13" ht="15" customHeight="1" x14ac:dyDescent="0.3">
      <c r="M2422" s="5"/>
    </row>
    <row r="2423" spans="13:13" ht="15" customHeight="1" x14ac:dyDescent="0.3">
      <c r="M2423" s="5"/>
    </row>
    <row r="2424" spans="13:13" ht="15" customHeight="1" x14ac:dyDescent="0.3">
      <c r="M2424" s="5"/>
    </row>
    <row r="2425" spans="13:13" ht="15" customHeight="1" x14ac:dyDescent="0.3">
      <c r="M2425" s="5"/>
    </row>
    <row r="2426" spans="13:13" ht="15" customHeight="1" x14ac:dyDescent="0.3">
      <c r="M2426" s="5"/>
    </row>
    <row r="2427" spans="13:13" ht="15" customHeight="1" x14ac:dyDescent="0.3">
      <c r="M2427" s="5"/>
    </row>
    <row r="2428" spans="13:13" ht="15" customHeight="1" x14ac:dyDescent="0.3">
      <c r="M2428" s="5"/>
    </row>
    <row r="2429" spans="13:13" ht="15" customHeight="1" x14ac:dyDescent="0.3">
      <c r="M2429" s="5"/>
    </row>
    <row r="2430" spans="13:13" ht="15" customHeight="1" x14ac:dyDescent="0.3">
      <c r="M2430" s="5"/>
    </row>
    <row r="2431" spans="13:13" ht="15" customHeight="1" x14ac:dyDescent="0.3">
      <c r="M2431" s="5"/>
    </row>
    <row r="2432" spans="13:13" ht="15" customHeight="1" x14ac:dyDescent="0.3">
      <c r="M2432" s="5"/>
    </row>
    <row r="2433" spans="13:13" ht="15" customHeight="1" x14ac:dyDescent="0.3">
      <c r="M2433" s="5"/>
    </row>
    <row r="2434" spans="13:13" ht="15" customHeight="1" x14ac:dyDescent="0.3">
      <c r="M2434" s="5"/>
    </row>
    <row r="2435" spans="13:13" ht="15" customHeight="1" x14ac:dyDescent="0.3">
      <c r="M2435" s="5"/>
    </row>
    <row r="2436" spans="13:13" ht="15" customHeight="1" x14ac:dyDescent="0.3">
      <c r="M2436" s="5"/>
    </row>
    <row r="2437" spans="13:13" ht="15" customHeight="1" x14ac:dyDescent="0.3">
      <c r="M2437" s="5"/>
    </row>
    <row r="2438" spans="13:13" ht="15" customHeight="1" x14ac:dyDescent="0.3">
      <c r="M2438" s="5"/>
    </row>
    <row r="2439" spans="13:13" ht="15" customHeight="1" x14ac:dyDescent="0.3">
      <c r="M2439" s="5"/>
    </row>
    <row r="2440" spans="13:13" ht="15" customHeight="1" x14ac:dyDescent="0.3">
      <c r="M2440" s="5"/>
    </row>
    <row r="2441" spans="13:13" ht="15" customHeight="1" x14ac:dyDescent="0.3">
      <c r="M2441" s="5"/>
    </row>
    <row r="2442" spans="13:13" ht="15" customHeight="1" x14ac:dyDescent="0.3">
      <c r="M2442" s="5"/>
    </row>
    <row r="2443" spans="13:13" ht="15" customHeight="1" x14ac:dyDescent="0.3">
      <c r="M2443" s="5"/>
    </row>
    <row r="2444" spans="13:13" ht="15" customHeight="1" x14ac:dyDescent="0.3">
      <c r="M2444" s="5"/>
    </row>
    <row r="2445" spans="13:13" ht="15" customHeight="1" x14ac:dyDescent="0.3">
      <c r="M2445" s="5"/>
    </row>
    <row r="2446" spans="13:13" ht="15" customHeight="1" x14ac:dyDescent="0.3">
      <c r="M2446" s="5"/>
    </row>
    <row r="2447" spans="13:13" ht="15" customHeight="1" x14ac:dyDescent="0.3">
      <c r="M2447" s="5"/>
    </row>
    <row r="2448" spans="13:13" ht="15" customHeight="1" x14ac:dyDescent="0.3">
      <c r="M2448" s="5"/>
    </row>
    <row r="2449" spans="13:13" ht="15" customHeight="1" x14ac:dyDescent="0.3">
      <c r="M2449" s="5"/>
    </row>
    <row r="2450" spans="13:13" ht="15" customHeight="1" x14ac:dyDescent="0.3">
      <c r="M2450" s="5"/>
    </row>
    <row r="2451" spans="13:13" ht="15" customHeight="1" x14ac:dyDescent="0.3">
      <c r="M2451" s="5"/>
    </row>
    <row r="2452" spans="13:13" ht="15" customHeight="1" x14ac:dyDescent="0.3">
      <c r="M2452" s="5"/>
    </row>
    <row r="2453" spans="13:13" ht="15" customHeight="1" x14ac:dyDescent="0.3">
      <c r="M2453" s="5"/>
    </row>
    <row r="2454" spans="13:13" ht="15" customHeight="1" x14ac:dyDescent="0.3">
      <c r="M2454" s="5"/>
    </row>
    <row r="2455" spans="13:13" ht="15" customHeight="1" x14ac:dyDescent="0.3">
      <c r="M2455" s="5"/>
    </row>
    <row r="2456" spans="13:13" ht="15" customHeight="1" x14ac:dyDescent="0.3">
      <c r="M2456" s="5"/>
    </row>
    <row r="2457" spans="13:13" ht="15" customHeight="1" x14ac:dyDescent="0.3">
      <c r="M2457" s="5"/>
    </row>
    <row r="2458" spans="13:13" ht="15" customHeight="1" x14ac:dyDescent="0.3">
      <c r="M2458" s="5"/>
    </row>
    <row r="2459" spans="13:13" ht="15" customHeight="1" x14ac:dyDescent="0.3">
      <c r="M2459" s="5"/>
    </row>
    <row r="2460" spans="13:13" ht="15" customHeight="1" x14ac:dyDescent="0.3">
      <c r="M2460" s="5"/>
    </row>
    <row r="2461" spans="13:13" ht="15" customHeight="1" x14ac:dyDescent="0.3">
      <c r="M2461" s="5"/>
    </row>
    <row r="2462" spans="13:13" ht="15" customHeight="1" x14ac:dyDescent="0.3">
      <c r="M2462" s="5"/>
    </row>
    <row r="2463" spans="13:13" ht="15" customHeight="1" x14ac:dyDescent="0.3">
      <c r="M2463" s="5"/>
    </row>
    <row r="2464" spans="13:13" ht="15" customHeight="1" x14ac:dyDescent="0.3">
      <c r="M2464" s="5"/>
    </row>
    <row r="2465" spans="13:13" ht="15" customHeight="1" x14ac:dyDescent="0.3">
      <c r="M2465" s="5"/>
    </row>
    <row r="2466" spans="13:13" ht="15" customHeight="1" x14ac:dyDescent="0.3">
      <c r="M2466" s="5"/>
    </row>
    <row r="2467" spans="13:13" ht="15" customHeight="1" x14ac:dyDescent="0.3">
      <c r="M2467" s="5"/>
    </row>
    <row r="2468" spans="13:13" ht="15" customHeight="1" x14ac:dyDescent="0.3">
      <c r="M2468" s="5"/>
    </row>
    <row r="2469" spans="13:13" ht="15" customHeight="1" x14ac:dyDescent="0.3">
      <c r="M2469" s="5"/>
    </row>
    <row r="2470" spans="13:13" ht="15" customHeight="1" x14ac:dyDescent="0.3">
      <c r="M2470" s="5"/>
    </row>
    <row r="2471" spans="13:13" ht="15" customHeight="1" x14ac:dyDescent="0.3">
      <c r="M2471" s="5"/>
    </row>
    <row r="2472" spans="13:13" ht="15" customHeight="1" x14ac:dyDescent="0.3">
      <c r="M2472" s="5"/>
    </row>
    <row r="2473" spans="13:13" ht="15" customHeight="1" x14ac:dyDescent="0.3">
      <c r="M2473" s="5"/>
    </row>
    <row r="2474" spans="13:13" ht="15" customHeight="1" x14ac:dyDescent="0.3">
      <c r="M2474" s="5"/>
    </row>
    <row r="2475" spans="13:13" ht="15" customHeight="1" x14ac:dyDescent="0.3">
      <c r="M2475" s="5"/>
    </row>
    <row r="2476" spans="13:13" ht="15" customHeight="1" x14ac:dyDescent="0.3">
      <c r="M2476" s="5"/>
    </row>
    <row r="2477" spans="13:13" ht="15" customHeight="1" x14ac:dyDescent="0.3">
      <c r="M2477" s="5"/>
    </row>
    <row r="2478" spans="13:13" ht="15" customHeight="1" x14ac:dyDescent="0.3">
      <c r="M2478" s="5"/>
    </row>
    <row r="2479" spans="13:13" ht="15" customHeight="1" x14ac:dyDescent="0.3">
      <c r="M2479" s="5"/>
    </row>
    <row r="2480" spans="13:13" ht="15" customHeight="1" x14ac:dyDescent="0.3">
      <c r="M2480" s="5"/>
    </row>
    <row r="2481" spans="13:13" ht="15" customHeight="1" x14ac:dyDescent="0.3">
      <c r="M2481" s="5"/>
    </row>
    <row r="2482" spans="13:13" ht="15" customHeight="1" x14ac:dyDescent="0.3">
      <c r="M2482" s="5"/>
    </row>
    <row r="2483" spans="13:13" ht="15" customHeight="1" x14ac:dyDescent="0.3">
      <c r="M2483" s="5"/>
    </row>
    <row r="2484" spans="13:13" ht="15" customHeight="1" x14ac:dyDescent="0.3">
      <c r="M2484" s="5"/>
    </row>
    <row r="2485" spans="13:13" ht="15" customHeight="1" x14ac:dyDescent="0.3">
      <c r="M2485" s="5"/>
    </row>
    <row r="2486" spans="13:13" ht="15" customHeight="1" x14ac:dyDescent="0.3">
      <c r="M2486" s="5"/>
    </row>
    <row r="2487" spans="13:13" ht="15" customHeight="1" x14ac:dyDescent="0.3">
      <c r="M2487" s="5"/>
    </row>
    <row r="2488" spans="13:13" ht="15" customHeight="1" x14ac:dyDescent="0.3">
      <c r="M2488" s="5"/>
    </row>
    <row r="2489" spans="13:13" ht="15" customHeight="1" x14ac:dyDescent="0.3">
      <c r="M2489" s="5"/>
    </row>
    <row r="2490" spans="13:13" ht="15" customHeight="1" x14ac:dyDescent="0.3">
      <c r="M2490" s="5"/>
    </row>
    <row r="2491" spans="13:13" ht="15" customHeight="1" x14ac:dyDescent="0.3">
      <c r="M2491" s="5"/>
    </row>
    <row r="2492" spans="13:13" ht="15" customHeight="1" x14ac:dyDescent="0.3">
      <c r="M2492" s="5"/>
    </row>
    <row r="2493" spans="13:13" ht="15" customHeight="1" x14ac:dyDescent="0.3">
      <c r="M2493" s="5"/>
    </row>
    <row r="2494" spans="13:13" ht="15" customHeight="1" x14ac:dyDescent="0.3">
      <c r="M2494" s="5"/>
    </row>
    <row r="2495" spans="13:13" ht="15" customHeight="1" x14ac:dyDescent="0.3">
      <c r="M2495" s="5"/>
    </row>
    <row r="2496" spans="13:13" ht="15" customHeight="1" x14ac:dyDescent="0.3">
      <c r="M2496" s="5"/>
    </row>
    <row r="2497" spans="13:13" ht="15" customHeight="1" x14ac:dyDescent="0.3">
      <c r="M2497" s="5"/>
    </row>
    <row r="2498" spans="13:13" ht="15" customHeight="1" x14ac:dyDescent="0.3">
      <c r="M2498" s="5"/>
    </row>
    <row r="2499" spans="13:13" ht="15" customHeight="1" x14ac:dyDescent="0.3">
      <c r="M2499" s="5"/>
    </row>
    <row r="2500" spans="13:13" ht="15" customHeight="1" x14ac:dyDescent="0.3">
      <c r="M2500" s="5"/>
    </row>
    <row r="2501" spans="13:13" ht="15" customHeight="1" x14ac:dyDescent="0.3">
      <c r="M2501" s="5"/>
    </row>
    <row r="2502" spans="13:13" ht="15" customHeight="1" x14ac:dyDescent="0.3">
      <c r="M2502" s="5"/>
    </row>
    <row r="2503" spans="13:13" ht="15" customHeight="1" x14ac:dyDescent="0.3">
      <c r="M2503" s="5"/>
    </row>
    <row r="2504" spans="13:13" ht="15" customHeight="1" x14ac:dyDescent="0.3">
      <c r="M2504" s="5"/>
    </row>
    <row r="2505" spans="13:13" ht="15" customHeight="1" x14ac:dyDescent="0.3">
      <c r="M2505" s="5"/>
    </row>
    <row r="2506" spans="13:13" ht="15" customHeight="1" x14ac:dyDescent="0.3">
      <c r="M2506" s="5"/>
    </row>
    <row r="2507" spans="13:13" ht="15" customHeight="1" x14ac:dyDescent="0.3">
      <c r="M2507" s="5"/>
    </row>
    <row r="2508" spans="13:13" ht="15" customHeight="1" x14ac:dyDescent="0.3">
      <c r="M2508" s="5"/>
    </row>
    <row r="2509" spans="13:13" ht="15" customHeight="1" x14ac:dyDescent="0.3">
      <c r="M2509" s="5"/>
    </row>
    <row r="2510" spans="13:13" ht="15" customHeight="1" x14ac:dyDescent="0.3">
      <c r="M2510" s="5"/>
    </row>
    <row r="2511" spans="13:13" ht="15" customHeight="1" x14ac:dyDescent="0.3">
      <c r="M2511" s="5"/>
    </row>
    <row r="2512" spans="13:13" ht="15" customHeight="1" x14ac:dyDescent="0.3">
      <c r="M2512" s="5"/>
    </row>
    <row r="2513" spans="13:13" ht="15" customHeight="1" x14ac:dyDescent="0.3">
      <c r="M2513" s="5"/>
    </row>
    <row r="2514" spans="13:13" ht="15" customHeight="1" x14ac:dyDescent="0.3">
      <c r="M2514" s="5"/>
    </row>
    <row r="2515" spans="13:13" ht="15" customHeight="1" x14ac:dyDescent="0.3">
      <c r="M2515" s="5"/>
    </row>
    <row r="2516" spans="13:13" ht="15" customHeight="1" x14ac:dyDescent="0.3">
      <c r="M2516" s="5"/>
    </row>
    <row r="2517" spans="13:13" ht="15" customHeight="1" x14ac:dyDescent="0.3">
      <c r="M2517" s="5"/>
    </row>
    <row r="2518" spans="13:13" ht="15" customHeight="1" x14ac:dyDescent="0.3">
      <c r="M2518" s="5"/>
    </row>
    <row r="2519" spans="13:13" ht="15" customHeight="1" x14ac:dyDescent="0.3">
      <c r="M2519" s="5"/>
    </row>
    <row r="2520" spans="13:13" ht="15" customHeight="1" x14ac:dyDescent="0.3">
      <c r="M2520" s="5"/>
    </row>
    <row r="2521" spans="13:13" ht="15" customHeight="1" x14ac:dyDescent="0.3">
      <c r="M2521" s="5"/>
    </row>
    <row r="2522" spans="13:13" ht="15" customHeight="1" x14ac:dyDescent="0.3">
      <c r="M2522" s="5"/>
    </row>
    <row r="2523" spans="13:13" ht="15" customHeight="1" x14ac:dyDescent="0.3">
      <c r="M2523" s="5"/>
    </row>
    <row r="2524" spans="13:13" ht="15" customHeight="1" x14ac:dyDescent="0.3">
      <c r="M2524" s="5"/>
    </row>
    <row r="2525" spans="13:13" ht="15" customHeight="1" x14ac:dyDescent="0.3">
      <c r="M2525" s="5"/>
    </row>
    <row r="2526" spans="13:13" ht="15" customHeight="1" x14ac:dyDescent="0.3">
      <c r="M2526" s="5"/>
    </row>
    <row r="2527" spans="13:13" ht="15" customHeight="1" x14ac:dyDescent="0.3">
      <c r="M2527" s="5"/>
    </row>
    <row r="2528" spans="13:13" ht="15" customHeight="1" x14ac:dyDescent="0.3">
      <c r="M2528" s="5"/>
    </row>
    <row r="2529" spans="13:13" ht="15" customHeight="1" x14ac:dyDescent="0.3">
      <c r="M2529" s="5"/>
    </row>
    <row r="2530" spans="13:13" ht="15" customHeight="1" x14ac:dyDescent="0.3">
      <c r="M2530" s="5"/>
    </row>
    <row r="2531" spans="13:13" ht="15" customHeight="1" x14ac:dyDescent="0.3">
      <c r="M2531" s="5"/>
    </row>
    <row r="2532" spans="13:13" ht="15" customHeight="1" x14ac:dyDescent="0.3">
      <c r="M2532" s="5"/>
    </row>
    <row r="2533" spans="13:13" ht="15" customHeight="1" x14ac:dyDescent="0.3">
      <c r="M2533" s="5"/>
    </row>
    <row r="2534" spans="13:13" ht="15" customHeight="1" x14ac:dyDescent="0.3">
      <c r="M2534" s="5"/>
    </row>
    <row r="2535" spans="13:13" ht="15" customHeight="1" x14ac:dyDescent="0.3">
      <c r="M2535" s="5"/>
    </row>
    <row r="2536" spans="13:13" ht="15" customHeight="1" x14ac:dyDescent="0.3">
      <c r="M2536" s="5"/>
    </row>
    <row r="2537" spans="13:13" ht="15" customHeight="1" x14ac:dyDescent="0.3">
      <c r="M2537" s="5"/>
    </row>
    <row r="2538" spans="13:13" ht="15" customHeight="1" x14ac:dyDescent="0.3">
      <c r="M2538" s="5"/>
    </row>
    <row r="2539" spans="13:13" ht="15" customHeight="1" x14ac:dyDescent="0.3">
      <c r="M2539" s="5"/>
    </row>
    <row r="2540" spans="13:13" ht="15" customHeight="1" x14ac:dyDescent="0.3">
      <c r="M2540" s="5"/>
    </row>
    <row r="2541" spans="13:13" ht="15" customHeight="1" x14ac:dyDescent="0.3">
      <c r="M2541" s="5"/>
    </row>
    <row r="2542" spans="13:13" ht="15" customHeight="1" x14ac:dyDescent="0.3">
      <c r="M2542" s="5"/>
    </row>
    <row r="2543" spans="13:13" ht="15" customHeight="1" x14ac:dyDescent="0.3">
      <c r="M2543" s="5"/>
    </row>
    <row r="2544" spans="13:13" ht="15" customHeight="1" x14ac:dyDescent="0.3">
      <c r="M2544" s="5"/>
    </row>
    <row r="2545" spans="13:13" ht="15" customHeight="1" x14ac:dyDescent="0.3">
      <c r="M2545" s="5"/>
    </row>
    <row r="2546" spans="13:13" ht="15" customHeight="1" x14ac:dyDescent="0.3">
      <c r="M2546" s="5"/>
    </row>
    <row r="2547" spans="13:13" ht="15" customHeight="1" x14ac:dyDescent="0.3">
      <c r="M2547" s="5"/>
    </row>
    <row r="2548" spans="13:13" ht="15" customHeight="1" x14ac:dyDescent="0.3">
      <c r="M2548" s="5"/>
    </row>
    <row r="2549" spans="13:13" ht="15" customHeight="1" x14ac:dyDescent="0.3">
      <c r="M2549" s="5"/>
    </row>
    <row r="2550" spans="13:13" ht="15" customHeight="1" x14ac:dyDescent="0.3">
      <c r="M2550" s="5"/>
    </row>
    <row r="2551" spans="13:13" ht="15" customHeight="1" x14ac:dyDescent="0.3">
      <c r="M2551" s="5"/>
    </row>
    <row r="2552" spans="13:13" ht="15" customHeight="1" x14ac:dyDescent="0.3">
      <c r="M2552" s="5"/>
    </row>
    <row r="2553" spans="13:13" ht="15" customHeight="1" x14ac:dyDescent="0.3">
      <c r="M2553" s="5"/>
    </row>
    <row r="2554" spans="13:13" ht="15" customHeight="1" x14ac:dyDescent="0.3">
      <c r="M2554" s="5"/>
    </row>
    <row r="2555" spans="13:13" ht="15" customHeight="1" x14ac:dyDescent="0.3">
      <c r="M2555" s="5"/>
    </row>
    <row r="2556" spans="13:13" ht="15" customHeight="1" x14ac:dyDescent="0.3">
      <c r="M2556" s="5"/>
    </row>
    <row r="2557" spans="13:13" ht="15" customHeight="1" x14ac:dyDescent="0.3">
      <c r="M2557" s="5"/>
    </row>
    <row r="2558" spans="13:13" ht="15" customHeight="1" x14ac:dyDescent="0.3">
      <c r="M2558" s="5"/>
    </row>
    <row r="2559" spans="13:13" ht="15" customHeight="1" x14ac:dyDescent="0.3">
      <c r="M2559" s="5"/>
    </row>
    <row r="2560" spans="13:13" ht="15" customHeight="1" x14ac:dyDescent="0.3">
      <c r="M2560" s="5"/>
    </row>
    <row r="2561" spans="13:13" ht="15" customHeight="1" x14ac:dyDescent="0.3">
      <c r="M2561" s="5"/>
    </row>
    <row r="2562" spans="13:13" ht="15" customHeight="1" x14ac:dyDescent="0.3">
      <c r="M2562" s="5"/>
    </row>
    <row r="2563" spans="13:13" ht="15" customHeight="1" x14ac:dyDescent="0.3">
      <c r="M2563" s="5"/>
    </row>
    <row r="2564" spans="13:13" ht="15" customHeight="1" x14ac:dyDescent="0.3">
      <c r="M2564" s="5"/>
    </row>
    <row r="2565" spans="13:13" ht="15" customHeight="1" x14ac:dyDescent="0.3">
      <c r="M2565" s="5"/>
    </row>
    <row r="2566" spans="13:13" ht="15" customHeight="1" x14ac:dyDescent="0.3">
      <c r="M2566" s="5"/>
    </row>
    <row r="2567" spans="13:13" ht="15" customHeight="1" x14ac:dyDescent="0.3">
      <c r="M2567" s="5"/>
    </row>
    <row r="2568" spans="13:13" ht="15" customHeight="1" x14ac:dyDescent="0.3">
      <c r="M2568" s="5"/>
    </row>
    <row r="2569" spans="13:13" ht="15" customHeight="1" x14ac:dyDescent="0.3">
      <c r="M2569" s="5"/>
    </row>
    <row r="2570" spans="13:13" ht="15" customHeight="1" x14ac:dyDescent="0.3">
      <c r="M2570" s="5"/>
    </row>
    <row r="2571" spans="13:13" ht="15" customHeight="1" x14ac:dyDescent="0.3">
      <c r="M2571" s="5"/>
    </row>
    <row r="2572" spans="13:13" ht="15" customHeight="1" x14ac:dyDescent="0.3">
      <c r="M2572" s="5"/>
    </row>
    <row r="2573" spans="13:13" ht="15" customHeight="1" x14ac:dyDescent="0.3">
      <c r="M2573" s="5"/>
    </row>
    <row r="2574" spans="13:13" ht="15" customHeight="1" x14ac:dyDescent="0.3">
      <c r="M2574" s="5"/>
    </row>
    <row r="2575" spans="13:13" ht="15" customHeight="1" x14ac:dyDescent="0.3">
      <c r="M2575" s="5"/>
    </row>
    <row r="2576" spans="13:13" ht="15" customHeight="1" x14ac:dyDescent="0.3">
      <c r="M2576" s="5"/>
    </row>
    <row r="2577" spans="13:13" ht="15" customHeight="1" x14ac:dyDescent="0.3">
      <c r="M2577" s="5"/>
    </row>
    <row r="2578" spans="13:13" ht="15" customHeight="1" x14ac:dyDescent="0.3">
      <c r="M2578" s="5"/>
    </row>
    <row r="2579" spans="13:13" ht="15" customHeight="1" x14ac:dyDescent="0.3">
      <c r="M2579" s="5"/>
    </row>
    <row r="2580" spans="13:13" ht="15" customHeight="1" x14ac:dyDescent="0.3">
      <c r="M2580" s="5"/>
    </row>
    <row r="2581" spans="13:13" ht="15" customHeight="1" x14ac:dyDescent="0.3">
      <c r="M2581" s="5"/>
    </row>
    <row r="2582" spans="13:13" ht="15" customHeight="1" x14ac:dyDescent="0.3">
      <c r="M2582" s="5"/>
    </row>
    <row r="2583" spans="13:13" ht="15" customHeight="1" x14ac:dyDescent="0.3">
      <c r="M2583" s="5"/>
    </row>
    <row r="2584" spans="13:13" ht="15" customHeight="1" x14ac:dyDescent="0.3">
      <c r="M2584" s="5"/>
    </row>
    <row r="2585" spans="13:13" ht="15" customHeight="1" x14ac:dyDescent="0.3">
      <c r="M2585" s="5"/>
    </row>
    <row r="2586" spans="13:13" ht="15" customHeight="1" x14ac:dyDescent="0.3">
      <c r="M2586" s="5"/>
    </row>
    <row r="2587" spans="13:13" ht="15" customHeight="1" x14ac:dyDescent="0.3">
      <c r="M2587" s="5"/>
    </row>
    <row r="2588" spans="13:13" ht="15" customHeight="1" x14ac:dyDescent="0.3">
      <c r="M2588" s="5"/>
    </row>
    <row r="2589" spans="13:13" ht="15" customHeight="1" x14ac:dyDescent="0.3">
      <c r="M2589" s="5"/>
    </row>
    <row r="2590" spans="13:13" ht="15" customHeight="1" x14ac:dyDescent="0.3">
      <c r="M2590" s="5"/>
    </row>
    <row r="2591" spans="13:13" ht="15" customHeight="1" x14ac:dyDescent="0.3">
      <c r="M2591" s="5"/>
    </row>
    <row r="2592" spans="13:13" ht="15" customHeight="1" x14ac:dyDescent="0.3">
      <c r="M2592" s="5"/>
    </row>
    <row r="2593" spans="13:13" ht="15" customHeight="1" x14ac:dyDescent="0.3">
      <c r="M2593" s="5"/>
    </row>
    <row r="2594" spans="13:13" ht="15" customHeight="1" x14ac:dyDescent="0.3">
      <c r="M2594" s="5"/>
    </row>
    <row r="2595" spans="13:13" ht="15" customHeight="1" x14ac:dyDescent="0.3">
      <c r="M2595" s="5"/>
    </row>
    <row r="2596" spans="13:13" ht="15" customHeight="1" x14ac:dyDescent="0.3">
      <c r="M2596" s="5"/>
    </row>
    <row r="2597" spans="13:13" ht="15" customHeight="1" x14ac:dyDescent="0.3">
      <c r="M2597" s="5"/>
    </row>
    <row r="2598" spans="13:13" ht="15" customHeight="1" x14ac:dyDescent="0.3">
      <c r="M2598" s="5"/>
    </row>
    <row r="2599" spans="13:13" ht="15" customHeight="1" x14ac:dyDescent="0.3">
      <c r="M2599" s="5"/>
    </row>
    <row r="2600" spans="13:13" ht="15" customHeight="1" x14ac:dyDescent="0.3">
      <c r="M2600" s="5"/>
    </row>
    <row r="2601" spans="13:13" ht="15" customHeight="1" x14ac:dyDescent="0.3">
      <c r="M2601" s="5"/>
    </row>
    <row r="2602" spans="13:13" ht="15" customHeight="1" x14ac:dyDescent="0.3">
      <c r="M2602" s="5"/>
    </row>
    <row r="2603" spans="13:13" ht="15" customHeight="1" x14ac:dyDescent="0.3">
      <c r="M2603" s="5"/>
    </row>
    <row r="2604" spans="13:13" ht="15" customHeight="1" x14ac:dyDescent="0.3">
      <c r="M2604" s="5"/>
    </row>
    <row r="2605" spans="13:13" ht="15" customHeight="1" x14ac:dyDescent="0.3">
      <c r="M2605" s="5"/>
    </row>
    <row r="2606" spans="13:13" ht="15" customHeight="1" x14ac:dyDescent="0.3">
      <c r="M2606" s="5"/>
    </row>
    <row r="2607" spans="13:13" ht="15" customHeight="1" x14ac:dyDescent="0.3">
      <c r="M2607" s="5"/>
    </row>
    <row r="2608" spans="13:13" ht="15" customHeight="1" x14ac:dyDescent="0.3">
      <c r="M2608" s="5"/>
    </row>
    <row r="2609" spans="13:13" ht="15" customHeight="1" x14ac:dyDescent="0.3">
      <c r="M2609" s="5"/>
    </row>
    <row r="2610" spans="13:13" ht="15" customHeight="1" x14ac:dyDescent="0.3">
      <c r="M2610" s="5"/>
    </row>
    <row r="2611" spans="13:13" ht="15" customHeight="1" x14ac:dyDescent="0.3">
      <c r="M2611" s="5"/>
    </row>
    <row r="2612" spans="13:13" ht="15" customHeight="1" x14ac:dyDescent="0.3">
      <c r="M2612" s="5"/>
    </row>
    <row r="2613" spans="13:13" ht="15" customHeight="1" x14ac:dyDescent="0.3">
      <c r="M2613" s="5"/>
    </row>
    <row r="2614" spans="13:13" ht="15" customHeight="1" x14ac:dyDescent="0.3">
      <c r="M2614" s="5"/>
    </row>
    <row r="2615" spans="13:13" ht="15" customHeight="1" x14ac:dyDescent="0.3">
      <c r="M2615" s="5"/>
    </row>
    <row r="2616" spans="13:13" ht="15" customHeight="1" x14ac:dyDescent="0.3">
      <c r="M2616" s="5"/>
    </row>
    <row r="2617" spans="13:13" ht="15" customHeight="1" x14ac:dyDescent="0.3">
      <c r="M2617" s="5"/>
    </row>
    <row r="2618" spans="13:13" ht="15" customHeight="1" x14ac:dyDescent="0.3">
      <c r="M2618" s="5"/>
    </row>
    <row r="2619" spans="13:13" ht="15" customHeight="1" x14ac:dyDescent="0.3">
      <c r="M2619" s="5"/>
    </row>
    <row r="2620" spans="13:13" ht="15" customHeight="1" x14ac:dyDescent="0.3">
      <c r="M2620" s="5"/>
    </row>
    <row r="2621" spans="13:13" ht="15" customHeight="1" x14ac:dyDescent="0.3">
      <c r="M2621" s="5"/>
    </row>
    <row r="2622" spans="13:13" ht="15" customHeight="1" x14ac:dyDescent="0.3">
      <c r="M2622" s="5"/>
    </row>
    <row r="2623" spans="13:13" ht="15" customHeight="1" x14ac:dyDescent="0.3">
      <c r="M2623" s="5"/>
    </row>
    <row r="2624" spans="13:13" ht="15" customHeight="1" x14ac:dyDescent="0.3">
      <c r="M2624" s="5"/>
    </row>
    <row r="2625" spans="13:13" ht="15" customHeight="1" x14ac:dyDescent="0.3">
      <c r="M2625" s="5"/>
    </row>
    <row r="2626" spans="13:13" ht="15" customHeight="1" x14ac:dyDescent="0.3">
      <c r="M2626" s="5"/>
    </row>
    <row r="2627" spans="13:13" ht="15" customHeight="1" x14ac:dyDescent="0.3">
      <c r="M2627" s="5"/>
    </row>
    <row r="2628" spans="13:13" ht="15" customHeight="1" x14ac:dyDescent="0.3">
      <c r="M2628" s="5"/>
    </row>
    <row r="2629" spans="13:13" ht="15" customHeight="1" x14ac:dyDescent="0.3">
      <c r="M2629" s="5"/>
    </row>
    <row r="2630" spans="13:13" ht="15" customHeight="1" x14ac:dyDescent="0.3">
      <c r="M2630" s="5"/>
    </row>
    <row r="2631" spans="13:13" ht="15" customHeight="1" x14ac:dyDescent="0.3">
      <c r="M2631" s="5"/>
    </row>
    <row r="2632" spans="13:13" ht="15" customHeight="1" x14ac:dyDescent="0.3">
      <c r="M2632" s="5"/>
    </row>
    <row r="2633" spans="13:13" ht="15" customHeight="1" x14ac:dyDescent="0.3">
      <c r="M2633" s="5"/>
    </row>
    <row r="2634" spans="13:13" ht="15" customHeight="1" x14ac:dyDescent="0.3">
      <c r="M2634" s="5"/>
    </row>
    <row r="2635" spans="13:13" ht="15" customHeight="1" x14ac:dyDescent="0.3">
      <c r="M2635" s="5"/>
    </row>
    <row r="2636" spans="13:13" ht="15" customHeight="1" x14ac:dyDescent="0.3">
      <c r="M2636" s="5"/>
    </row>
    <row r="2637" spans="13:13" ht="15" customHeight="1" x14ac:dyDescent="0.3">
      <c r="M2637" s="5"/>
    </row>
    <row r="2638" spans="13:13" ht="15" customHeight="1" x14ac:dyDescent="0.3">
      <c r="M2638" s="5"/>
    </row>
    <row r="2639" spans="13:13" ht="15" customHeight="1" x14ac:dyDescent="0.3">
      <c r="M2639" s="5"/>
    </row>
    <row r="2640" spans="13:13" ht="15" customHeight="1" x14ac:dyDescent="0.3">
      <c r="M2640" s="5"/>
    </row>
    <row r="2641" spans="13:13" ht="15" customHeight="1" x14ac:dyDescent="0.3">
      <c r="M2641" s="5"/>
    </row>
    <row r="2642" spans="13:13" ht="15" customHeight="1" x14ac:dyDescent="0.3">
      <c r="M2642" s="5"/>
    </row>
    <row r="2643" spans="13:13" ht="15" customHeight="1" x14ac:dyDescent="0.3">
      <c r="M2643" s="5"/>
    </row>
    <row r="2644" spans="13:13" ht="15" customHeight="1" x14ac:dyDescent="0.3">
      <c r="M2644" s="5"/>
    </row>
    <row r="2645" spans="13:13" ht="15" customHeight="1" x14ac:dyDescent="0.3">
      <c r="M2645" s="5"/>
    </row>
    <row r="2646" spans="13:13" ht="15" customHeight="1" x14ac:dyDescent="0.3">
      <c r="M2646" s="5"/>
    </row>
    <row r="2647" spans="13:13" ht="15" customHeight="1" x14ac:dyDescent="0.3">
      <c r="M2647" s="5"/>
    </row>
    <row r="2648" spans="13:13" ht="15" customHeight="1" x14ac:dyDescent="0.3">
      <c r="M2648" s="5"/>
    </row>
    <row r="2649" spans="13:13" ht="15" customHeight="1" x14ac:dyDescent="0.3">
      <c r="M2649" s="5"/>
    </row>
    <row r="2650" spans="13:13" ht="15" customHeight="1" x14ac:dyDescent="0.3">
      <c r="M2650" s="5"/>
    </row>
    <row r="2651" spans="13:13" ht="15" customHeight="1" x14ac:dyDescent="0.3">
      <c r="M2651" s="5"/>
    </row>
    <row r="2652" spans="13:13" ht="15" customHeight="1" x14ac:dyDescent="0.3">
      <c r="M2652" s="5"/>
    </row>
    <row r="2653" spans="13:13" ht="15" customHeight="1" x14ac:dyDescent="0.3">
      <c r="M2653" s="5"/>
    </row>
    <row r="2654" spans="13:13" ht="15" customHeight="1" x14ac:dyDescent="0.3">
      <c r="M2654" s="5"/>
    </row>
    <row r="2655" spans="13:13" ht="15" customHeight="1" x14ac:dyDescent="0.3">
      <c r="M2655" s="5"/>
    </row>
    <row r="2656" spans="13:13" ht="15" customHeight="1" x14ac:dyDescent="0.3">
      <c r="M2656" s="5"/>
    </row>
    <row r="2657" spans="13:13" ht="15" customHeight="1" x14ac:dyDescent="0.3">
      <c r="M2657" s="5"/>
    </row>
    <row r="2658" spans="13:13" ht="15" customHeight="1" x14ac:dyDescent="0.3">
      <c r="M2658" s="5"/>
    </row>
    <row r="2659" spans="13:13" ht="15" customHeight="1" x14ac:dyDescent="0.3">
      <c r="M2659" s="5"/>
    </row>
    <row r="2660" spans="13:13" ht="15" customHeight="1" x14ac:dyDescent="0.3">
      <c r="M2660" s="5"/>
    </row>
    <row r="2661" spans="13:13" ht="15" customHeight="1" x14ac:dyDescent="0.3">
      <c r="M2661" s="5"/>
    </row>
    <row r="2662" spans="13:13" ht="15" customHeight="1" x14ac:dyDescent="0.3">
      <c r="M2662" s="5"/>
    </row>
    <row r="2663" spans="13:13" ht="15" customHeight="1" x14ac:dyDescent="0.3">
      <c r="M2663" s="5"/>
    </row>
    <row r="2664" spans="13:13" ht="15" customHeight="1" x14ac:dyDescent="0.3">
      <c r="M2664" s="5"/>
    </row>
    <row r="2665" spans="13:13" ht="15" customHeight="1" x14ac:dyDescent="0.3">
      <c r="M2665" s="5"/>
    </row>
    <row r="2666" spans="13:13" ht="15" customHeight="1" x14ac:dyDescent="0.3">
      <c r="M2666" s="5"/>
    </row>
    <row r="2667" spans="13:13" ht="15" customHeight="1" x14ac:dyDescent="0.3">
      <c r="M2667" s="5"/>
    </row>
    <row r="2668" spans="13:13" ht="15" customHeight="1" x14ac:dyDescent="0.3">
      <c r="M2668" s="5"/>
    </row>
    <row r="2669" spans="13:13" ht="15" customHeight="1" x14ac:dyDescent="0.3">
      <c r="M2669" s="5"/>
    </row>
    <row r="2670" spans="13:13" ht="15" customHeight="1" x14ac:dyDescent="0.3">
      <c r="M2670" s="5"/>
    </row>
    <row r="2671" spans="13:13" ht="15" customHeight="1" x14ac:dyDescent="0.3">
      <c r="M2671" s="5"/>
    </row>
    <row r="2672" spans="13:13" ht="15" customHeight="1" x14ac:dyDescent="0.3">
      <c r="M2672" s="5"/>
    </row>
    <row r="2673" spans="13:13" ht="15" customHeight="1" x14ac:dyDescent="0.3">
      <c r="M2673" s="5"/>
    </row>
    <row r="2674" spans="13:13" ht="15" customHeight="1" x14ac:dyDescent="0.3">
      <c r="M2674" s="5"/>
    </row>
    <row r="2675" spans="13:13" ht="15" customHeight="1" x14ac:dyDescent="0.3">
      <c r="M2675" s="5"/>
    </row>
    <row r="2676" spans="13:13" ht="15" customHeight="1" x14ac:dyDescent="0.3">
      <c r="M2676" s="5"/>
    </row>
    <row r="2677" spans="13:13" ht="15" customHeight="1" x14ac:dyDescent="0.3">
      <c r="M2677" s="5"/>
    </row>
    <row r="2678" spans="13:13" ht="15" customHeight="1" x14ac:dyDescent="0.3">
      <c r="M2678" s="5"/>
    </row>
    <row r="2679" spans="13:13" ht="15" customHeight="1" x14ac:dyDescent="0.3">
      <c r="M2679" s="5"/>
    </row>
    <row r="2680" spans="13:13" ht="15" customHeight="1" x14ac:dyDescent="0.3">
      <c r="M2680" s="5"/>
    </row>
    <row r="2681" spans="13:13" ht="15" customHeight="1" x14ac:dyDescent="0.3">
      <c r="M2681" s="5"/>
    </row>
    <row r="2682" spans="13:13" ht="15" customHeight="1" x14ac:dyDescent="0.3">
      <c r="M2682" s="5"/>
    </row>
    <row r="2683" spans="13:13" ht="15" customHeight="1" x14ac:dyDescent="0.3">
      <c r="M2683" s="5"/>
    </row>
    <row r="2684" spans="13:13" ht="15" customHeight="1" x14ac:dyDescent="0.3">
      <c r="M2684" s="5"/>
    </row>
    <row r="2685" spans="13:13" ht="15" customHeight="1" x14ac:dyDescent="0.3">
      <c r="M2685" s="5"/>
    </row>
    <row r="2686" spans="13:13" ht="15" customHeight="1" x14ac:dyDescent="0.3">
      <c r="M2686" s="5"/>
    </row>
    <row r="2687" spans="13:13" ht="15" customHeight="1" x14ac:dyDescent="0.3">
      <c r="M2687" s="5"/>
    </row>
    <row r="2688" spans="13:13" ht="15" customHeight="1" x14ac:dyDescent="0.3">
      <c r="M2688" s="5"/>
    </row>
    <row r="2689" spans="13:13" ht="15" customHeight="1" x14ac:dyDescent="0.3">
      <c r="M2689" s="5"/>
    </row>
    <row r="2690" spans="13:13" ht="15" customHeight="1" x14ac:dyDescent="0.3">
      <c r="M2690" s="5"/>
    </row>
    <row r="2691" spans="13:13" ht="15" customHeight="1" x14ac:dyDescent="0.3">
      <c r="M2691" s="5"/>
    </row>
    <row r="2692" spans="13:13" ht="15" customHeight="1" x14ac:dyDescent="0.3">
      <c r="M2692" s="5"/>
    </row>
    <row r="2693" spans="13:13" ht="15" customHeight="1" x14ac:dyDescent="0.3">
      <c r="M2693" s="5"/>
    </row>
    <row r="2694" spans="13:13" ht="15" customHeight="1" x14ac:dyDescent="0.3">
      <c r="M2694" s="5"/>
    </row>
    <row r="2695" spans="13:13" ht="15" customHeight="1" x14ac:dyDescent="0.3">
      <c r="M2695" s="5"/>
    </row>
    <row r="2696" spans="13:13" ht="15" customHeight="1" x14ac:dyDescent="0.3">
      <c r="M2696" s="5"/>
    </row>
    <row r="2697" spans="13:13" ht="15" customHeight="1" x14ac:dyDescent="0.3">
      <c r="M2697" s="5"/>
    </row>
    <row r="2698" spans="13:13" ht="15" customHeight="1" x14ac:dyDescent="0.3">
      <c r="M2698" s="5"/>
    </row>
    <row r="2699" spans="13:13" ht="15" customHeight="1" x14ac:dyDescent="0.3">
      <c r="M2699" s="5"/>
    </row>
    <row r="2700" spans="13:13" ht="15" customHeight="1" x14ac:dyDescent="0.3">
      <c r="M2700" s="5"/>
    </row>
    <row r="2701" spans="13:13" ht="15" customHeight="1" x14ac:dyDescent="0.3">
      <c r="M2701" s="5"/>
    </row>
    <row r="2702" spans="13:13" ht="15" customHeight="1" x14ac:dyDescent="0.3">
      <c r="M2702" s="5"/>
    </row>
    <row r="2703" spans="13:13" ht="15" customHeight="1" x14ac:dyDescent="0.3">
      <c r="M2703" s="5"/>
    </row>
    <row r="2704" spans="13:13" ht="15" customHeight="1" x14ac:dyDescent="0.3">
      <c r="M2704" s="5"/>
    </row>
    <row r="2705" spans="13:13" ht="15" customHeight="1" x14ac:dyDescent="0.3">
      <c r="M2705" s="5"/>
    </row>
    <row r="2706" spans="13:13" ht="15" customHeight="1" x14ac:dyDescent="0.3">
      <c r="M2706" s="5"/>
    </row>
    <row r="2707" spans="13:13" ht="15" customHeight="1" x14ac:dyDescent="0.3">
      <c r="M2707" s="5"/>
    </row>
    <row r="2708" spans="13:13" ht="15" customHeight="1" x14ac:dyDescent="0.3">
      <c r="M2708" s="5"/>
    </row>
    <row r="2709" spans="13:13" ht="15" customHeight="1" x14ac:dyDescent="0.3">
      <c r="M2709" s="5"/>
    </row>
    <row r="2710" spans="13:13" ht="15" customHeight="1" x14ac:dyDescent="0.3">
      <c r="M2710" s="5"/>
    </row>
    <row r="2711" spans="13:13" ht="15" customHeight="1" x14ac:dyDescent="0.3">
      <c r="M2711" s="5"/>
    </row>
    <row r="2712" spans="13:13" ht="15" customHeight="1" x14ac:dyDescent="0.3">
      <c r="M2712" s="5"/>
    </row>
    <row r="2713" spans="13:13" ht="15" customHeight="1" x14ac:dyDescent="0.3">
      <c r="M2713" s="5"/>
    </row>
    <row r="2714" spans="13:13" ht="15" customHeight="1" x14ac:dyDescent="0.3">
      <c r="M2714" s="5"/>
    </row>
    <row r="2715" spans="13:13" ht="15" customHeight="1" x14ac:dyDescent="0.3">
      <c r="M2715" s="5"/>
    </row>
    <row r="2716" spans="13:13" ht="15" customHeight="1" x14ac:dyDescent="0.3">
      <c r="M2716" s="5"/>
    </row>
    <row r="2717" spans="13:13" ht="15" customHeight="1" x14ac:dyDescent="0.3">
      <c r="M2717" s="5"/>
    </row>
    <row r="2718" spans="13:13" ht="15" customHeight="1" x14ac:dyDescent="0.3">
      <c r="M2718" s="5"/>
    </row>
    <row r="2719" spans="13:13" ht="15" customHeight="1" x14ac:dyDescent="0.3">
      <c r="M2719" s="5"/>
    </row>
    <row r="2720" spans="13:13" ht="15" customHeight="1" x14ac:dyDescent="0.3">
      <c r="M2720" s="5"/>
    </row>
    <row r="2721" spans="13:13" ht="15" customHeight="1" x14ac:dyDescent="0.3">
      <c r="M2721" s="5"/>
    </row>
    <row r="2722" spans="13:13" ht="15" customHeight="1" x14ac:dyDescent="0.3">
      <c r="M2722" s="5"/>
    </row>
    <row r="2723" spans="13:13" ht="15" customHeight="1" x14ac:dyDescent="0.3">
      <c r="M2723" s="5"/>
    </row>
    <row r="2724" spans="13:13" ht="15" customHeight="1" x14ac:dyDescent="0.3">
      <c r="M2724" s="5"/>
    </row>
    <row r="2725" spans="13:13" ht="15" customHeight="1" x14ac:dyDescent="0.3">
      <c r="M2725" s="5"/>
    </row>
    <row r="2726" spans="13:13" ht="15" customHeight="1" x14ac:dyDescent="0.3">
      <c r="M2726" s="5"/>
    </row>
    <row r="2727" spans="13:13" ht="15" customHeight="1" x14ac:dyDescent="0.3">
      <c r="M2727" s="5"/>
    </row>
    <row r="2728" spans="13:13" ht="15" customHeight="1" x14ac:dyDescent="0.3">
      <c r="M2728" s="5"/>
    </row>
    <row r="2729" spans="13:13" ht="15" customHeight="1" x14ac:dyDescent="0.3">
      <c r="M2729" s="5"/>
    </row>
    <row r="2730" spans="13:13" ht="15" customHeight="1" x14ac:dyDescent="0.3">
      <c r="M2730" s="5"/>
    </row>
    <row r="2731" spans="13:13" ht="15" customHeight="1" x14ac:dyDescent="0.3">
      <c r="M2731" s="5"/>
    </row>
    <row r="2732" spans="13:13" ht="15" customHeight="1" x14ac:dyDescent="0.3">
      <c r="M2732" s="5"/>
    </row>
    <row r="2733" spans="13:13" ht="15" customHeight="1" x14ac:dyDescent="0.3">
      <c r="M2733" s="5"/>
    </row>
    <row r="2734" spans="13:13" ht="15" customHeight="1" x14ac:dyDescent="0.3">
      <c r="M2734" s="5"/>
    </row>
    <row r="2735" spans="13:13" ht="15" customHeight="1" x14ac:dyDescent="0.3">
      <c r="M2735" s="5"/>
    </row>
    <row r="2736" spans="13:13" ht="15" customHeight="1" x14ac:dyDescent="0.3">
      <c r="M2736" s="5"/>
    </row>
    <row r="2737" spans="13:13" ht="15" customHeight="1" x14ac:dyDescent="0.3">
      <c r="M2737" s="5"/>
    </row>
    <row r="2738" spans="13:13" ht="15" customHeight="1" x14ac:dyDescent="0.3">
      <c r="M2738" s="5"/>
    </row>
    <row r="2739" spans="13:13" ht="15" customHeight="1" x14ac:dyDescent="0.3">
      <c r="M2739" s="5"/>
    </row>
    <row r="2740" spans="13:13" ht="15" customHeight="1" x14ac:dyDescent="0.3">
      <c r="M2740" s="5"/>
    </row>
    <row r="2741" spans="13:13" ht="15" customHeight="1" x14ac:dyDescent="0.3">
      <c r="M2741" s="5"/>
    </row>
    <row r="2742" spans="13:13" ht="15" customHeight="1" x14ac:dyDescent="0.3">
      <c r="M2742" s="5"/>
    </row>
    <row r="2743" spans="13:13" ht="15" customHeight="1" x14ac:dyDescent="0.3">
      <c r="M2743" s="5"/>
    </row>
    <row r="2744" spans="13:13" ht="15" customHeight="1" x14ac:dyDescent="0.3">
      <c r="M2744" s="5"/>
    </row>
    <row r="2745" spans="13:13" ht="15" customHeight="1" x14ac:dyDescent="0.3">
      <c r="M2745" s="5"/>
    </row>
    <row r="2746" spans="13:13" ht="15" customHeight="1" x14ac:dyDescent="0.3">
      <c r="M2746" s="5"/>
    </row>
    <row r="2747" spans="13:13" ht="15" customHeight="1" x14ac:dyDescent="0.3">
      <c r="M2747" s="5"/>
    </row>
    <row r="2748" spans="13:13" ht="15" customHeight="1" x14ac:dyDescent="0.3">
      <c r="M2748" s="5"/>
    </row>
    <row r="2749" spans="13:13" ht="15" customHeight="1" x14ac:dyDescent="0.3">
      <c r="M2749" s="5"/>
    </row>
    <row r="2750" spans="13:13" ht="15" customHeight="1" x14ac:dyDescent="0.3">
      <c r="M2750" s="5"/>
    </row>
    <row r="2751" spans="13:13" ht="15" customHeight="1" x14ac:dyDescent="0.3">
      <c r="M2751" s="5"/>
    </row>
    <row r="2752" spans="13:13" ht="15" customHeight="1" x14ac:dyDescent="0.3">
      <c r="M2752" s="5"/>
    </row>
    <row r="2753" spans="13:13" ht="15" customHeight="1" x14ac:dyDescent="0.3">
      <c r="M2753" s="5"/>
    </row>
    <row r="2754" spans="13:13" ht="15" customHeight="1" x14ac:dyDescent="0.3">
      <c r="M2754" s="5"/>
    </row>
    <row r="2755" spans="13:13" ht="15" customHeight="1" x14ac:dyDescent="0.3">
      <c r="M2755" s="5"/>
    </row>
    <row r="2756" spans="13:13" ht="15" customHeight="1" x14ac:dyDescent="0.3">
      <c r="M2756" s="5"/>
    </row>
    <row r="2757" spans="13:13" ht="15" customHeight="1" x14ac:dyDescent="0.3">
      <c r="M2757" s="5"/>
    </row>
    <row r="2758" spans="13:13" ht="15" customHeight="1" x14ac:dyDescent="0.3">
      <c r="M2758" s="5"/>
    </row>
    <row r="2759" spans="13:13" ht="15" customHeight="1" x14ac:dyDescent="0.3">
      <c r="M2759" s="5"/>
    </row>
    <row r="2760" spans="13:13" ht="15" customHeight="1" x14ac:dyDescent="0.3">
      <c r="M2760" s="5"/>
    </row>
    <row r="2761" spans="13:13" ht="15" customHeight="1" x14ac:dyDescent="0.3">
      <c r="M2761" s="5"/>
    </row>
    <row r="2762" spans="13:13" ht="15" customHeight="1" x14ac:dyDescent="0.3">
      <c r="M2762" s="5"/>
    </row>
    <row r="2763" spans="13:13" ht="15" customHeight="1" x14ac:dyDescent="0.3">
      <c r="M2763" s="5"/>
    </row>
    <row r="2764" spans="13:13" ht="15" customHeight="1" x14ac:dyDescent="0.3">
      <c r="M2764" s="5"/>
    </row>
    <row r="2765" spans="13:13" ht="15" customHeight="1" x14ac:dyDescent="0.3">
      <c r="M2765" s="5"/>
    </row>
    <row r="2766" spans="13:13" ht="15" customHeight="1" x14ac:dyDescent="0.3">
      <c r="M2766" s="5"/>
    </row>
    <row r="2767" spans="13:13" ht="15" customHeight="1" x14ac:dyDescent="0.3">
      <c r="M2767" s="5"/>
    </row>
    <row r="2768" spans="13:13" ht="15" customHeight="1" x14ac:dyDescent="0.3">
      <c r="M2768" s="5"/>
    </row>
    <row r="2769" spans="13:13" ht="15" customHeight="1" x14ac:dyDescent="0.3">
      <c r="M2769" s="5"/>
    </row>
    <row r="2770" spans="13:13" ht="15" customHeight="1" x14ac:dyDescent="0.3">
      <c r="M2770" s="5"/>
    </row>
    <row r="2771" spans="13:13" ht="15" customHeight="1" x14ac:dyDescent="0.3">
      <c r="M2771" s="5"/>
    </row>
    <row r="2772" spans="13:13" ht="15" customHeight="1" x14ac:dyDescent="0.3">
      <c r="M2772" s="5"/>
    </row>
    <row r="2773" spans="13:13" ht="15" customHeight="1" x14ac:dyDescent="0.3">
      <c r="M2773" s="5"/>
    </row>
    <row r="2774" spans="13:13" ht="15" customHeight="1" x14ac:dyDescent="0.3">
      <c r="M2774" s="5"/>
    </row>
    <row r="2775" spans="13:13" ht="15" customHeight="1" x14ac:dyDescent="0.3">
      <c r="M2775" s="5"/>
    </row>
    <row r="2776" spans="13:13" ht="15" customHeight="1" x14ac:dyDescent="0.3">
      <c r="M2776" s="5"/>
    </row>
    <row r="2777" spans="13:13" ht="15" customHeight="1" x14ac:dyDescent="0.3">
      <c r="M2777" s="5"/>
    </row>
    <row r="2778" spans="13:13" ht="15" customHeight="1" x14ac:dyDescent="0.3">
      <c r="M2778" s="5"/>
    </row>
    <row r="2779" spans="13:13" ht="15" customHeight="1" x14ac:dyDescent="0.3">
      <c r="M2779" s="5"/>
    </row>
    <row r="2780" spans="13:13" ht="15" customHeight="1" x14ac:dyDescent="0.3">
      <c r="M2780" s="5"/>
    </row>
    <row r="2781" spans="13:13" ht="15" customHeight="1" x14ac:dyDescent="0.3">
      <c r="M2781" s="5"/>
    </row>
    <row r="2782" spans="13:13" ht="15" customHeight="1" x14ac:dyDescent="0.3">
      <c r="M2782" s="5"/>
    </row>
    <row r="2783" spans="13:13" ht="15" customHeight="1" x14ac:dyDescent="0.3">
      <c r="M2783" s="5"/>
    </row>
    <row r="2784" spans="13:13" ht="15" customHeight="1" x14ac:dyDescent="0.3">
      <c r="M2784" s="5"/>
    </row>
    <row r="2785" spans="13:13" ht="15" customHeight="1" x14ac:dyDescent="0.3">
      <c r="M2785" s="5"/>
    </row>
    <row r="2786" spans="13:13" ht="15" customHeight="1" x14ac:dyDescent="0.3">
      <c r="M2786" s="5"/>
    </row>
    <row r="2787" spans="13:13" ht="15" customHeight="1" x14ac:dyDescent="0.3">
      <c r="M2787" s="5"/>
    </row>
    <row r="2788" spans="13:13" ht="15" customHeight="1" x14ac:dyDescent="0.3">
      <c r="M2788" s="5"/>
    </row>
    <row r="2789" spans="13:13" ht="15" customHeight="1" x14ac:dyDescent="0.3">
      <c r="M2789" s="5"/>
    </row>
    <row r="2790" spans="13:13" ht="15" customHeight="1" x14ac:dyDescent="0.3">
      <c r="M2790" s="5"/>
    </row>
    <row r="2791" spans="13:13" ht="15" customHeight="1" x14ac:dyDescent="0.3">
      <c r="M2791" s="5"/>
    </row>
    <row r="2792" spans="13:13" ht="15" customHeight="1" x14ac:dyDescent="0.3">
      <c r="M2792" s="5"/>
    </row>
    <row r="2793" spans="13:13" ht="15" customHeight="1" x14ac:dyDescent="0.3">
      <c r="M2793" s="5"/>
    </row>
    <row r="2794" spans="13:13" ht="15" customHeight="1" x14ac:dyDescent="0.3">
      <c r="M2794" s="5"/>
    </row>
    <row r="2795" spans="13:13" ht="15" customHeight="1" x14ac:dyDescent="0.3">
      <c r="M2795" s="5"/>
    </row>
    <row r="2796" spans="13:13" ht="15" customHeight="1" x14ac:dyDescent="0.3">
      <c r="M2796" s="5"/>
    </row>
    <row r="2797" spans="13:13" ht="15" customHeight="1" x14ac:dyDescent="0.3">
      <c r="M2797" s="5"/>
    </row>
    <row r="2798" spans="13:13" ht="15" customHeight="1" x14ac:dyDescent="0.3">
      <c r="M2798" s="5"/>
    </row>
    <row r="2799" spans="13:13" ht="15" customHeight="1" x14ac:dyDescent="0.3">
      <c r="M2799" s="5"/>
    </row>
    <row r="2800" spans="13:13" ht="15" customHeight="1" x14ac:dyDescent="0.3">
      <c r="M2800" s="5"/>
    </row>
    <row r="2801" spans="13:13" ht="15" customHeight="1" x14ac:dyDescent="0.3">
      <c r="M2801" s="5"/>
    </row>
    <row r="2802" spans="13:13" ht="15" customHeight="1" x14ac:dyDescent="0.3">
      <c r="M2802" s="5"/>
    </row>
    <row r="2803" spans="13:13" ht="15" customHeight="1" x14ac:dyDescent="0.3">
      <c r="M2803" s="5"/>
    </row>
    <row r="2804" spans="13:13" ht="15" customHeight="1" x14ac:dyDescent="0.3">
      <c r="M2804" s="5"/>
    </row>
    <row r="2805" spans="13:13" ht="15" customHeight="1" x14ac:dyDescent="0.3">
      <c r="M2805" s="5"/>
    </row>
    <row r="2806" spans="13:13" ht="15" customHeight="1" x14ac:dyDescent="0.3">
      <c r="M2806" s="5"/>
    </row>
    <row r="2807" spans="13:13" ht="15" customHeight="1" x14ac:dyDescent="0.3">
      <c r="M2807" s="5"/>
    </row>
    <row r="2808" spans="13:13" ht="15" customHeight="1" x14ac:dyDescent="0.3">
      <c r="M2808" s="5"/>
    </row>
    <row r="2809" spans="13:13" ht="15" customHeight="1" x14ac:dyDescent="0.3">
      <c r="M2809" s="5"/>
    </row>
    <row r="2810" spans="13:13" ht="15" customHeight="1" x14ac:dyDescent="0.3">
      <c r="M2810" s="5"/>
    </row>
    <row r="2811" spans="13:13" ht="15" customHeight="1" x14ac:dyDescent="0.3">
      <c r="M2811" s="5"/>
    </row>
    <row r="2812" spans="13:13" ht="15" customHeight="1" x14ac:dyDescent="0.3">
      <c r="M2812" s="5"/>
    </row>
    <row r="2813" spans="13:13" ht="15" customHeight="1" x14ac:dyDescent="0.3">
      <c r="M2813" s="5"/>
    </row>
    <row r="2814" spans="13:13" ht="15" customHeight="1" x14ac:dyDescent="0.3">
      <c r="M2814" s="5"/>
    </row>
    <row r="2815" spans="13:13" ht="15" customHeight="1" x14ac:dyDescent="0.3">
      <c r="M2815" s="5"/>
    </row>
    <row r="2816" spans="13:13" ht="15" customHeight="1" x14ac:dyDescent="0.3">
      <c r="M2816" s="5"/>
    </row>
    <row r="2817" spans="13:13" ht="15" customHeight="1" x14ac:dyDescent="0.3">
      <c r="M2817" s="5"/>
    </row>
    <row r="2818" spans="13:13" ht="15" customHeight="1" x14ac:dyDescent="0.3">
      <c r="M2818" s="5"/>
    </row>
    <row r="2819" spans="13:13" ht="15" customHeight="1" x14ac:dyDescent="0.3">
      <c r="M2819" s="5"/>
    </row>
    <row r="2820" spans="13:13" ht="15" customHeight="1" x14ac:dyDescent="0.3">
      <c r="M2820" s="5"/>
    </row>
    <row r="2821" spans="13:13" ht="15" customHeight="1" x14ac:dyDescent="0.3">
      <c r="M2821" s="5"/>
    </row>
    <row r="2822" spans="13:13" ht="15" customHeight="1" x14ac:dyDescent="0.3">
      <c r="M2822" s="5"/>
    </row>
    <row r="2823" spans="13:13" ht="15" customHeight="1" x14ac:dyDescent="0.3">
      <c r="M2823" s="5"/>
    </row>
    <row r="2824" spans="13:13" ht="15" customHeight="1" x14ac:dyDescent="0.3">
      <c r="M2824" s="5"/>
    </row>
    <row r="2825" spans="13:13" ht="15" customHeight="1" x14ac:dyDescent="0.3">
      <c r="M2825" s="5"/>
    </row>
    <row r="2826" spans="13:13" ht="15" customHeight="1" x14ac:dyDescent="0.3">
      <c r="M2826" s="5"/>
    </row>
    <row r="2827" spans="13:13" ht="15" customHeight="1" x14ac:dyDescent="0.3">
      <c r="M2827" s="5"/>
    </row>
    <row r="2828" spans="13:13" ht="15" customHeight="1" x14ac:dyDescent="0.3">
      <c r="M2828" s="5"/>
    </row>
    <row r="2829" spans="13:13" ht="15" customHeight="1" x14ac:dyDescent="0.3">
      <c r="M2829" s="5"/>
    </row>
    <row r="2830" spans="13:13" ht="15" customHeight="1" x14ac:dyDescent="0.3">
      <c r="M2830" s="5"/>
    </row>
    <row r="2831" spans="13:13" ht="15" customHeight="1" x14ac:dyDescent="0.3">
      <c r="M2831" s="5"/>
    </row>
    <row r="2832" spans="13:13" ht="15" customHeight="1" x14ac:dyDescent="0.3">
      <c r="M2832" s="5"/>
    </row>
    <row r="2833" spans="13:13" ht="15" customHeight="1" x14ac:dyDescent="0.3">
      <c r="M2833" s="5"/>
    </row>
    <row r="2834" spans="13:13" ht="15" customHeight="1" x14ac:dyDescent="0.3">
      <c r="M2834" s="5"/>
    </row>
    <row r="2835" spans="13:13" ht="15" customHeight="1" x14ac:dyDescent="0.3">
      <c r="M2835" s="5"/>
    </row>
    <row r="2836" spans="13:13" ht="15" customHeight="1" x14ac:dyDescent="0.3">
      <c r="M2836" s="5"/>
    </row>
    <row r="2837" spans="13:13" ht="15" customHeight="1" x14ac:dyDescent="0.3">
      <c r="M2837" s="5"/>
    </row>
    <row r="2838" spans="13:13" ht="15" customHeight="1" x14ac:dyDescent="0.3">
      <c r="M2838" s="5"/>
    </row>
    <row r="2839" spans="13:13" ht="15" customHeight="1" x14ac:dyDescent="0.3">
      <c r="M2839" s="5"/>
    </row>
    <row r="2840" spans="13:13" ht="15" customHeight="1" x14ac:dyDescent="0.3">
      <c r="M2840" s="5"/>
    </row>
    <row r="2841" spans="13:13" ht="15" customHeight="1" x14ac:dyDescent="0.3">
      <c r="M2841" s="5"/>
    </row>
    <row r="2842" spans="13:13" ht="15" customHeight="1" x14ac:dyDescent="0.3">
      <c r="M2842" s="5"/>
    </row>
    <row r="2843" spans="13:13" ht="15" customHeight="1" x14ac:dyDescent="0.3">
      <c r="M2843" s="5"/>
    </row>
    <row r="2844" spans="13:13" ht="15" customHeight="1" x14ac:dyDescent="0.3">
      <c r="M2844" s="5"/>
    </row>
    <row r="2845" spans="13:13" ht="15" customHeight="1" x14ac:dyDescent="0.3">
      <c r="M2845" s="5"/>
    </row>
    <row r="2846" spans="13:13" ht="15" customHeight="1" x14ac:dyDescent="0.3">
      <c r="M2846" s="5"/>
    </row>
    <row r="2847" spans="13:13" ht="15" customHeight="1" x14ac:dyDescent="0.3">
      <c r="M2847" s="5"/>
    </row>
    <row r="2848" spans="13:13" ht="15" customHeight="1" x14ac:dyDescent="0.3">
      <c r="M2848" s="5"/>
    </row>
    <row r="2849" spans="13:13" ht="15" customHeight="1" x14ac:dyDescent="0.3">
      <c r="M2849" s="5"/>
    </row>
    <row r="2850" spans="13:13" ht="15" customHeight="1" x14ac:dyDescent="0.3">
      <c r="M2850" s="5"/>
    </row>
    <row r="2851" spans="13:13" ht="15" customHeight="1" x14ac:dyDescent="0.3">
      <c r="M2851" s="5"/>
    </row>
    <row r="2852" spans="13:13" ht="15" customHeight="1" x14ac:dyDescent="0.3">
      <c r="M2852" s="5"/>
    </row>
    <row r="2853" spans="13:13" ht="15" customHeight="1" x14ac:dyDescent="0.3">
      <c r="M2853" s="5"/>
    </row>
    <row r="2854" spans="13:13" ht="15" customHeight="1" x14ac:dyDescent="0.3">
      <c r="M2854" s="5"/>
    </row>
    <row r="2855" spans="13:13" ht="15" customHeight="1" x14ac:dyDescent="0.3">
      <c r="M2855" s="5"/>
    </row>
    <row r="2856" spans="13:13" ht="15" customHeight="1" x14ac:dyDescent="0.3">
      <c r="M2856" s="5"/>
    </row>
    <row r="2857" spans="13:13" ht="15" customHeight="1" x14ac:dyDescent="0.3">
      <c r="M2857" s="5"/>
    </row>
    <row r="2858" spans="13:13" ht="15" customHeight="1" x14ac:dyDescent="0.3">
      <c r="M2858" s="5"/>
    </row>
    <row r="2859" spans="13:13" ht="15" customHeight="1" x14ac:dyDescent="0.3">
      <c r="M2859" s="5"/>
    </row>
    <row r="2860" spans="13:13" ht="15" customHeight="1" x14ac:dyDescent="0.3">
      <c r="M2860" s="5"/>
    </row>
    <row r="2861" spans="13:13" ht="15" customHeight="1" x14ac:dyDescent="0.3">
      <c r="M2861" s="5"/>
    </row>
    <row r="2862" spans="13:13" ht="15" customHeight="1" x14ac:dyDescent="0.3">
      <c r="M2862" s="5"/>
    </row>
    <row r="2863" spans="13:13" ht="15" customHeight="1" x14ac:dyDescent="0.3">
      <c r="M2863" s="5"/>
    </row>
    <row r="2864" spans="13:13" ht="15" customHeight="1" x14ac:dyDescent="0.3">
      <c r="M2864" s="5"/>
    </row>
    <row r="2865" spans="13:13" ht="15" customHeight="1" x14ac:dyDescent="0.3">
      <c r="M2865" s="5"/>
    </row>
    <row r="2866" spans="13:13" ht="15" customHeight="1" x14ac:dyDescent="0.3">
      <c r="M2866" s="5"/>
    </row>
    <row r="2867" spans="13:13" ht="15" customHeight="1" x14ac:dyDescent="0.3">
      <c r="M2867" s="5"/>
    </row>
    <row r="2868" spans="13:13" ht="15" customHeight="1" x14ac:dyDescent="0.3">
      <c r="M2868" s="5"/>
    </row>
    <row r="2869" spans="13:13" ht="15" customHeight="1" x14ac:dyDescent="0.3">
      <c r="M2869" s="5"/>
    </row>
    <row r="2870" spans="13:13" ht="15" customHeight="1" x14ac:dyDescent="0.3">
      <c r="M2870" s="5"/>
    </row>
    <row r="2871" spans="13:13" ht="15" customHeight="1" x14ac:dyDescent="0.3">
      <c r="M2871" s="5"/>
    </row>
    <row r="2872" spans="13:13" ht="15" customHeight="1" x14ac:dyDescent="0.3">
      <c r="M2872" s="5"/>
    </row>
    <row r="2873" spans="13:13" ht="15" customHeight="1" x14ac:dyDescent="0.3">
      <c r="M2873" s="5"/>
    </row>
    <row r="2874" spans="13:13" ht="15" customHeight="1" x14ac:dyDescent="0.3">
      <c r="M2874" s="5"/>
    </row>
    <row r="2875" spans="13:13" ht="15" customHeight="1" x14ac:dyDescent="0.3">
      <c r="M2875" s="5"/>
    </row>
    <row r="2876" spans="13:13" ht="15" customHeight="1" x14ac:dyDescent="0.3">
      <c r="M2876" s="5"/>
    </row>
    <row r="2877" spans="13:13" ht="15" customHeight="1" x14ac:dyDescent="0.3">
      <c r="M2877" s="5"/>
    </row>
    <row r="2878" spans="13:13" ht="15" customHeight="1" x14ac:dyDescent="0.3">
      <c r="M2878" s="5"/>
    </row>
    <row r="2879" spans="13:13" ht="15" customHeight="1" x14ac:dyDescent="0.3">
      <c r="M2879" s="5"/>
    </row>
    <row r="2880" spans="13:13" ht="15" customHeight="1" x14ac:dyDescent="0.3">
      <c r="M2880" s="5"/>
    </row>
    <row r="2881" spans="13:13" ht="15" customHeight="1" x14ac:dyDescent="0.3">
      <c r="M2881" s="5"/>
    </row>
    <row r="2882" spans="13:13" ht="15" customHeight="1" x14ac:dyDescent="0.3">
      <c r="M2882" s="5"/>
    </row>
    <row r="2883" spans="13:13" ht="15" customHeight="1" x14ac:dyDescent="0.3">
      <c r="M2883" s="5"/>
    </row>
    <row r="2884" spans="13:13" ht="15" customHeight="1" x14ac:dyDescent="0.3">
      <c r="M2884" s="5"/>
    </row>
    <row r="2885" spans="13:13" ht="15" customHeight="1" x14ac:dyDescent="0.3">
      <c r="M2885" s="5"/>
    </row>
    <row r="2886" spans="13:13" ht="15" customHeight="1" x14ac:dyDescent="0.3">
      <c r="M2886" s="5"/>
    </row>
    <row r="2887" spans="13:13" ht="15" customHeight="1" x14ac:dyDescent="0.3">
      <c r="M2887" s="5"/>
    </row>
    <row r="2888" spans="13:13" ht="15" customHeight="1" x14ac:dyDescent="0.3">
      <c r="M2888" s="5"/>
    </row>
    <row r="2889" spans="13:13" ht="15" customHeight="1" x14ac:dyDescent="0.3">
      <c r="M2889" s="5"/>
    </row>
    <row r="2890" spans="13:13" ht="15" customHeight="1" x14ac:dyDescent="0.3">
      <c r="M2890" s="5"/>
    </row>
    <row r="2891" spans="13:13" ht="15" customHeight="1" x14ac:dyDescent="0.3">
      <c r="M2891" s="5"/>
    </row>
    <row r="2892" spans="13:13" ht="15" customHeight="1" x14ac:dyDescent="0.3">
      <c r="M2892" s="5"/>
    </row>
    <row r="2893" spans="13:13" ht="15" customHeight="1" x14ac:dyDescent="0.3">
      <c r="M2893" s="5"/>
    </row>
    <row r="2894" spans="13:13" ht="15" customHeight="1" x14ac:dyDescent="0.3">
      <c r="M2894" s="5"/>
    </row>
    <row r="2895" spans="13:13" ht="15" customHeight="1" x14ac:dyDescent="0.3">
      <c r="M2895" s="5"/>
    </row>
    <row r="2896" spans="13:13" ht="15" customHeight="1" x14ac:dyDescent="0.3">
      <c r="M2896" s="5"/>
    </row>
    <row r="2897" spans="13:13" ht="15" customHeight="1" x14ac:dyDescent="0.3">
      <c r="M2897" s="5"/>
    </row>
    <row r="2898" spans="13:13" ht="15" customHeight="1" x14ac:dyDescent="0.3">
      <c r="M2898" s="5"/>
    </row>
    <row r="2899" spans="13:13" ht="15" customHeight="1" x14ac:dyDescent="0.3">
      <c r="M2899" s="5"/>
    </row>
    <row r="2900" spans="13:13" ht="15" customHeight="1" x14ac:dyDescent="0.3">
      <c r="M2900" s="5"/>
    </row>
    <row r="2901" spans="13:13" ht="15" customHeight="1" x14ac:dyDescent="0.3">
      <c r="M2901" s="5"/>
    </row>
    <row r="2902" spans="13:13" ht="15" customHeight="1" x14ac:dyDescent="0.3">
      <c r="M2902" s="5"/>
    </row>
    <row r="2903" spans="13:13" ht="15" customHeight="1" x14ac:dyDescent="0.3">
      <c r="M2903" s="5"/>
    </row>
    <row r="2904" spans="13:13" ht="15" customHeight="1" x14ac:dyDescent="0.3">
      <c r="M2904" s="5"/>
    </row>
    <row r="2905" spans="13:13" ht="15" customHeight="1" x14ac:dyDescent="0.3">
      <c r="M2905" s="5"/>
    </row>
    <row r="2906" spans="13:13" ht="15" customHeight="1" x14ac:dyDescent="0.3">
      <c r="M2906" s="5"/>
    </row>
    <row r="2907" spans="13:13" ht="15" customHeight="1" x14ac:dyDescent="0.3">
      <c r="M2907" s="5"/>
    </row>
    <row r="2908" spans="13:13" ht="15" customHeight="1" x14ac:dyDescent="0.3">
      <c r="M2908" s="5"/>
    </row>
    <row r="2909" spans="13:13" ht="15" customHeight="1" x14ac:dyDescent="0.3">
      <c r="M2909" s="5"/>
    </row>
    <row r="2910" spans="13:13" ht="15" customHeight="1" x14ac:dyDescent="0.3">
      <c r="M2910" s="5"/>
    </row>
    <row r="2911" spans="13:13" ht="15" customHeight="1" x14ac:dyDescent="0.3">
      <c r="M2911" s="5"/>
    </row>
    <row r="2912" spans="13:13" ht="15" customHeight="1" x14ac:dyDescent="0.3">
      <c r="M2912" s="5"/>
    </row>
    <row r="2913" spans="13:13" ht="15" customHeight="1" x14ac:dyDescent="0.3">
      <c r="M2913" s="5"/>
    </row>
    <row r="2914" spans="13:13" ht="15" customHeight="1" x14ac:dyDescent="0.3">
      <c r="M2914" s="5"/>
    </row>
    <row r="2915" spans="13:13" ht="15" customHeight="1" x14ac:dyDescent="0.3">
      <c r="M2915" s="5"/>
    </row>
    <row r="2916" spans="13:13" ht="15" customHeight="1" x14ac:dyDescent="0.3">
      <c r="M2916" s="5"/>
    </row>
    <row r="2917" spans="13:13" ht="15" customHeight="1" x14ac:dyDescent="0.3">
      <c r="M2917" s="5"/>
    </row>
    <row r="2918" spans="13:13" ht="15" customHeight="1" x14ac:dyDescent="0.3">
      <c r="M2918" s="5"/>
    </row>
    <row r="2919" spans="13:13" ht="15" customHeight="1" x14ac:dyDescent="0.3">
      <c r="M2919" s="5"/>
    </row>
    <row r="2920" spans="13:13" ht="15" customHeight="1" x14ac:dyDescent="0.3">
      <c r="M2920" s="5"/>
    </row>
    <row r="2921" spans="13:13" ht="15" customHeight="1" x14ac:dyDescent="0.3">
      <c r="M2921" s="5"/>
    </row>
    <row r="2922" spans="13:13" ht="15" customHeight="1" x14ac:dyDescent="0.3">
      <c r="M2922" s="5"/>
    </row>
    <row r="2923" spans="13:13" ht="15" customHeight="1" x14ac:dyDescent="0.3">
      <c r="M2923" s="5"/>
    </row>
    <row r="2924" spans="13:13" ht="15" customHeight="1" x14ac:dyDescent="0.3">
      <c r="M2924" s="5"/>
    </row>
    <row r="2925" spans="13:13" ht="15" customHeight="1" x14ac:dyDescent="0.3">
      <c r="M2925" s="5"/>
    </row>
    <row r="2926" spans="13:13" ht="15" customHeight="1" x14ac:dyDescent="0.3">
      <c r="M2926" s="5"/>
    </row>
    <row r="2927" spans="13:13" ht="15" customHeight="1" x14ac:dyDescent="0.3">
      <c r="M2927" s="5"/>
    </row>
    <row r="2928" spans="13:13" ht="15" customHeight="1" x14ac:dyDescent="0.3">
      <c r="M2928" s="5"/>
    </row>
    <row r="2929" spans="13:13" ht="15" customHeight="1" x14ac:dyDescent="0.3">
      <c r="M2929" s="5"/>
    </row>
    <row r="2930" spans="13:13" ht="15" customHeight="1" x14ac:dyDescent="0.3">
      <c r="M2930" s="5"/>
    </row>
    <row r="2931" spans="13:13" ht="15" customHeight="1" x14ac:dyDescent="0.3">
      <c r="M2931" s="5"/>
    </row>
    <row r="2932" spans="13:13" ht="15" customHeight="1" x14ac:dyDescent="0.3">
      <c r="M2932" s="5"/>
    </row>
    <row r="2933" spans="13:13" ht="15" customHeight="1" x14ac:dyDescent="0.3">
      <c r="M2933" s="5"/>
    </row>
    <row r="2934" spans="13:13" ht="15" customHeight="1" x14ac:dyDescent="0.3">
      <c r="M2934" s="5"/>
    </row>
    <row r="2935" spans="13:13" ht="15" customHeight="1" x14ac:dyDescent="0.3">
      <c r="M2935" s="5"/>
    </row>
    <row r="2936" spans="13:13" ht="15" customHeight="1" x14ac:dyDescent="0.3">
      <c r="M2936" s="5"/>
    </row>
    <row r="2937" spans="13:13" ht="15" customHeight="1" x14ac:dyDescent="0.3">
      <c r="M2937" s="5"/>
    </row>
    <row r="2938" spans="13:13" ht="15" customHeight="1" x14ac:dyDescent="0.3">
      <c r="M2938" s="5"/>
    </row>
    <row r="2939" spans="13:13" ht="15" customHeight="1" x14ac:dyDescent="0.3">
      <c r="M2939" s="5"/>
    </row>
    <row r="2940" spans="13:13" ht="15" customHeight="1" x14ac:dyDescent="0.3">
      <c r="M2940" s="5"/>
    </row>
    <row r="2941" spans="13:13" ht="15" customHeight="1" x14ac:dyDescent="0.3">
      <c r="M2941" s="5"/>
    </row>
    <row r="2942" spans="13:13" ht="15" customHeight="1" x14ac:dyDescent="0.3">
      <c r="M2942" s="5"/>
    </row>
    <row r="2943" spans="13:13" ht="15" customHeight="1" x14ac:dyDescent="0.3">
      <c r="M2943" s="5"/>
    </row>
    <row r="2944" spans="13:13" ht="15" customHeight="1" x14ac:dyDescent="0.3">
      <c r="M2944" s="5"/>
    </row>
    <row r="2945" spans="13:13" ht="15" customHeight="1" x14ac:dyDescent="0.3">
      <c r="M2945" s="5"/>
    </row>
    <row r="2946" spans="13:13" ht="15" customHeight="1" x14ac:dyDescent="0.3">
      <c r="M2946" s="5"/>
    </row>
    <row r="2947" spans="13:13" ht="15" customHeight="1" x14ac:dyDescent="0.3">
      <c r="M2947" s="5"/>
    </row>
    <row r="2948" spans="13:13" ht="15" customHeight="1" x14ac:dyDescent="0.3">
      <c r="M2948" s="5"/>
    </row>
    <row r="2949" spans="13:13" ht="15" customHeight="1" x14ac:dyDescent="0.3">
      <c r="M2949" s="5"/>
    </row>
    <row r="2950" spans="13:13" ht="15" customHeight="1" x14ac:dyDescent="0.3">
      <c r="M2950" s="5"/>
    </row>
    <row r="2951" spans="13:13" ht="15" customHeight="1" x14ac:dyDescent="0.3">
      <c r="M2951" s="5"/>
    </row>
    <row r="2952" spans="13:13" ht="15" customHeight="1" x14ac:dyDescent="0.3">
      <c r="M2952" s="5"/>
    </row>
    <row r="2953" spans="13:13" ht="15" customHeight="1" x14ac:dyDescent="0.3">
      <c r="M2953" s="5"/>
    </row>
    <row r="2954" spans="13:13" ht="15" customHeight="1" x14ac:dyDescent="0.3">
      <c r="M2954" s="5"/>
    </row>
    <row r="2955" spans="13:13" ht="15" customHeight="1" x14ac:dyDescent="0.3">
      <c r="M2955" s="5"/>
    </row>
    <row r="2956" spans="13:13" ht="15" customHeight="1" x14ac:dyDescent="0.3">
      <c r="M2956" s="5"/>
    </row>
    <row r="2957" spans="13:13" ht="15" customHeight="1" x14ac:dyDescent="0.3">
      <c r="M2957" s="5"/>
    </row>
    <row r="2958" spans="13:13" ht="15" customHeight="1" x14ac:dyDescent="0.3">
      <c r="M2958" s="5"/>
    </row>
    <row r="2959" spans="13:13" ht="15" customHeight="1" x14ac:dyDescent="0.3">
      <c r="M2959" s="5"/>
    </row>
    <row r="2960" spans="13:13" ht="15" customHeight="1" x14ac:dyDescent="0.3">
      <c r="M2960" s="5"/>
    </row>
    <row r="2961" spans="13:13" ht="15" customHeight="1" x14ac:dyDescent="0.3">
      <c r="M2961" s="5"/>
    </row>
    <row r="2962" spans="13:13" ht="15" customHeight="1" x14ac:dyDescent="0.3">
      <c r="M2962" s="5"/>
    </row>
    <row r="2963" spans="13:13" ht="15" customHeight="1" x14ac:dyDescent="0.3">
      <c r="M2963" s="5"/>
    </row>
    <row r="2964" spans="13:13" ht="15" customHeight="1" x14ac:dyDescent="0.3">
      <c r="M2964" s="5"/>
    </row>
    <row r="2965" spans="13:13" ht="15" customHeight="1" x14ac:dyDescent="0.3">
      <c r="M2965" s="5"/>
    </row>
    <row r="2966" spans="13:13" ht="15" customHeight="1" x14ac:dyDescent="0.3">
      <c r="M2966" s="5"/>
    </row>
    <row r="2967" spans="13:13" ht="15" customHeight="1" x14ac:dyDescent="0.3">
      <c r="M2967" s="5"/>
    </row>
    <row r="2968" spans="13:13" ht="15" customHeight="1" x14ac:dyDescent="0.3">
      <c r="M2968" s="5"/>
    </row>
    <row r="2969" spans="13:13" ht="15" customHeight="1" x14ac:dyDescent="0.3">
      <c r="M2969" s="5"/>
    </row>
    <row r="2970" spans="13:13" ht="15" customHeight="1" x14ac:dyDescent="0.3">
      <c r="M2970" s="5"/>
    </row>
    <row r="2971" spans="13:13" ht="15" customHeight="1" x14ac:dyDescent="0.3">
      <c r="M2971" s="5"/>
    </row>
    <row r="2972" spans="13:13" ht="15" customHeight="1" x14ac:dyDescent="0.3">
      <c r="M2972" s="5"/>
    </row>
    <row r="2973" spans="13:13" ht="15" customHeight="1" x14ac:dyDescent="0.3">
      <c r="M2973" s="5"/>
    </row>
    <row r="2974" spans="13:13" ht="15" customHeight="1" x14ac:dyDescent="0.3">
      <c r="M2974" s="5"/>
    </row>
    <row r="2975" spans="13:13" ht="15" customHeight="1" x14ac:dyDescent="0.3">
      <c r="M2975" s="5"/>
    </row>
    <row r="2976" spans="13:13" ht="15" customHeight="1" x14ac:dyDescent="0.3">
      <c r="M2976" s="5"/>
    </row>
    <row r="2977" spans="13:13" ht="15" customHeight="1" x14ac:dyDescent="0.3">
      <c r="M2977" s="5"/>
    </row>
    <row r="2978" spans="13:13" ht="15" customHeight="1" x14ac:dyDescent="0.3">
      <c r="M2978" s="5"/>
    </row>
    <row r="2979" spans="13:13" ht="15" customHeight="1" x14ac:dyDescent="0.3">
      <c r="M2979" s="5"/>
    </row>
    <row r="2980" spans="13:13" ht="15" customHeight="1" x14ac:dyDescent="0.3">
      <c r="M2980" s="5"/>
    </row>
    <row r="2981" spans="13:13" ht="15" customHeight="1" x14ac:dyDescent="0.3">
      <c r="M2981" s="5"/>
    </row>
    <row r="2982" spans="13:13" ht="15" customHeight="1" x14ac:dyDescent="0.3">
      <c r="M2982" s="5"/>
    </row>
    <row r="2983" spans="13:13" ht="15" customHeight="1" x14ac:dyDescent="0.3">
      <c r="M2983" s="5"/>
    </row>
    <row r="2984" spans="13:13" ht="15" customHeight="1" x14ac:dyDescent="0.3">
      <c r="M2984" s="5"/>
    </row>
    <row r="2985" spans="13:13" ht="15" customHeight="1" x14ac:dyDescent="0.3">
      <c r="M2985" s="5"/>
    </row>
    <row r="2986" spans="13:13" ht="15" customHeight="1" x14ac:dyDescent="0.3">
      <c r="M2986" s="5"/>
    </row>
    <row r="2987" spans="13:13" ht="15" customHeight="1" x14ac:dyDescent="0.3">
      <c r="M2987" s="5"/>
    </row>
    <row r="2988" spans="13:13" ht="15" customHeight="1" x14ac:dyDescent="0.3">
      <c r="M2988" s="5"/>
    </row>
    <row r="2989" spans="13:13" ht="15" customHeight="1" x14ac:dyDescent="0.3">
      <c r="M2989" s="5"/>
    </row>
    <row r="2990" spans="13:13" ht="15" customHeight="1" x14ac:dyDescent="0.3">
      <c r="M2990" s="5"/>
    </row>
    <row r="2991" spans="13:13" ht="15" customHeight="1" x14ac:dyDescent="0.3">
      <c r="M2991" s="5"/>
    </row>
    <row r="2992" spans="13:13" ht="15" customHeight="1" x14ac:dyDescent="0.3">
      <c r="M2992" s="5"/>
    </row>
    <row r="2993" spans="13:13" ht="15" customHeight="1" x14ac:dyDescent="0.3">
      <c r="M2993" s="5"/>
    </row>
    <row r="2994" spans="13:13" ht="15" customHeight="1" x14ac:dyDescent="0.3">
      <c r="M2994" s="5"/>
    </row>
    <row r="2995" spans="13:13" ht="15" customHeight="1" x14ac:dyDescent="0.3">
      <c r="M2995" s="5"/>
    </row>
    <row r="2996" spans="13:13" ht="15" customHeight="1" x14ac:dyDescent="0.3">
      <c r="M2996" s="5"/>
    </row>
    <row r="2997" spans="13:13" ht="15" customHeight="1" x14ac:dyDescent="0.3">
      <c r="M2997" s="5"/>
    </row>
    <row r="2998" spans="13:13" ht="15" customHeight="1" x14ac:dyDescent="0.3">
      <c r="M2998" s="5"/>
    </row>
    <row r="2999" spans="13:13" ht="15" customHeight="1" x14ac:dyDescent="0.3">
      <c r="M2999" s="5"/>
    </row>
    <row r="3000" spans="13:13" ht="15" customHeight="1" x14ac:dyDescent="0.3">
      <c r="M3000" s="5"/>
    </row>
    <row r="3001" spans="13:13" ht="15" customHeight="1" x14ac:dyDescent="0.3">
      <c r="M3001" s="5"/>
    </row>
    <row r="3002" spans="13:13" ht="15" customHeight="1" x14ac:dyDescent="0.3">
      <c r="M3002" s="5"/>
    </row>
    <row r="3003" spans="13:13" ht="15" customHeight="1" x14ac:dyDescent="0.3">
      <c r="M3003" s="5"/>
    </row>
    <row r="3004" spans="13:13" ht="15" customHeight="1" x14ac:dyDescent="0.3">
      <c r="M3004" s="5"/>
    </row>
    <row r="3005" spans="13:13" ht="15" customHeight="1" x14ac:dyDescent="0.3">
      <c r="M3005" s="5"/>
    </row>
    <row r="3006" spans="13:13" ht="15" customHeight="1" x14ac:dyDescent="0.3">
      <c r="M3006" s="5"/>
    </row>
    <row r="3007" spans="13:13" ht="15" customHeight="1" x14ac:dyDescent="0.3">
      <c r="M3007" s="5"/>
    </row>
    <row r="3008" spans="13:13" ht="15" customHeight="1" x14ac:dyDescent="0.3">
      <c r="M3008" s="5"/>
    </row>
    <row r="3009" spans="13:13" ht="15" customHeight="1" x14ac:dyDescent="0.3">
      <c r="M3009" s="5"/>
    </row>
    <row r="3010" spans="13:13" ht="15" customHeight="1" x14ac:dyDescent="0.3">
      <c r="M3010" s="5"/>
    </row>
    <row r="3011" spans="13:13" ht="15" customHeight="1" x14ac:dyDescent="0.3">
      <c r="M3011" s="5"/>
    </row>
    <row r="3012" spans="13:13" ht="15" customHeight="1" x14ac:dyDescent="0.3">
      <c r="M3012" s="5"/>
    </row>
    <row r="3013" spans="13:13" ht="15" customHeight="1" x14ac:dyDescent="0.3">
      <c r="M3013" s="5"/>
    </row>
    <row r="3014" spans="13:13" ht="15" customHeight="1" x14ac:dyDescent="0.3">
      <c r="M3014" s="5"/>
    </row>
    <row r="3015" spans="13:13" ht="15" customHeight="1" x14ac:dyDescent="0.3">
      <c r="M3015" s="5"/>
    </row>
    <row r="3016" spans="13:13" ht="15" customHeight="1" x14ac:dyDescent="0.3">
      <c r="M3016" s="5"/>
    </row>
    <row r="3017" spans="13:13" ht="15" customHeight="1" x14ac:dyDescent="0.3">
      <c r="M3017" s="5"/>
    </row>
    <row r="3018" spans="13:13" ht="15" customHeight="1" x14ac:dyDescent="0.3">
      <c r="M3018" s="5"/>
    </row>
    <row r="3019" spans="13:13" ht="15" customHeight="1" x14ac:dyDescent="0.3">
      <c r="M3019" s="5"/>
    </row>
    <row r="3020" spans="13:13" ht="15" customHeight="1" x14ac:dyDescent="0.3">
      <c r="M3020" s="5"/>
    </row>
    <row r="3021" spans="13:13" ht="15" customHeight="1" x14ac:dyDescent="0.3">
      <c r="M3021" s="5"/>
    </row>
    <row r="3022" spans="13:13" ht="15" customHeight="1" x14ac:dyDescent="0.3">
      <c r="M3022" s="5"/>
    </row>
    <row r="3023" spans="13:13" ht="15" customHeight="1" x14ac:dyDescent="0.3">
      <c r="M3023" s="5"/>
    </row>
    <row r="3024" spans="13:13" ht="15" customHeight="1" x14ac:dyDescent="0.3">
      <c r="M3024" s="5"/>
    </row>
    <row r="3025" spans="13:13" ht="15" customHeight="1" x14ac:dyDescent="0.3">
      <c r="M3025" s="5"/>
    </row>
    <row r="3026" spans="13:13" ht="15" customHeight="1" x14ac:dyDescent="0.3">
      <c r="M3026" s="5"/>
    </row>
    <row r="3027" spans="13:13" ht="15" customHeight="1" x14ac:dyDescent="0.3">
      <c r="M3027" s="5"/>
    </row>
    <row r="3028" spans="13:13" ht="15" customHeight="1" x14ac:dyDescent="0.3">
      <c r="M3028" s="5"/>
    </row>
    <row r="3029" spans="13:13" ht="15" customHeight="1" x14ac:dyDescent="0.3">
      <c r="M3029" s="5"/>
    </row>
    <row r="3030" spans="13:13" ht="15" customHeight="1" x14ac:dyDescent="0.3">
      <c r="M3030" s="5"/>
    </row>
    <row r="3031" spans="13:13" ht="15" customHeight="1" x14ac:dyDescent="0.3">
      <c r="M3031" s="5"/>
    </row>
    <row r="3032" spans="13:13" ht="15" customHeight="1" x14ac:dyDescent="0.3">
      <c r="M3032" s="5"/>
    </row>
    <row r="3033" spans="13:13" ht="15" customHeight="1" x14ac:dyDescent="0.3">
      <c r="M3033" s="5"/>
    </row>
    <row r="3034" spans="13:13" ht="15" customHeight="1" x14ac:dyDescent="0.3">
      <c r="M3034" s="5"/>
    </row>
    <row r="3035" spans="13:13" ht="15" customHeight="1" x14ac:dyDescent="0.3">
      <c r="M3035" s="5"/>
    </row>
    <row r="3036" spans="13:13" ht="15" customHeight="1" x14ac:dyDescent="0.3">
      <c r="M3036" s="5"/>
    </row>
    <row r="3037" spans="13:13" ht="15" customHeight="1" x14ac:dyDescent="0.3">
      <c r="M3037" s="5"/>
    </row>
    <row r="3038" spans="13:13" ht="15" customHeight="1" x14ac:dyDescent="0.3">
      <c r="M3038" s="5"/>
    </row>
    <row r="3039" spans="13:13" ht="15" customHeight="1" x14ac:dyDescent="0.3">
      <c r="M3039" s="5"/>
    </row>
    <row r="3040" spans="13:13" ht="15" customHeight="1" x14ac:dyDescent="0.3">
      <c r="M3040" s="5"/>
    </row>
    <row r="3041" spans="13:13" ht="15" customHeight="1" x14ac:dyDescent="0.3">
      <c r="M3041" s="5"/>
    </row>
    <row r="3042" spans="13:13" ht="15" customHeight="1" x14ac:dyDescent="0.3">
      <c r="M3042" s="5"/>
    </row>
    <row r="3043" spans="13:13" ht="15" customHeight="1" x14ac:dyDescent="0.3">
      <c r="M3043" s="5"/>
    </row>
    <row r="3044" spans="13:13" ht="15" customHeight="1" x14ac:dyDescent="0.3">
      <c r="M3044" s="5"/>
    </row>
    <row r="3045" spans="13:13" ht="15" customHeight="1" x14ac:dyDescent="0.3">
      <c r="M3045" s="5"/>
    </row>
    <row r="3046" spans="13:13" ht="15" customHeight="1" x14ac:dyDescent="0.3">
      <c r="M3046" s="5"/>
    </row>
    <row r="3047" spans="13:13" ht="15" customHeight="1" x14ac:dyDescent="0.3">
      <c r="M3047" s="5"/>
    </row>
    <row r="3048" spans="13:13" ht="15" customHeight="1" x14ac:dyDescent="0.3">
      <c r="M3048" s="5"/>
    </row>
    <row r="3049" spans="13:13" ht="15" customHeight="1" x14ac:dyDescent="0.3">
      <c r="M3049" s="5"/>
    </row>
    <row r="3050" spans="13:13" ht="15" customHeight="1" x14ac:dyDescent="0.3">
      <c r="M3050" s="5"/>
    </row>
    <row r="3051" spans="13:13" ht="15" customHeight="1" x14ac:dyDescent="0.3">
      <c r="M3051" s="5"/>
    </row>
    <row r="3052" spans="13:13" ht="15" customHeight="1" x14ac:dyDescent="0.3">
      <c r="M3052" s="5"/>
    </row>
    <row r="3053" spans="13:13" ht="15" customHeight="1" x14ac:dyDescent="0.3">
      <c r="M3053" s="5"/>
    </row>
    <row r="3054" spans="13:13" ht="15" customHeight="1" x14ac:dyDescent="0.3">
      <c r="M3054" s="5"/>
    </row>
    <row r="3055" spans="13:13" ht="15" customHeight="1" x14ac:dyDescent="0.3">
      <c r="M3055" s="5"/>
    </row>
    <row r="3056" spans="13:13" ht="15" customHeight="1" x14ac:dyDescent="0.3">
      <c r="M3056" s="5"/>
    </row>
    <row r="3057" spans="13:13" ht="15" customHeight="1" x14ac:dyDescent="0.3">
      <c r="M3057" s="5"/>
    </row>
    <row r="3058" spans="13:13" ht="15" customHeight="1" x14ac:dyDescent="0.3">
      <c r="M3058" s="5"/>
    </row>
    <row r="3059" spans="13:13" ht="15" customHeight="1" x14ac:dyDescent="0.3">
      <c r="M3059" s="5"/>
    </row>
    <row r="3060" spans="13:13" ht="15" customHeight="1" x14ac:dyDescent="0.3">
      <c r="M3060" s="5"/>
    </row>
    <row r="3061" spans="13:13" ht="15" customHeight="1" x14ac:dyDescent="0.3">
      <c r="M3061" s="5"/>
    </row>
    <row r="3062" spans="13:13" ht="15" customHeight="1" x14ac:dyDescent="0.3">
      <c r="M3062" s="5"/>
    </row>
    <row r="3063" spans="13:13" ht="15" customHeight="1" x14ac:dyDescent="0.3">
      <c r="M3063" s="5"/>
    </row>
    <row r="3064" spans="13:13" ht="15" customHeight="1" x14ac:dyDescent="0.3">
      <c r="M3064" s="5"/>
    </row>
    <row r="3065" spans="13:13" ht="15" customHeight="1" x14ac:dyDescent="0.3">
      <c r="M3065" s="5"/>
    </row>
    <row r="3066" spans="13:13" ht="15" customHeight="1" x14ac:dyDescent="0.3">
      <c r="M3066" s="5"/>
    </row>
    <row r="3067" spans="13:13" ht="15" customHeight="1" x14ac:dyDescent="0.3">
      <c r="M3067" s="5"/>
    </row>
    <row r="3068" spans="13:13" ht="15" customHeight="1" x14ac:dyDescent="0.3">
      <c r="M3068" s="5"/>
    </row>
    <row r="3069" spans="13:13" ht="15" customHeight="1" x14ac:dyDescent="0.3">
      <c r="M3069" s="5"/>
    </row>
    <row r="3070" spans="13:13" ht="15" customHeight="1" x14ac:dyDescent="0.3">
      <c r="M3070" s="5"/>
    </row>
    <row r="3071" spans="13:13" ht="15" customHeight="1" x14ac:dyDescent="0.3">
      <c r="M3071" s="5"/>
    </row>
    <row r="3072" spans="13:13" ht="15" customHeight="1" x14ac:dyDescent="0.3">
      <c r="M3072" s="5"/>
    </row>
    <row r="3073" spans="13:13" ht="15" customHeight="1" x14ac:dyDescent="0.3">
      <c r="M3073" s="5"/>
    </row>
    <row r="3074" spans="13:13" ht="15" customHeight="1" x14ac:dyDescent="0.3">
      <c r="M3074" s="5"/>
    </row>
    <row r="3075" spans="13:13" ht="15" customHeight="1" x14ac:dyDescent="0.3">
      <c r="M3075" s="5"/>
    </row>
    <row r="3076" spans="13:13" ht="15" customHeight="1" x14ac:dyDescent="0.3">
      <c r="M3076" s="5"/>
    </row>
    <row r="3077" spans="13:13" ht="15" customHeight="1" x14ac:dyDescent="0.3">
      <c r="M3077" s="5"/>
    </row>
    <row r="3078" spans="13:13" ht="15" customHeight="1" x14ac:dyDescent="0.3">
      <c r="M3078" s="5"/>
    </row>
    <row r="3079" spans="13:13" ht="15" customHeight="1" x14ac:dyDescent="0.3">
      <c r="M3079" s="5"/>
    </row>
    <row r="3080" spans="13:13" ht="15" customHeight="1" x14ac:dyDescent="0.3">
      <c r="M3080" s="5"/>
    </row>
    <row r="3081" spans="13:13" ht="15" customHeight="1" x14ac:dyDescent="0.3">
      <c r="M3081" s="5"/>
    </row>
    <row r="3082" spans="13:13" ht="15" customHeight="1" x14ac:dyDescent="0.3">
      <c r="M3082" s="5"/>
    </row>
    <row r="3083" spans="13:13" ht="15" customHeight="1" x14ac:dyDescent="0.3">
      <c r="M3083" s="5"/>
    </row>
    <row r="3084" spans="13:13" ht="15" customHeight="1" x14ac:dyDescent="0.3">
      <c r="M3084" s="5"/>
    </row>
    <row r="3085" spans="13:13" ht="15" customHeight="1" x14ac:dyDescent="0.3">
      <c r="M3085" s="5"/>
    </row>
    <row r="3086" spans="13:13" ht="15" customHeight="1" x14ac:dyDescent="0.3">
      <c r="M3086" s="5"/>
    </row>
    <row r="3087" spans="13:13" ht="15" customHeight="1" x14ac:dyDescent="0.3">
      <c r="M3087" s="5"/>
    </row>
    <row r="3088" spans="13:13" ht="15" customHeight="1" x14ac:dyDescent="0.3">
      <c r="M3088" s="5"/>
    </row>
    <row r="3089" spans="13:13" ht="15" customHeight="1" x14ac:dyDescent="0.3">
      <c r="M3089" s="5"/>
    </row>
    <row r="3090" spans="13:13" ht="15" customHeight="1" x14ac:dyDescent="0.3">
      <c r="M3090" s="5"/>
    </row>
    <row r="3091" spans="13:13" ht="15" customHeight="1" x14ac:dyDescent="0.3">
      <c r="M3091" s="5"/>
    </row>
    <row r="3092" spans="13:13" ht="15" customHeight="1" x14ac:dyDescent="0.3">
      <c r="M3092" s="5"/>
    </row>
    <row r="3093" spans="13:13" ht="15" customHeight="1" x14ac:dyDescent="0.3">
      <c r="M3093" s="5"/>
    </row>
    <row r="3094" spans="13:13" ht="15" customHeight="1" x14ac:dyDescent="0.3">
      <c r="M3094" s="5"/>
    </row>
    <row r="3095" spans="13:13" ht="15" customHeight="1" x14ac:dyDescent="0.3">
      <c r="M3095" s="5"/>
    </row>
    <row r="3096" spans="13:13" ht="15" customHeight="1" x14ac:dyDescent="0.3">
      <c r="M3096" s="5"/>
    </row>
    <row r="3097" spans="13:13" ht="15" customHeight="1" x14ac:dyDescent="0.3">
      <c r="M3097" s="5"/>
    </row>
    <row r="3098" spans="13:13" ht="15" customHeight="1" x14ac:dyDescent="0.3">
      <c r="M3098" s="5"/>
    </row>
    <row r="3099" spans="13:13" ht="15" customHeight="1" x14ac:dyDescent="0.3">
      <c r="M3099" s="5"/>
    </row>
    <row r="3100" spans="13:13" ht="15" customHeight="1" x14ac:dyDescent="0.3">
      <c r="M3100" s="5"/>
    </row>
    <row r="3101" spans="13:13" ht="15" customHeight="1" x14ac:dyDescent="0.3">
      <c r="M3101" s="5"/>
    </row>
    <row r="3102" spans="13:13" ht="15" customHeight="1" x14ac:dyDescent="0.3">
      <c r="M3102" s="5"/>
    </row>
    <row r="3103" spans="13:13" ht="15" customHeight="1" x14ac:dyDescent="0.3">
      <c r="M3103" s="5"/>
    </row>
    <row r="3104" spans="13:13" ht="15" customHeight="1" x14ac:dyDescent="0.3">
      <c r="M3104" s="5"/>
    </row>
    <row r="3105" spans="13:13" ht="15" customHeight="1" x14ac:dyDescent="0.3">
      <c r="M3105" s="5"/>
    </row>
    <row r="3106" spans="13:13" ht="15" customHeight="1" x14ac:dyDescent="0.3">
      <c r="M3106" s="5"/>
    </row>
    <row r="3107" spans="13:13" ht="15" customHeight="1" x14ac:dyDescent="0.3">
      <c r="M3107" s="5"/>
    </row>
    <row r="3108" spans="13:13" ht="15" customHeight="1" x14ac:dyDescent="0.3">
      <c r="M3108" s="5"/>
    </row>
    <row r="3109" spans="13:13" ht="15" customHeight="1" x14ac:dyDescent="0.3">
      <c r="M3109" s="5"/>
    </row>
    <row r="3110" spans="13:13" ht="15" customHeight="1" x14ac:dyDescent="0.3">
      <c r="M3110" s="5"/>
    </row>
    <row r="3111" spans="13:13" ht="15" customHeight="1" x14ac:dyDescent="0.3">
      <c r="M3111" s="5"/>
    </row>
    <row r="3112" spans="13:13" ht="15" customHeight="1" x14ac:dyDescent="0.3">
      <c r="M3112" s="5"/>
    </row>
    <row r="3113" spans="13:13" ht="15" customHeight="1" x14ac:dyDescent="0.3">
      <c r="M3113" s="5"/>
    </row>
    <row r="3114" spans="13:13" ht="15" customHeight="1" x14ac:dyDescent="0.3">
      <c r="M3114" s="5"/>
    </row>
    <row r="3115" spans="13:13" ht="15" customHeight="1" x14ac:dyDescent="0.3">
      <c r="M3115" s="5"/>
    </row>
    <row r="3116" spans="13:13" ht="15" customHeight="1" x14ac:dyDescent="0.3">
      <c r="M3116" s="5"/>
    </row>
    <row r="3117" spans="13:13" ht="15" customHeight="1" x14ac:dyDescent="0.3">
      <c r="M3117" s="5"/>
    </row>
    <row r="3118" spans="13:13" ht="15" customHeight="1" x14ac:dyDescent="0.3">
      <c r="M3118" s="5"/>
    </row>
    <row r="3119" spans="13:13" ht="15" customHeight="1" x14ac:dyDescent="0.3">
      <c r="M3119" s="5"/>
    </row>
    <row r="3120" spans="13:13" ht="15" customHeight="1" x14ac:dyDescent="0.3">
      <c r="M3120" s="5"/>
    </row>
    <row r="3121" spans="13:13" ht="15" customHeight="1" x14ac:dyDescent="0.3">
      <c r="M3121" s="5"/>
    </row>
    <row r="3122" spans="13:13" ht="15" customHeight="1" x14ac:dyDescent="0.3">
      <c r="M3122" s="5"/>
    </row>
    <row r="3123" spans="13:13" ht="15" customHeight="1" x14ac:dyDescent="0.3">
      <c r="M3123" s="5"/>
    </row>
    <row r="3124" spans="13:13" ht="15" customHeight="1" x14ac:dyDescent="0.3">
      <c r="M3124" s="5"/>
    </row>
    <row r="3125" spans="13:13" ht="15" customHeight="1" x14ac:dyDescent="0.3">
      <c r="M3125" s="5"/>
    </row>
    <row r="3126" spans="13:13" ht="15" customHeight="1" x14ac:dyDescent="0.3">
      <c r="M3126" s="5"/>
    </row>
    <row r="3127" spans="13:13" ht="15" customHeight="1" x14ac:dyDescent="0.3">
      <c r="M3127" s="5"/>
    </row>
    <row r="3128" spans="13:13" ht="15" customHeight="1" x14ac:dyDescent="0.3">
      <c r="M3128" s="5"/>
    </row>
    <row r="3129" spans="13:13" ht="15" customHeight="1" x14ac:dyDescent="0.3">
      <c r="M3129" s="5"/>
    </row>
    <row r="3130" spans="13:13" ht="15" customHeight="1" x14ac:dyDescent="0.3">
      <c r="M3130" s="5"/>
    </row>
    <row r="3131" spans="13:13" ht="15" customHeight="1" x14ac:dyDescent="0.3">
      <c r="M3131" s="5"/>
    </row>
    <row r="3132" spans="13:13" ht="15" customHeight="1" x14ac:dyDescent="0.3">
      <c r="M3132" s="5"/>
    </row>
    <row r="3133" spans="13:13" ht="15" customHeight="1" x14ac:dyDescent="0.3">
      <c r="M3133" s="5"/>
    </row>
    <row r="3134" spans="13:13" ht="15" customHeight="1" x14ac:dyDescent="0.3">
      <c r="M3134" s="5"/>
    </row>
    <row r="3135" spans="13:13" ht="15" customHeight="1" x14ac:dyDescent="0.3">
      <c r="M3135" s="5"/>
    </row>
    <row r="3136" spans="13:13" ht="15" customHeight="1" x14ac:dyDescent="0.3">
      <c r="M3136" s="5"/>
    </row>
    <row r="3137" spans="13:13" ht="15" customHeight="1" x14ac:dyDescent="0.3">
      <c r="M3137" s="5"/>
    </row>
    <row r="3138" spans="13:13" ht="15" customHeight="1" x14ac:dyDescent="0.3">
      <c r="M3138" s="5"/>
    </row>
    <row r="3139" spans="13:13" ht="15" customHeight="1" x14ac:dyDescent="0.3">
      <c r="M3139" s="5"/>
    </row>
    <row r="3140" spans="13:13" ht="15" customHeight="1" x14ac:dyDescent="0.3">
      <c r="M3140" s="5"/>
    </row>
    <row r="3141" spans="13:13" ht="15" customHeight="1" x14ac:dyDescent="0.3">
      <c r="M3141" s="5"/>
    </row>
    <row r="3142" spans="13:13" ht="15" customHeight="1" x14ac:dyDescent="0.3">
      <c r="M3142" s="5"/>
    </row>
    <row r="3143" spans="13:13" ht="15" customHeight="1" x14ac:dyDescent="0.3">
      <c r="M3143" s="5"/>
    </row>
    <row r="3144" spans="13:13" ht="15" customHeight="1" x14ac:dyDescent="0.3">
      <c r="M3144" s="5"/>
    </row>
    <row r="3145" spans="13:13" ht="15" customHeight="1" x14ac:dyDescent="0.3">
      <c r="M3145" s="5"/>
    </row>
    <row r="3146" spans="13:13" ht="15" customHeight="1" x14ac:dyDescent="0.3">
      <c r="M3146" s="5"/>
    </row>
    <row r="3147" spans="13:13" ht="15" customHeight="1" x14ac:dyDescent="0.3">
      <c r="M3147" s="5"/>
    </row>
    <row r="3148" spans="13:13" ht="15" customHeight="1" x14ac:dyDescent="0.3">
      <c r="M3148" s="5"/>
    </row>
    <row r="3149" spans="13:13" ht="15" customHeight="1" x14ac:dyDescent="0.3">
      <c r="M3149" s="5"/>
    </row>
    <row r="3150" spans="13:13" ht="15" customHeight="1" x14ac:dyDescent="0.3">
      <c r="M3150" s="5"/>
    </row>
    <row r="3151" spans="13:13" ht="15" customHeight="1" x14ac:dyDescent="0.3">
      <c r="M3151" s="5"/>
    </row>
    <row r="3152" spans="13:13" ht="15" customHeight="1" x14ac:dyDescent="0.3">
      <c r="M3152" s="5"/>
    </row>
    <row r="3153" spans="13:13" ht="15" customHeight="1" x14ac:dyDescent="0.3">
      <c r="M3153" s="5"/>
    </row>
    <row r="3154" spans="13:13" ht="15" customHeight="1" x14ac:dyDescent="0.3">
      <c r="M3154" s="5"/>
    </row>
    <row r="3155" spans="13:13" ht="15" customHeight="1" x14ac:dyDescent="0.3">
      <c r="M3155" s="5"/>
    </row>
    <row r="3156" spans="13:13" ht="15" customHeight="1" x14ac:dyDescent="0.3">
      <c r="M3156" s="5"/>
    </row>
    <row r="3157" spans="13:13" ht="15" customHeight="1" x14ac:dyDescent="0.3">
      <c r="M3157" s="5"/>
    </row>
    <row r="3158" spans="13:13" ht="15" customHeight="1" x14ac:dyDescent="0.3">
      <c r="M3158" s="5"/>
    </row>
    <row r="3159" spans="13:13" ht="15" customHeight="1" x14ac:dyDescent="0.3">
      <c r="M3159" s="5"/>
    </row>
    <row r="3160" spans="13:13" ht="15" customHeight="1" x14ac:dyDescent="0.3">
      <c r="M3160" s="5"/>
    </row>
    <row r="3161" spans="13:13" ht="15" customHeight="1" x14ac:dyDescent="0.3">
      <c r="M3161" s="5"/>
    </row>
    <row r="3162" spans="13:13" ht="15" customHeight="1" x14ac:dyDescent="0.3">
      <c r="M3162" s="5"/>
    </row>
    <row r="3163" spans="13:13" ht="15" customHeight="1" x14ac:dyDescent="0.3">
      <c r="M3163" s="5"/>
    </row>
    <row r="3164" spans="13:13" ht="15" customHeight="1" x14ac:dyDescent="0.3">
      <c r="M3164" s="5"/>
    </row>
    <row r="3165" spans="13:13" ht="15" customHeight="1" x14ac:dyDescent="0.3">
      <c r="M3165" s="5"/>
    </row>
    <row r="3166" spans="13:13" ht="15" customHeight="1" x14ac:dyDescent="0.3">
      <c r="M3166" s="5"/>
    </row>
    <row r="3167" spans="13:13" ht="15" customHeight="1" x14ac:dyDescent="0.3">
      <c r="M3167" s="5"/>
    </row>
    <row r="3168" spans="13:13" ht="15" customHeight="1" x14ac:dyDescent="0.3">
      <c r="M3168" s="5"/>
    </row>
    <row r="3169" spans="13:13" ht="15" customHeight="1" x14ac:dyDescent="0.3">
      <c r="M3169" s="5"/>
    </row>
    <row r="3170" spans="13:13" ht="15" customHeight="1" x14ac:dyDescent="0.3">
      <c r="M3170" s="5"/>
    </row>
    <row r="3171" spans="13:13" ht="15" customHeight="1" x14ac:dyDescent="0.3">
      <c r="M3171" s="5"/>
    </row>
    <row r="3172" spans="13:13" ht="15" customHeight="1" x14ac:dyDescent="0.3">
      <c r="M3172" s="5"/>
    </row>
    <row r="3173" spans="13:13" ht="15" customHeight="1" x14ac:dyDescent="0.3">
      <c r="M3173" s="5"/>
    </row>
    <row r="3174" spans="13:13" ht="15" customHeight="1" x14ac:dyDescent="0.3">
      <c r="M3174" s="5"/>
    </row>
    <row r="3175" spans="13:13" ht="15" customHeight="1" x14ac:dyDescent="0.3">
      <c r="M3175" s="5"/>
    </row>
    <row r="3176" spans="13:13" ht="15" customHeight="1" x14ac:dyDescent="0.3">
      <c r="M3176" s="5"/>
    </row>
    <row r="3177" spans="13:13" ht="15" customHeight="1" x14ac:dyDescent="0.3">
      <c r="M3177" s="5"/>
    </row>
    <row r="3178" spans="13:13" ht="15" customHeight="1" x14ac:dyDescent="0.3">
      <c r="M3178" s="5"/>
    </row>
    <row r="3179" spans="13:13" ht="15" customHeight="1" x14ac:dyDescent="0.3">
      <c r="M3179" s="5"/>
    </row>
    <row r="3180" spans="13:13" ht="15" customHeight="1" x14ac:dyDescent="0.3">
      <c r="M3180" s="5"/>
    </row>
    <row r="3181" spans="13:13" ht="15" customHeight="1" x14ac:dyDescent="0.3">
      <c r="M3181" s="5"/>
    </row>
    <row r="3182" spans="13:13" ht="15" customHeight="1" x14ac:dyDescent="0.3">
      <c r="M3182" s="5"/>
    </row>
    <row r="3183" spans="13:13" ht="15" customHeight="1" x14ac:dyDescent="0.3">
      <c r="M3183" s="5"/>
    </row>
    <row r="3184" spans="13:13" ht="15" customHeight="1" x14ac:dyDescent="0.3">
      <c r="M3184" s="5"/>
    </row>
    <row r="3185" spans="13:13" ht="15" customHeight="1" x14ac:dyDescent="0.3">
      <c r="M3185" s="5"/>
    </row>
    <row r="3186" spans="13:13" ht="15" customHeight="1" x14ac:dyDescent="0.3">
      <c r="M3186" s="5"/>
    </row>
    <row r="3187" spans="13:13" ht="15" customHeight="1" x14ac:dyDescent="0.3">
      <c r="M3187" s="5"/>
    </row>
    <row r="3188" spans="13:13" ht="15" customHeight="1" x14ac:dyDescent="0.3">
      <c r="M3188" s="5"/>
    </row>
    <row r="3189" spans="13:13" ht="15" customHeight="1" x14ac:dyDescent="0.3">
      <c r="M3189" s="5"/>
    </row>
    <row r="3190" spans="13:13" ht="15" customHeight="1" x14ac:dyDescent="0.3">
      <c r="M3190" s="5"/>
    </row>
    <row r="3191" spans="13:13" ht="15" customHeight="1" x14ac:dyDescent="0.3">
      <c r="M3191" s="5"/>
    </row>
    <row r="3192" spans="13:13" ht="15" customHeight="1" x14ac:dyDescent="0.3">
      <c r="M3192" s="5"/>
    </row>
    <row r="3193" spans="13:13" ht="15" customHeight="1" x14ac:dyDescent="0.3">
      <c r="M3193" s="5"/>
    </row>
    <row r="3194" spans="13:13" ht="15" customHeight="1" x14ac:dyDescent="0.3">
      <c r="M3194" s="5"/>
    </row>
    <row r="3195" spans="13:13" ht="15" customHeight="1" x14ac:dyDescent="0.3">
      <c r="M3195" s="5"/>
    </row>
    <row r="3196" spans="13:13" ht="15" customHeight="1" x14ac:dyDescent="0.3">
      <c r="M3196" s="5"/>
    </row>
    <row r="3197" spans="13:13" ht="15" customHeight="1" x14ac:dyDescent="0.3">
      <c r="M3197" s="5"/>
    </row>
    <row r="3198" spans="13:13" ht="15" customHeight="1" x14ac:dyDescent="0.3">
      <c r="M3198" s="5"/>
    </row>
    <row r="3199" spans="13:13" ht="15" customHeight="1" x14ac:dyDescent="0.3">
      <c r="M3199" s="5"/>
    </row>
    <row r="3200" spans="13:13" ht="15" customHeight="1" x14ac:dyDescent="0.3">
      <c r="M3200" s="5"/>
    </row>
    <row r="3201" spans="13:13" ht="15" customHeight="1" x14ac:dyDescent="0.3">
      <c r="M3201" s="5"/>
    </row>
    <row r="3202" spans="13:13" ht="15" customHeight="1" x14ac:dyDescent="0.3">
      <c r="M3202" s="5"/>
    </row>
    <row r="3203" spans="13:13" ht="15" customHeight="1" x14ac:dyDescent="0.3">
      <c r="M3203" s="5"/>
    </row>
    <row r="3204" spans="13:13" ht="15" customHeight="1" x14ac:dyDescent="0.3">
      <c r="M3204" s="5"/>
    </row>
    <row r="3205" spans="13:13" ht="15" customHeight="1" x14ac:dyDescent="0.3">
      <c r="M3205" s="5"/>
    </row>
    <row r="3206" spans="13:13" ht="15" customHeight="1" x14ac:dyDescent="0.3">
      <c r="M3206" s="5"/>
    </row>
    <row r="3207" spans="13:13" ht="15" customHeight="1" x14ac:dyDescent="0.3">
      <c r="M3207" s="5"/>
    </row>
    <row r="3208" spans="13:13" ht="15" customHeight="1" x14ac:dyDescent="0.3">
      <c r="M3208" s="5"/>
    </row>
    <row r="3209" spans="13:13" ht="15" customHeight="1" x14ac:dyDescent="0.3">
      <c r="M3209" s="5"/>
    </row>
    <row r="3210" spans="13:13" ht="15" customHeight="1" x14ac:dyDescent="0.3">
      <c r="M3210" s="5"/>
    </row>
    <row r="3211" spans="13:13" ht="15" customHeight="1" x14ac:dyDescent="0.3">
      <c r="M3211" s="5"/>
    </row>
    <row r="3212" spans="13:13" ht="15" customHeight="1" x14ac:dyDescent="0.3">
      <c r="M3212" s="5"/>
    </row>
    <row r="3213" spans="13:13" ht="15" customHeight="1" x14ac:dyDescent="0.3">
      <c r="M3213" s="5"/>
    </row>
    <row r="3214" spans="13:13" ht="15" customHeight="1" x14ac:dyDescent="0.3">
      <c r="M3214" s="5"/>
    </row>
    <row r="3215" spans="13:13" ht="15" customHeight="1" x14ac:dyDescent="0.3">
      <c r="M3215" s="5"/>
    </row>
    <row r="3216" spans="13:13" ht="15" customHeight="1" x14ac:dyDescent="0.3">
      <c r="M3216" s="5"/>
    </row>
    <row r="3217" spans="13:13" ht="15" customHeight="1" x14ac:dyDescent="0.3">
      <c r="M3217" s="5"/>
    </row>
    <row r="3218" spans="13:13" ht="15" customHeight="1" x14ac:dyDescent="0.3">
      <c r="M3218" s="5"/>
    </row>
    <row r="3219" spans="13:13" ht="15" customHeight="1" x14ac:dyDescent="0.3">
      <c r="M3219" s="5"/>
    </row>
    <row r="3220" spans="13:13" ht="15" customHeight="1" x14ac:dyDescent="0.3">
      <c r="M3220" s="5"/>
    </row>
    <row r="3221" spans="13:13" ht="15" customHeight="1" x14ac:dyDescent="0.3">
      <c r="M3221" s="5"/>
    </row>
    <row r="3222" spans="13:13" ht="15" customHeight="1" x14ac:dyDescent="0.3">
      <c r="M3222" s="5"/>
    </row>
    <row r="3223" spans="13:13" ht="15" customHeight="1" x14ac:dyDescent="0.3">
      <c r="M3223" s="5"/>
    </row>
    <row r="3224" spans="13:13" ht="15" customHeight="1" x14ac:dyDescent="0.3">
      <c r="M3224" s="5"/>
    </row>
    <row r="3225" spans="13:13" ht="15" customHeight="1" x14ac:dyDescent="0.3">
      <c r="M3225" s="5"/>
    </row>
    <row r="3226" spans="13:13" ht="15" customHeight="1" x14ac:dyDescent="0.3">
      <c r="M3226" s="5"/>
    </row>
    <row r="3227" spans="13:13" ht="15" customHeight="1" x14ac:dyDescent="0.3">
      <c r="M3227" s="5"/>
    </row>
    <row r="3228" spans="13:13" ht="15" customHeight="1" x14ac:dyDescent="0.3">
      <c r="M3228" s="5"/>
    </row>
    <row r="3229" spans="13:13" ht="15" customHeight="1" x14ac:dyDescent="0.3">
      <c r="M3229" s="5"/>
    </row>
    <row r="3230" spans="13:13" ht="15" customHeight="1" x14ac:dyDescent="0.3">
      <c r="M3230" s="5"/>
    </row>
    <row r="3231" spans="13:13" ht="15" customHeight="1" x14ac:dyDescent="0.3">
      <c r="M3231" s="5"/>
    </row>
    <row r="3232" spans="13:13" ht="15" customHeight="1" x14ac:dyDescent="0.3">
      <c r="M3232" s="5"/>
    </row>
    <row r="3233" spans="13:13" ht="15" customHeight="1" x14ac:dyDescent="0.3">
      <c r="M3233" s="5"/>
    </row>
    <row r="3234" spans="13:13" ht="15" customHeight="1" x14ac:dyDescent="0.3">
      <c r="M3234" s="5"/>
    </row>
    <row r="3235" spans="13:13" ht="15" customHeight="1" x14ac:dyDescent="0.3">
      <c r="M3235" s="5"/>
    </row>
    <row r="3236" spans="13:13" ht="15" customHeight="1" x14ac:dyDescent="0.3">
      <c r="M3236" s="5"/>
    </row>
    <row r="3237" spans="13:13" ht="15" customHeight="1" x14ac:dyDescent="0.3">
      <c r="M3237" s="5"/>
    </row>
    <row r="3238" spans="13:13" ht="15" customHeight="1" x14ac:dyDescent="0.3">
      <c r="M3238" s="5"/>
    </row>
    <row r="3239" spans="13:13" ht="15" customHeight="1" x14ac:dyDescent="0.3">
      <c r="M3239" s="5"/>
    </row>
    <row r="3240" spans="13:13" ht="15" customHeight="1" x14ac:dyDescent="0.3">
      <c r="M3240" s="5"/>
    </row>
    <row r="3241" spans="13:13" ht="15" customHeight="1" x14ac:dyDescent="0.3">
      <c r="M3241" s="5"/>
    </row>
    <row r="3242" spans="13:13" ht="15" customHeight="1" x14ac:dyDescent="0.3">
      <c r="M3242" s="5"/>
    </row>
    <row r="3243" spans="13:13" ht="15" customHeight="1" x14ac:dyDescent="0.3">
      <c r="M3243" s="5"/>
    </row>
    <row r="3244" spans="13:13" ht="15" customHeight="1" x14ac:dyDescent="0.3">
      <c r="M3244" s="5"/>
    </row>
    <row r="3245" spans="13:13" ht="15" customHeight="1" x14ac:dyDescent="0.3">
      <c r="M3245" s="5"/>
    </row>
    <row r="3246" spans="13:13" ht="15" customHeight="1" x14ac:dyDescent="0.3">
      <c r="M3246" s="5"/>
    </row>
    <row r="3247" spans="13:13" ht="15" customHeight="1" x14ac:dyDescent="0.3">
      <c r="M3247" s="5"/>
    </row>
    <row r="3248" spans="13:13" ht="15" customHeight="1" x14ac:dyDescent="0.3">
      <c r="M3248" s="5"/>
    </row>
    <row r="3249" spans="13:13" ht="15" customHeight="1" x14ac:dyDescent="0.3">
      <c r="M3249" s="5"/>
    </row>
    <row r="3250" spans="13:13" ht="15" customHeight="1" x14ac:dyDescent="0.3">
      <c r="M3250" s="5"/>
    </row>
    <row r="3251" spans="13:13" ht="15" customHeight="1" x14ac:dyDescent="0.3">
      <c r="M3251" s="5"/>
    </row>
    <row r="3252" spans="13:13" ht="15" customHeight="1" x14ac:dyDescent="0.3">
      <c r="M3252" s="5"/>
    </row>
    <row r="3253" spans="13:13" ht="15" customHeight="1" x14ac:dyDescent="0.3">
      <c r="M3253" s="5"/>
    </row>
    <row r="3254" spans="13:13" ht="15" customHeight="1" x14ac:dyDescent="0.3">
      <c r="M3254" s="5"/>
    </row>
    <row r="3255" spans="13:13" ht="15" customHeight="1" x14ac:dyDescent="0.3">
      <c r="M3255" s="5"/>
    </row>
    <row r="3256" spans="13:13" ht="15" customHeight="1" x14ac:dyDescent="0.3">
      <c r="M3256" s="5"/>
    </row>
    <row r="3257" spans="13:13" ht="15" customHeight="1" x14ac:dyDescent="0.3">
      <c r="M3257" s="5"/>
    </row>
    <row r="3258" spans="13:13" ht="15" customHeight="1" x14ac:dyDescent="0.3">
      <c r="M3258" s="5"/>
    </row>
    <row r="3259" spans="13:13" ht="15" customHeight="1" x14ac:dyDescent="0.3">
      <c r="M3259" s="5"/>
    </row>
    <row r="3260" spans="13:13" ht="15" customHeight="1" x14ac:dyDescent="0.3">
      <c r="M3260" s="5"/>
    </row>
    <row r="3261" spans="13:13" ht="15" customHeight="1" x14ac:dyDescent="0.3">
      <c r="M3261" s="5"/>
    </row>
    <row r="3262" spans="13:13" ht="15" customHeight="1" x14ac:dyDescent="0.3">
      <c r="M3262" s="5"/>
    </row>
    <row r="3263" spans="13:13" ht="15" customHeight="1" x14ac:dyDescent="0.3">
      <c r="M3263" s="5"/>
    </row>
    <row r="3264" spans="13:13" ht="15" customHeight="1" x14ac:dyDescent="0.3">
      <c r="M3264" s="5"/>
    </row>
    <row r="3265" spans="13:13" ht="15" customHeight="1" x14ac:dyDescent="0.3">
      <c r="M3265" s="5"/>
    </row>
    <row r="3266" spans="13:13" ht="15" customHeight="1" x14ac:dyDescent="0.3">
      <c r="M3266" s="5"/>
    </row>
    <row r="3267" spans="13:13" ht="15" customHeight="1" x14ac:dyDescent="0.3">
      <c r="M3267" s="5"/>
    </row>
    <row r="3268" spans="13:13" ht="15" customHeight="1" x14ac:dyDescent="0.3">
      <c r="M3268" s="5"/>
    </row>
    <row r="3269" spans="13:13" ht="15" customHeight="1" x14ac:dyDescent="0.3">
      <c r="M3269" s="5"/>
    </row>
    <row r="3270" spans="13:13" ht="15" customHeight="1" x14ac:dyDescent="0.3">
      <c r="M3270" s="5"/>
    </row>
    <row r="3271" spans="13:13" ht="15" customHeight="1" x14ac:dyDescent="0.3">
      <c r="M3271" s="5"/>
    </row>
    <row r="3272" spans="13:13" ht="15" customHeight="1" x14ac:dyDescent="0.3">
      <c r="M3272" s="5"/>
    </row>
    <row r="3273" spans="13:13" ht="15" customHeight="1" x14ac:dyDescent="0.3">
      <c r="M3273" s="5"/>
    </row>
    <row r="3274" spans="13:13" ht="15" customHeight="1" x14ac:dyDescent="0.3">
      <c r="M3274" s="5"/>
    </row>
    <row r="3275" spans="13:13" ht="15" customHeight="1" x14ac:dyDescent="0.3">
      <c r="M3275" s="5"/>
    </row>
    <row r="3276" spans="13:13" ht="15" customHeight="1" x14ac:dyDescent="0.3">
      <c r="M3276" s="5"/>
    </row>
    <row r="3277" spans="13:13" ht="15" customHeight="1" x14ac:dyDescent="0.3">
      <c r="M3277" s="5"/>
    </row>
    <row r="3278" spans="13:13" ht="15" customHeight="1" x14ac:dyDescent="0.3">
      <c r="M3278" s="5"/>
    </row>
    <row r="3279" spans="13:13" ht="15" customHeight="1" x14ac:dyDescent="0.3">
      <c r="M3279" s="5"/>
    </row>
    <row r="3280" spans="13:13" ht="15" customHeight="1" x14ac:dyDescent="0.3">
      <c r="M3280" s="5"/>
    </row>
    <row r="3281" spans="13:13" ht="15" customHeight="1" x14ac:dyDescent="0.3">
      <c r="M3281" s="5"/>
    </row>
    <row r="3282" spans="13:13" ht="15" customHeight="1" x14ac:dyDescent="0.3">
      <c r="M3282" s="5"/>
    </row>
    <row r="3283" spans="13:13" ht="15" customHeight="1" x14ac:dyDescent="0.3">
      <c r="M3283" s="5"/>
    </row>
    <row r="3284" spans="13:13" ht="15" customHeight="1" x14ac:dyDescent="0.3">
      <c r="M3284" s="5"/>
    </row>
    <row r="3285" spans="13:13" ht="15" customHeight="1" x14ac:dyDescent="0.3">
      <c r="M3285" s="5"/>
    </row>
    <row r="3286" spans="13:13" ht="15" customHeight="1" x14ac:dyDescent="0.3">
      <c r="M3286" s="5"/>
    </row>
    <row r="3287" spans="13:13" ht="15" customHeight="1" x14ac:dyDescent="0.3">
      <c r="M3287" s="5"/>
    </row>
    <row r="3288" spans="13:13" ht="15" customHeight="1" x14ac:dyDescent="0.3">
      <c r="M3288" s="5"/>
    </row>
    <row r="3289" spans="13:13" ht="15" customHeight="1" x14ac:dyDescent="0.3">
      <c r="M3289" s="5"/>
    </row>
    <row r="3290" spans="13:13" ht="15" customHeight="1" x14ac:dyDescent="0.3">
      <c r="M3290" s="5"/>
    </row>
    <row r="3291" spans="13:13" ht="15" customHeight="1" x14ac:dyDescent="0.3">
      <c r="M3291" s="5"/>
    </row>
    <row r="3292" spans="13:13" ht="15" customHeight="1" x14ac:dyDescent="0.3">
      <c r="M3292" s="5"/>
    </row>
    <row r="3293" spans="13:13" ht="15" customHeight="1" x14ac:dyDescent="0.3">
      <c r="M3293" s="5"/>
    </row>
    <row r="3294" spans="13:13" ht="15" customHeight="1" x14ac:dyDescent="0.3">
      <c r="M3294" s="5"/>
    </row>
    <row r="3295" spans="13:13" ht="15" customHeight="1" x14ac:dyDescent="0.3">
      <c r="M3295" s="5"/>
    </row>
    <row r="3296" spans="13:13" ht="15" customHeight="1" x14ac:dyDescent="0.3">
      <c r="M3296" s="5"/>
    </row>
    <row r="3297" spans="13:13" ht="15" customHeight="1" x14ac:dyDescent="0.3">
      <c r="M3297" s="5"/>
    </row>
    <row r="3298" spans="13:13" ht="15" customHeight="1" x14ac:dyDescent="0.3">
      <c r="M3298" s="5"/>
    </row>
    <row r="3299" spans="13:13" ht="15" customHeight="1" x14ac:dyDescent="0.3">
      <c r="M3299" s="5"/>
    </row>
    <row r="3300" spans="13:13" ht="15" customHeight="1" x14ac:dyDescent="0.3">
      <c r="M3300" s="5"/>
    </row>
    <row r="3301" spans="13:13" ht="15" customHeight="1" x14ac:dyDescent="0.3">
      <c r="M3301" s="5"/>
    </row>
    <row r="3302" spans="13:13" ht="15" customHeight="1" x14ac:dyDescent="0.3">
      <c r="M3302" s="5"/>
    </row>
    <row r="3303" spans="13:13" ht="15" customHeight="1" x14ac:dyDescent="0.3">
      <c r="M3303" s="5"/>
    </row>
    <row r="3304" spans="13:13" ht="15" customHeight="1" x14ac:dyDescent="0.3">
      <c r="M3304" s="5"/>
    </row>
    <row r="3305" spans="13:13" ht="15" customHeight="1" x14ac:dyDescent="0.3">
      <c r="M3305" s="5"/>
    </row>
    <row r="3306" spans="13:13" ht="15" customHeight="1" x14ac:dyDescent="0.3">
      <c r="M3306" s="5"/>
    </row>
    <row r="3307" spans="13:13" ht="15" customHeight="1" x14ac:dyDescent="0.3">
      <c r="M3307" s="5"/>
    </row>
    <row r="3308" spans="13:13" ht="15" customHeight="1" x14ac:dyDescent="0.3">
      <c r="M3308" s="5"/>
    </row>
    <row r="3309" spans="13:13" ht="15" customHeight="1" x14ac:dyDescent="0.3">
      <c r="M3309" s="5"/>
    </row>
    <row r="3310" spans="13:13" ht="15" customHeight="1" x14ac:dyDescent="0.3">
      <c r="M3310" s="5"/>
    </row>
    <row r="3311" spans="13:13" ht="15" customHeight="1" x14ac:dyDescent="0.3">
      <c r="M3311" s="5"/>
    </row>
    <row r="3312" spans="13:13" ht="15" customHeight="1" x14ac:dyDescent="0.3">
      <c r="M3312" s="5"/>
    </row>
    <row r="3313" spans="13:13" ht="15" customHeight="1" x14ac:dyDescent="0.3">
      <c r="M3313" s="5"/>
    </row>
    <row r="3314" spans="13:13" ht="15" customHeight="1" x14ac:dyDescent="0.3">
      <c r="M3314" s="5"/>
    </row>
    <row r="3315" spans="13:13" ht="15" customHeight="1" x14ac:dyDescent="0.3">
      <c r="M3315" s="5"/>
    </row>
    <row r="3316" spans="13:13" ht="15" customHeight="1" x14ac:dyDescent="0.3">
      <c r="M3316" s="5"/>
    </row>
    <row r="3317" spans="13:13" ht="15" customHeight="1" x14ac:dyDescent="0.3">
      <c r="M3317" s="5"/>
    </row>
    <row r="3318" spans="13:13" ht="15" customHeight="1" x14ac:dyDescent="0.3">
      <c r="M3318" s="5"/>
    </row>
    <row r="3319" spans="13:13" ht="15" customHeight="1" x14ac:dyDescent="0.3">
      <c r="M3319" s="5"/>
    </row>
    <row r="3320" spans="13:13" ht="15" customHeight="1" x14ac:dyDescent="0.3">
      <c r="M3320" s="5"/>
    </row>
    <row r="3321" spans="13:13" ht="15" customHeight="1" x14ac:dyDescent="0.3">
      <c r="M3321" s="5"/>
    </row>
    <row r="3322" spans="13:13" ht="15" customHeight="1" x14ac:dyDescent="0.3">
      <c r="M3322" s="5"/>
    </row>
    <row r="3323" spans="13:13" ht="15" customHeight="1" x14ac:dyDescent="0.3">
      <c r="M3323" s="5"/>
    </row>
    <row r="3324" spans="13:13" ht="15" customHeight="1" x14ac:dyDescent="0.3">
      <c r="M3324" s="5"/>
    </row>
    <row r="3325" spans="13:13" ht="15" customHeight="1" x14ac:dyDescent="0.3">
      <c r="M3325" s="5"/>
    </row>
    <row r="3326" spans="13:13" ht="15" customHeight="1" x14ac:dyDescent="0.3">
      <c r="M3326" s="5"/>
    </row>
    <row r="3327" spans="13:13" ht="15" customHeight="1" x14ac:dyDescent="0.3">
      <c r="M3327" s="5"/>
    </row>
    <row r="3328" spans="13:13" ht="15" customHeight="1" x14ac:dyDescent="0.3">
      <c r="M3328" s="5"/>
    </row>
    <row r="3329" spans="13:13" ht="15" customHeight="1" x14ac:dyDescent="0.3">
      <c r="M3329" s="5"/>
    </row>
    <row r="3330" spans="13:13" ht="15" customHeight="1" x14ac:dyDescent="0.3">
      <c r="M3330" s="5"/>
    </row>
    <row r="3331" spans="13:13" ht="15" customHeight="1" x14ac:dyDescent="0.3">
      <c r="M3331" s="5"/>
    </row>
    <row r="3332" spans="13:13" ht="15" customHeight="1" x14ac:dyDescent="0.3">
      <c r="M3332" s="5"/>
    </row>
    <row r="3333" spans="13:13" ht="15" customHeight="1" x14ac:dyDescent="0.3">
      <c r="M3333" s="5"/>
    </row>
    <row r="3334" spans="13:13" ht="15" customHeight="1" x14ac:dyDescent="0.3">
      <c r="M3334" s="5"/>
    </row>
    <row r="3335" spans="13:13" ht="15" customHeight="1" x14ac:dyDescent="0.3">
      <c r="M3335" s="5"/>
    </row>
    <row r="3336" spans="13:13" ht="15" customHeight="1" x14ac:dyDescent="0.3">
      <c r="M3336" s="5"/>
    </row>
    <row r="3337" spans="13:13" ht="15" customHeight="1" x14ac:dyDescent="0.3">
      <c r="M3337" s="5"/>
    </row>
    <row r="3338" spans="13:13" ht="15" customHeight="1" x14ac:dyDescent="0.3">
      <c r="M3338" s="5"/>
    </row>
    <row r="3339" spans="13:13" ht="15" customHeight="1" x14ac:dyDescent="0.3">
      <c r="M3339" s="5"/>
    </row>
    <row r="3340" spans="13:13" ht="15" customHeight="1" x14ac:dyDescent="0.3">
      <c r="M3340" s="5"/>
    </row>
    <row r="3341" spans="13:13" ht="15" customHeight="1" x14ac:dyDescent="0.3">
      <c r="M3341" s="5"/>
    </row>
    <row r="3342" spans="13:13" ht="15" customHeight="1" x14ac:dyDescent="0.3">
      <c r="M3342" s="5"/>
    </row>
    <row r="3343" spans="13:13" ht="15" customHeight="1" x14ac:dyDescent="0.3">
      <c r="M3343" s="5"/>
    </row>
    <row r="3344" spans="13:13" ht="15" customHeight="1" x14ac:dyDescent="0.3">
      <c r="M3344" s="5"/>
    </row>
    <row r="3345" spans="13:13" ht="15" customHeight="1" x14ac:dyDescent="0.3">
      <c r="M3345" s="5"/>
    </row>
    <row r="3346" spans="13:13" ht="15" customHeight="1" x14ac:dyDescent="0.3">
      <c r="M3346" s="5"/>
    </row>
    <row r="3347" spans="13:13" ht="15" customHeight="1" x14ac:dyDescent="0.3">
      <c r="M3347" s="5"/>
    </row>
    <row r="3348" spans="13:13" ht="15" customHeight="1" x14ac:dyDescent="0.3">
      <c r="M3348" s="5"/>
    </row>
    <row r="3349" spans="13:13" ht="15" customHeight="1" x14ac:dyDescent="0.3">
      <c r="M3349" s="5"/>
    </row>
    <row r="3350" spans="13:13" ht="15" customHeight="1" x14ac:dyDescent="0.3">
      <c r="M3350" s="5"/>
    </row>
    <row r="3351" spans="13:13" ht="15" customHeight="1" x14ac:dyDescent="0.3">
      <c r="M3351" s="5"/>
    </row>
    <row r="3352" spans="13:13" ht="15" customHeight="1" x14ac:dyDescent="0.3">
      <c r="M3352" s="5"/>
    </row>
    <row r="3353" spans="13:13" ht="15" customHeight="1" x14ac:dyDescent="0.3">
      <c r="M3353" s="5"/>
    </row>
    <row r="3354" spans="13:13" ht="15" customHeight="1" x14ac:dyDescent="0.3">
      <c r="M3354" s="5"/>
    </row>
    <row r="3355" spans="13:13" ht="15" customHeight="1" x14ac:dyDescent="0.3">
      <c r="M3355" s="5"/>
    </row>
    <row r="3356" spans="13:13" ht="15" customHeight="1" x14ac:dyDescent="0.3">
      <c r="M3356" s="5"/>
    </row>
    <row r="3357" spans="13:13" ht="15" customHeight="1" x14ac:dyDescent="0.3">
      <c r="M3357" s="5"/>
    </row>
    <row r="3358" spans="13:13" ht="15" customHeight="1" x14ac:dyDescent="0.3">
      <c r="M3358" s="5"/>
    </row>
    <row r="3359" spans="13:13" ht="15" customHeight="1" x14ac:dyDescent="0.3">
      <c r="M3359" s="5"/>
    </row>
    <row r="3360" spans="13:13" ht="15" customHeight="1" x14ac:dyDescent="0.3">
      <c r="M3360" s="5"/>
    </row>
    <row r="3361" spans="13:13" ht="15" customHeight="1" x14ac:dyDescent="0.3">
      <c r="M3361" s="5"/>
    </row>
    <row r="3362" spans="13:13" ht="15" customHeight="1" x14ac:dyDescent="0.3">
      <c r="M3362" s="5"/>
    </row>
    <row r="3363" spans="13:13" ht="15" customHeight="1" x14ac:dyDescent="0.3">
      <c r="M3363" s="5"/>
    </row>
    <row r="3364" spans="13:13" ht="15" customHeight="1" x14ac:dyDescent="0.3">
      <c r="M3364" s="5"/>
    </row>
    <row r="3365" spans="13:13" ht="15" customHeight="1" x14ac:dyDescent="0.3">
      <c r="M3365" s="5"/>
    </row>
    <row r="3366" spans="13:13" ht="15" customHeight="1" x14ac:dyDescent="0.3">
      <c r="M3366" s="5"/>
    </row>
    <row r="3367" spans="13:13" ht="15" customHeight="1" x14ac:dyDescent="0.3">
      <c r="M3367" s="5"/>
    </row>
    <row r="3368" spans="13:13" ht="15" customHeight="1" x14ac:dyDescent="0.3">
      <c r="M3368" s="5"/>
    </row>
    <row r="3369" spans="13:13" ht="15" customHeight="1" x14ac:dyDescent="0.3">
      <c r="M3369" s="5"/>
    </row>
    <row r="3370" spans="13:13" ht="15" customHeight="1" x14ac:dyDescent="0.3">
      <c r="M3370" s="5"/>
    </row>
    <row r="3371" spans="13:13" ht="15" customHeight="1" x14ac:dyDescent="0.3">
      <c r="M3371" s="5"/>
    </row>
    <row r="3372" spans="13:13" ht="15" customHeight="1" x14ac:dyDescent="0.3">
      <c r="M3372" s="5"/>
    </row>
    <row r="3373" spans="13:13" ht="15" customHeight="1" x14ac:dyDescent="0.3">
      <c r="M3373" s="5"/>
    </row>
    <row r="3374" spans="13:13" ht="15" customHeight="1" x14ac:dyDescent="0.3">
      <c r="M3374" s="5"/>
    </row>
    <row r="3375" spans="13:13" ht="15" customHeight="1" x14ac:dyDescent="0.3">
      <c r="M3375" s="5"/>
    </row>
    <row r="3376" spans="13:13" ht="15" customHeight="1" x14ac:dyDescent="0.3">
      <c r="M3376" s="5"/>
    </row>
    <row r="3377" spans="13:13" ht="15" customHeight="1" x14ac:dyDescent="0.3">
      <c r="M3377" s="5"/>
    </row>
    <row r="3378" spans="13:13" ht="15" customHeight="1" x14ac:dyDescent="0.3">
      <c r="M3378" s="5"/>
    </row>
    <row r="3379" spans="13:13" ht="15" customHeight="1" x14ac:dyDescent="0.3">
      <c r="M3379" s="5"/>
    </row>
    <row r="3380" spans="13:13" ht="15" customHeight="1" x14ac:dyDescent="0.3">
      <c r="M3380" s="5"/>
    </row>
    <row r="3381" spans="13:13" ht="15" customHeight="1" x14ac:dyDescent="0.3">
      <c r="M3381" s="5"/>
    </row>
    <row r="3382" spans="13:13" ht="15" customHeight="1" x14ac:dyDescent="0.3">
      <c r="M3382" s="5"/>
    </row>
    <row r="3383" spans="13:13" ht="15" customHeight="1" x14ac:dyDescent="0.3">
      <c r="M3383" s="5"/>
    </row>
    <row r="3384" spans="13:13" ht="15" customHeight="1" x14ac:dyDescent="0.3">
      <c r="M3384" s="5"/>
    </row>
    <row r="3385" spans="13:13" ht="15" customHeight="1" x14ac:dyDescent="0.3">
      <c r="M3385" s="5"/>
    </row>
    <row r="3386" spans="13:13" ht="15" customHeight="1" x14ac:dyDescent="0.3">
      <c r="M3386" s="5"/>
    </row>
    <row r="3387" spans="13:13" ht="15" customHeight="1" x14ac:dyDescent="0.3">
      <c r="M3387" s="5"/>
    </row>
    <row r="3388" spans="13:13" ht="15" customHeight="1" x14ac:dyDescent="0.3">
      <c r="M3388" s="5"/>
    </row>
    <row r="3389" spans="13:13" ht="15" customHeight="1" x14ac:dyDescent="0.3">
      <c r="M3389" s="5"/>
    </row>
    <row r="3390" spans="13:13" ht="15" customHeight="1" x14ac:dyDescent="0.3">
      <c r="M3390" s="5"/>
    </row>
    <row r="3391" spans="13:13" ht="15" customHeight="1" x14ac:dyDescent="0.3">
      <c r="M3391" s="5"/>
    </row>
    <row r="3392" spans="13:13" ht="15" customHeight="1" x14ac:dyDescent="0.3">
      <c r="M3392" s="5"/>
    </row>
    <row r="3393" spans="13:13" ht="15" customHeight="1" x14ac:dyDescent="0.3">
      <c r="M3393" s="5"/>
    </row>
    <row r="3394" spans="13:13" ht="15" customHeight="1" x14ac:dyDescent="0.3">
      <c r="M3394" s="5"/>
    </row>
    <row r="3395" spans="13:13" ht="15" customHeight="1" x14ac:dyDescent="0.3">
      <c r="M3395" s="5"/>
    </row>
    <row r="3396" spans="13:13" ht="15" customHeight="1" x14ac:dyDescent="0.3">
      <c r="M3396" s="5"/>
    </row>
    <row r="3397" spans="13:13" ht="15" customHeight="1" x14ac:dyDescent="0.3">
      <c r="M3397" s="5"/>
    </row>
    <row r="3398" spans="13:13" ht="15" customHeight="1" x14ac:dyDescent="0.3">
      <c r="M3398" s="5"/>
    </row>
    <row r="3399" spans="13:13" ht="15" customHeight="1" x14ac:dyDescent="0.3">
      <c r="M3399" s="5"/>
    </row>
    <row r="3400" spans="13:13" ht="15" customHeight="1" x14ac:dyDescent="0.3">
      <c r="M3400" s="5"/>
    </row>
    <row r="3401" spans="13:13" ht="15" customHeight="1" x14ac:dyDescent="0.3">
      <c r="M3401" s="5"/>
    </row>
    <row r="3402" spans="13:13" ht="15" customHeight="1" x14ac:dyDescent="0.3">
      <c r="M3402" s="5"/>
    </row>
    <row r="3403" spans="13:13" ht="15" customHeight="1" x14ac:dyDescent="0.3">
      <c r="M3403" s="5"/>
    </row>
    <row r="3404" spans="13:13" ht="15" customHeight="1" x14ac:dyDescent="0.3">
      <c r="M3404" s="5"/>
    </row>
    <row r="3405" spans="13:13" ht="15" customHeight="1" x14ac:dyDescent="0.3">
      <c r="M3405" s="5"/>
    </row>
    <row r="3406" spans="13:13" ht="15" customHeight="1" x14ac:dyDescent="0.3">
      <c r="M3406" s="5"/>
    </row>
    <row r="3407" spans="13:13" ht="15" customHeight="1" x14ac:dyDescent="0.3">
      <c r="M3407" s="5"/>
    </row>
    <row r="3408" spans="13:13" ht="15" customHeight="1" x14ac:dyDescent="0.3">
      <c r="M3408" s="5"/>
    </row>
    <row r="3409" spans="13:13" ht="15" customHeight="1" x14ac:dyDescent="0.3">
      <c r="M3409" s="5"/>
    </row>
    <row r="3410" spans="13:13" ht="15" customHeight="1" x14ac:dyDescent="0.3">
      <c r="M3410" s="5"/>
    </row>
    <row r="3411" spans="13:13" ht="15" customHeight="1" x14ac:dyDescent="0.3">
      <c r="M3411" s="5"/>
    </row>
    <row r="3412" spans="13:13" ht="15" customHeight="1" x14ac:dyDescent="0.3">
      <c r="M3412" s="5"/>
    </row>
    <row r="3413" spans="13:13" ht="15" customHeight="1" x14ac:dyDescent="0.3">
      <c r="M3413" s="5"/>
    </row>
    <row r="3414" spans="13:13" ht="15" customHeight="1" x14ac:dyDescent="0.3">
      <c r="M3414" s="5"/>
    </row>
    <row r="3415" spans="13:13" ht="15" customHeight="1" x14ac:dyDescent="0.3">
      <c r="M3415" s="5"/>
    </row>
    <row r="3416" spans="13:13" ht="15" customHeight="1" x14ac:dyDescent="0.3">
      <c r="M3416" s="5"/>
    </row>
    <row r="3417" spans="13:13" ht="15" customHeight="1" x14ac:dyDescent="0.3">
      <c r="M3417" s="5"/>
    </row>
    <row r="3418" spans="13:13" ht="15" customHeight="1" x14ac:dyDescent="0.3">
      <c r="M3418" s="5"/>
    </row>
    <row r="3419" spans="13:13" ht="15" customHeight="1" x14ac:dyDescent="0.3">
      <c r="M3419" s="5"/>
    </row>
    <row r="3420" spans="13:13" ht="15" customHeight="1" x14ac:dyDescent="0.3">
      <c r="M3420" s="5"/>
    </row>
    <row r="3421" spans="13:13" ht="15" customHeight="1" x14ac:dyDescent="0.3">
      <c r="M3421" s="5"/>
    </row>
    <row r="3422" spans="13:13" ht="15" customHeight="1" x14ac:dyDescent="0.3">
      <c r="M3422" s="5"/>
    </row>
    <row r="3423" spans="13:13" ht="15" customHeight="1" x14ac:dyDescent="0.3">
      <c r="M3423" s="5"/>
    </row>
    <row r="3424" spans="13:13" ht="15" customHeight="1" x14ac:dyDescent="0.3">
      <c r="M3424" s="5"/>
    </row>
    <row r="3425" spans="13:13" ht="15" customHeight="1" x14ac:dyDescent="0.3">
      <c r="M3425" s="5"/>
    </row>
    <row r="3426" spans="13:13" ht="15" customHeight="1" x14ac:dyDescent="0.3">
      <c r="M3426" s="5"/>
    </row>
    <row r="3427" spans="13:13" ht="15" customHeight="1" x14ac:dyDescent="0.3">
      <c r="M3427" s="5"/>
    </row>
    <row r="3428" spans="13:13" ht="15" customHeight="1" x14ac:dyDescent="0.3">
      <c r="M3428" s="5"/>
    </row>
    <row r="3429" spans="13:13" ht="15" customHeight="1" x14ac:dyDescent="0.3">
      <c r="M3429" s="5"/>
    </row>
    <row r="3430" spans="13:13" ht="15" customHeight="1" x14ac:dyDescent="0.3">
      <c r="M3430" s="5"/>
    </row>
    <row r="3431" spans="13:13" ht="15" customHeight="1" x14ac:dyDescent="0.3">
      <c r="M3431" s="5"/>
    </row>
    <row r="3432" spans="13:13" ht="15" customHeight="1" x14ac:dyDescent="0.3">
      <c r="M3432" s="5"/>
    </row>
    <row r="3433" spans="13:13" ht="15" customHeight="1" x14ac:dyDescent="0.3">
      <c r="M3433" s="5"/>
    </row>
    <row r="3434" spans="13:13" ht="15" customHeight="1" x14ac:dyDescent="0.3">
      <c r="M3434" s="5"/>
    </row>
    <row r="3435" spans="13:13" ht="15" customHeight="1" x14ac:dyDescent="0.3">
      <c r="M3435" s="5"/>
    </row>
    <row r="3436" spans="13:13" ht="15" customHeight="1" x14ac:dyDescent="0.3">
      <c r="M3436" s="5"/>
    </row>
    <row r="3437" spans="13:13" ht="15" customHeight="1" x14ac:dyDescent="0.3">
      <c r="M3437" s="5"/>
    </row>
    <row r="3438" spans="13:13" ht="15" customHeight="1" x14ac:dyDescent="0.3">
      <c r="M3438" s="5"/>
    </row>
    <row r="3439" spans="13:13" ht="15" customHeight="1" x14ac:dyDescent="0.3">
      <c r="M3439" s="5"/>
    </row>
    <row r="3440" spans="13:13" ht="15" customHeight="1" x14ac:dyDescent="0.3">
      <c r="M3440" s="5"/>
    </row>
    <row r="3441" spans="13:13" ht="15" customHeight="1" x14ac:dyDescent="0.3">
      <c r="M3441" s="5"/>
    </row>
    <row r="3442" spans="13:13" ht="15" customHeight="1" x14ac:dyDescent="0.3">
      <c r="M3442" s="5"/>
    </row>
    <row r="3443" spans="13:13" ht="15" customHeight="1" x14ac:dyDescent="0.3">
      <c r="M3443" s="5"/>
    </row>
    <row r="3444" spans="13:13" ht="15" customHeight="1" x14ac:dyDescent="0.3">
      <c r="M3444" s="5"/>
    </row>
    <row r="3445" spans="13:13" ht="15" customHeight="1" x14ac:dyDescent="0.3">
      <c r="M3445" s="5"/>
    </row>
    <row r="3446" spans="13:13" ht="15" customHeight="1" x14ac:dyDescent="0.3">
      <c r="M3446" s="5"/>
    </row>
    <row r="3447" spans="13:13" ht="15" customHeight="1" x14ac:dyDescent="0.3">
      <c r="M3447" s="5"/>
    </row>
    <row r="3448" spans="13:13" ht="15" customHeight="1" x14ac:dyDescent="0.3">
      <c r="M3448" s="5"/>
    </row>
    <row r="3449" spans="13:13" ht="15" customHeight="1" x14ac:dyDescent="0.3">
      <c r="M3449" s="5"/>
    </row>
    <row r="3450" spans="13:13" ht="15" customHeight="1" x14ac:dyDescent="0.3">
      <c r="M3450" s="5"/>
    </row>
    <row r="3451" spans="13:13" ht="15" customHeight="1" x14ac:dyDescent="0.3">
      <c r="M3451" s="5"/>
    </row>
    <row r="3452" spans="13:13" ht="15" customHeight="1" x14ac:dyDescent="0.3">
      <c r="M3452" s="5"/>
    </row>
    <row r="3453" spans="13:13" ht="15" customHeight="1" x14ac:dyDescent="0.3">
      <c r="M3453" s="5"/>
    </row>
    <row r="3454" spans="13:13" ht="15" customHeight="1" x14ac:dyDescent="0.3">
      <c r="M3454" s="5"/>
    </row>
    <row r="3455" spans="13:13" ht="15" customHeight="1" x14ac:dyDescent="0.3">
      <c r="M3455" s="5"/>
    </row>
    <row r="3456" spans="13:13" ht="15" customHeight="1" x14ac:dyDescent="0.3">
      <c r="M3456" s="5"/>
    </row>
    <row r="3457" spans="13:13" ht="15" customHeight="1" x14ac:dyDescent="0.3">
      <c r="M3457" s="5"/>
    </row>
    <row r="3458" spans="13:13" ht="15" customHeight="1" x14ac:dyDescent="0.3">
      <c r="M3458" s="5"/>
    </row>
    <row r="3459" spans="13:13" ht="15" customHeight="1" x14ac:dyDescent="0.3">
      <c r="M3459" s="5"/>
    </row>
    <row r="3460" spans="13:13" ht="15" customHeight="1" x14ac:dyDescent="0.3">
      <c r="M3460" s="5"/>
    </row>
    <row r="3461" spans="13:13" ht="15" customHeight="1" x14ac:dyDescent="0.3">
      <c r="M3461" s="5"/>
    </row>
    <row r="3462" spans="13:13" ht="15" customHeight="1" x14ac:dyDescent="0.3">
      <c r="M3462" s="5"/>
    </row>
    <row r="3463" spans="13:13" ht="15" customHeight="1" x14ac:dyDescent="0.3">
      <c r="M3463" s="5"/>
    </row>
    <row r="3464" spans="13:13" ht="15" customHeight="1" x14ac:dyDescent="0.3">
      <c r="M3464" s="5"/>
    </row>
    <row r="3465" spans="13:13" ht="15" customHeight="1" x14ac:dyDescent="0.3">
      <c r="M3465" s="5"/>
    </row>
    <row r="3466" spans="13:13" ht="15" customHeight="1" x14ac:dyDescent="0.3">
      <c r="M3466" s="5"/>
    </row>
    <row r="3467" spans="13:13" ht="15" customHeight="1" x14ac:dyDescent="0.3">
      <c r="M3467" s="5"/>
    </row>
    <row r="3468" spans="13:13" ht="15" customHeight="1" x14ac:dyDescent="0.3">
      <c r="M3468" s="5"/>
    </row>
    <row r="3469" spans="13:13" ht="15" customHeight="1" x14ac:dyDescent="0.3">
      <c r="M3469" s="5"/>
    </row>
    <row r="3470" spans="13:13" ht="15" customHeight="1" x14ac:dyDescent="0.3">
      <c r="M3470" s="5"/>
    </row>
    <row r="3471" spans="13:13" ht="15" customHeight="1" x14ac:dyDescent="0.3">
      <c r="M3471" s="5"/>
    </row>
    <row r="3472" spans="13:13" ht="15" customHeight="1" x14ac:dyDescent="0.3">
      <c r="M3472" s="5"/>
    </row>
    <row r="3473" spans="13:13" ht="15" customHeight="1" x14ac:dyDescent="0.3">
      <c r="M3473" s="5"/>
    </row>
    <row r="3474" spans="13:13" ht="15" customHeight="1" x14ac:dyDescent="0.3">
      <c r="M3474" s="5"/>
    </row>
    <row r="3475" spans="13:13" ht="15" customHeight="1" x14ac:dyDescent="0.3">
      <c r="M3475" s="5"/>
    </row>
    <row r="3476" spans="13:13" ht="15" customHeight="1" x14ac:dyDescent="0.3">
      <c r="M3476" s="5"/>
    </row>
    <row r="3477" spans="13:13" ht="15" customHeight="1" x14ac:dyDescent="0.3">
      <c r="M3477" s="5"/>
    </row>
    <row r="3478" spans="13:13" ht="15" customHeight="1" x14ac:dyDescent="0.3">
      <c r="M3478" s="5"/>
    </row>
    <row r="3479" spans="13:13" ht="15" customHeight="1" x14ac:dyDescent="0.3">
      <c r="M3479" s="5"/>
    </row>
    <row r="3480" spans="13:13" ht="15" customHeight="1" x14ac:dyDescent="0.3">
      <c r="M3480" s="5"/>
    </row>
    <row r="3481" spans="13:13" ht="15" customHeight="1" x14ac:dyDescent="0.3">
      <c r="M3481" s="5"/>
    </row>
    <row r="3482" spans="13:13" ht="15" customHeight="1" x14ac:dyDescent="0.3">
      <c r="M3482" s="5"/>
    </row>
    <row r="3483" spans="13:13" ht="15" customHeight="1" x14ac:dyDescent="0.3">
      <c r="M3483" s="5"/>
    </row>
    <row r="3484" spans="13:13" ht="15" customHeight="1" x14ac:dyDescent="0.3">
      <c r="M3484" s="5"/>
    </row>
    <row r="3485" spans="13:13" ht="15" customHeight="1" x14ac:dyDescent="0.3">
      <c r="M3485" s="5"/>
    </row>
    <row r="3486" spans="13:13" ht="15" customHeight="1" x14ac:dyDescent="0.3">
      <c r="M3486" s="5"/>
    </row>
    <row r="3487" spans="13:13" ht="15" customHeight="1" x14ac:dyDescent="0.3">
      <c r="M3487" s="5"/>
    </row>
    <row r="3488" spans="13:13" ht="15" customHeight="1" x14ac:dyDescent="0.3">
      <c r="M3488" s="5"/>
    </row>
    <row r="3489" spans="13:13" ht="15" customHeight="1" x14ac:dyDescent="0.3">
      <c r="M3489" s="5"/>
    </row>
    <row r="3490" spans="13:13" ht="15" customHeight="1" x14ac:dyDescent="0.3">
      <c r="M3490" s="5"/>
    </row>
    <row r="3491" spans="13:13" ht="15" customHeight="1" x14ac:dyDescent="0.3">
      <c r="M3491" s="5"/>
    </row>
    <row r="3492" spans="13:13" ht="15" customHeight="1" x14ac:dyDescent="0.3">
      <c r="M3492" s="5"/>
    </row>
    <row r="3493" spans="13:13" ht="15" customHeight="1" x14ac:dyDescent="0.3">
      <c r="M3493" s="5"/>
    </row>
    <row r="3494" spans="13:13" ht="15" customHeight="1" x14ac:dyDescent="0.3">
      <c r="M3494" s="5"/>
    </row>
    <row r="3495" spans="13:13" ht="15" customHeight="1" x14ac:dyDescent="0.3">
      <c r="M3495" s="5"/>
    </row>
    <row r="3496" spans="13:13" ht="15" customHeight="1" x14ac:dyDescent="0.3">
      <c r="M3496" s="5"/>
    </row>
    <row r="3497" spans="13:13" ht="15" customHeight="1" x14ac:dyDescent="0.3">
      <c r="M3497" s="5"/>
    </row>
    <row r="3498" spans="13:13" ht="15" customHeight="1" x14ac:dyDescent="0.3">
      <c r="M3498" s="5"/>
    </row>
    <row r="3499" spans="13:13" ht="15" customHeight="1" x14ac:dyDescent="0.3">
      <c r="M3499" s="5"/>
    </row>
    <row r="3500" spans="13:13" ht="15" customHeight="1" x14ac:dyDescent="0.3">
      <c r="M3500" s="5"/>
    </row>
    <row r="3501" spans="13:13" ht="15" customHeight="1" x14ac:dyDescent="0.3">
      <c r="M3501" s="5"/>
    </row>
    <row r="3502" spans="13:13" ht="15" customHeight="1" x14ac:dyDescent="0.3">
      <c r="M3502" s="5"/>
    </row>
    <row r="3503" spans="13:13" ht="15" customHeight="1" x14ac:dyDescent="0.3">
      <c r="M3503" s="5"/>
    </row>
    <row r="3504" spans="13:13" ht="15" customHeight="1" x14ac:dyDescent="0.3">
      <c r="M3504" s="5"/>
    </row>
    <row r="3505" spans="13:13" ht="15" customHeight="1" x14ac:dyDescent="0.3">
      <c r="M3505" s="5"/>
    </row>
    <row r="3506" spans="13:13" ht="15" customHeight="1" x14ac:dyDescent="0.3">
      <c r="M3506" s="5"/>
    </row>
    <row r="3507" spans="13:13" ht="15" customHeight="1" x14ac:dyDescent="0.3">
      <c r="M3507" s="5"/>
    </row>
    <row r="3508" spans="13:13" ht="15" customHeight="1" x14ac:dyDescent="0.3">
      <c r="M3508" s="5"/>
    </row>
    <row r="3509" spans="13:13" ht="15" customHeight="1" x14ac:dyDescent="0.3">
      <c r="M3509" s="5"/>
    </row>
    <row r="3510" spans="13:13" ht="15" customHeight="1" x14ac:dyDescent="0.3">
      <c r="M3510" s="5"/>
    </row>
    <row r="3511" spans="13:13" ht="15" customHeight="1" x14ac:dyDescent="0.3">
      <c r="M3511" s="5"/>
    </row>
    <row r="3512" spans="13:13" ht="15" customHeight="1" x14ac:dyDescent="0.3">
      <c r="M3512" s="5"/>
    </row>
    <row r="3513" spans="13:13" ht="15" customHeight="1" x14ac:dyDescent="0.3">
      <c r="M3513" s="5"/>
    </row>
    <row r="3514" spans="13:13" ht="15" customHeight="1" x14ac:dyDescent="0.3">
      <c r="M3514" s="5"/>
    </row>
    <row r="3515" spans="13:13" ht="15" customHeight="1" x14ac:dyDescent="0.3">
      <c r="M3515" s="5"/>
    </row>
    <row r="3516" spans="13:13" ht="15" customHeight="1" x14ac:dyDescent="0.3">
      <c r="M3516" s="5"/>
    </row>
    <row r="3517" spans="13:13" ht="15" customHeight="1" x14ac:dyDescent="0.3">
      <c r="M3517" s="5"/>
    </row>
    <row r="3518" spans="13:13" ht="15" customHeight="1" x14ac:dyDescent="0.3">
      <c r="M3518" s="5"/>
    </row>
    <row r="3519" spans="13:13" ht="15" customHeight="1" x14ac:dyDescent="0.3">
      <c r="M3519" s="5"/>
    </row>
    <row r="3520" spans="13:13" ht="15" customHeight="1" x14ac:dyDescent="0.3">
      <c r="M3520" s="5"/>
    </row>
    <row r="3521" spans="13:13" ht="15" customHeight="1" x14ac:dyDescent="0.3">
      <c r="M3521" s="5"/>
    </row>
    <row r="3522" spans="13:13" ht="15" customHeight="1" x14ac:dyDescent="0.3">
      <c r="M3522" s="5"/>
    </row>
    <row r="3523" spans="13:13" ht="15" customHeight="1" x14ac:dyDescent="0.3">
      <c r="M3523" s="5"/>
    </row>
    <row r="3524" spans="13:13" ht="15" customHeight="1" x14ac:dyDescent="0.3">
      <c r="M3524" s="5"/>
    </row>
    <row r="3525" spans="13:13" ht="15" customHeight="1" x14ac:dyDescent="0.3">
      <c r="M3525" s="5"/>
    </row>
    <row r="3526" spans="13:13" ht="15" customHeight="1" x14ac:dyDescent="0.3">
      <c r="M3526" s="5"/>
    </row>
    <row r="3527" spans="13:13" ht="15" customHeight="1" x14ac:dyDescent="0.3">
      <c r="M3527" s="5"/>
    </row>
    <row r="3528" spans="13:13" ht="15" customHeight="1" x14ac:dyDescent="0.3">
      <c r="M3528" s="5"/>
    </row>
    <row r="3529" spans="13:13" ht="15" customHeight="1" x14ac:dyDescent="0.3">
      <c r="M3529" s="5"/>
    </row>
    <row r="3530" spans="13:13" ht="15" customHeight="1" x14ac:dyDescent="0.3">
      <c r="M3530" s="5"/>
    </row>
    <row r="3531" spans="13:13" ht="15" customHeight="1" x14ac:dyDescent="0.3">
      <c r="M3531" s="5"/>
    </row>
    <row r="3532" spans="13:13" ht="15" customHeight="1" x14ac:dyDescent="0.3">
      <c r="M3532" s="5"/>
    </row>
    <row r="3533" spans="13:13" ht="15" customHeight="1" x14ac:dyDescent="0.3">
      <c r="M3533" s="5"/>
    </row>
    <row r="3534" spans="13:13" ht="15" customHeight="1" x14ac:dyDescent="0.3">
      <c r="M3534" s="5"/>
    </row>
    <row r="3535" spans="13:13" ht="15" customHeight="1" x14ac:dyDescent="0.3">
      <c r="M3535" s="5"/>
    </row>
    <row r="3536" spans="13:13" ht="15" customHeight="1" x14ac:dyDescent="0.3">
      <c r="M3536" s="5"/>
    </row>
    <row r="3537" spans="13:13" ht="15" customHeight="1" x14ac:dyDescent="0.3">
      <c r="M3537" s="5"/>
    </row>
    <row r="3538" spans="13:13" ht="15" customHeight="1" x14ac:dyDescent="0.3">
      <c r="M3538" s="5"/>
    </row>
    <row r="3539" spans="13:13" ht="15" customHeight="1" x14ac:dyDescent="0.3">
      <c r="M3539" s="5"/>
    </row>
    <row r="3540" spans="13:13" ht="15" customHeight="1" x14ac:dyDescent="0.3">
      <c r="M3540" s="5"/>
    </row>
    <row r="3541" spans="13:13" ht="15" customHeight="1" x14ac:dyDescent="0.3">
      <c r="M3541" s="5"/>
    </row>
    <row r="3542" spans="13:13" ht="15" customHeight="1" x14ac:dyDescent="0.3">
      <c r="M3542" s="5"/>
    </row>
    <row r="3543" spans="13:13" ht="15" customHeight="1" x14ac:dyDescent="0.3">
      <c r="M3543" s="5"/>
    </row>
    <row r="3544" spans="13:13" ht="15" customHeight="1" x14ac:dyDescent="0.3">
      <c r="M3544" s="5"/>
    </row>
    <row r="3545" spans="13:13" ht="15" customHeight="1" x14ac:dyDescent="0.3">
      <c r="M3545" s="5"/>
    </row>
    <row r="3546" spans="13:13" ht="15" customHeight="1" x14ac:dyDescent="0.3">
      <c r="M3546" s="5"/>
    </row>
    <row r="3547" spans="13:13" ht="15" customHeight="1" x14ac:dyDescent="0.3">
      <c r="M3547" s="5"/>
    </row>
    <row r="3548" spans="13:13" ht="15" customHeight="1" x14ac:dyDescent="0.3">
      <c r="M3548" s="5"/>
    </row>
    <row r="3549" spans="13:13" ht="15" customHeight="1" x14ac:dyDescent="0.3">
      <c r="M3549" s="5"/>
    </row>
    <row r="3550" spans="13:13" ht="15" customHeight="1" x14ac:dyDescent="0.3">
      <c r="M3550" s="5"/>
    </row>
    <row r="3551" spans="13:13" ht="15" customHeight="1" x14ac:dyDescent="0.3">
      <c r="M3551" s="5"/>
    </row>
    <row r="3552" spans="13:13" ht="15" customHeight="1" x14ac:dyDescent="0.3">
      <c r="M3552" s="5"/>
    </row>
    <row r="3553" spans="13:13" ht="15" customHeight="1" x14ac:dyDescent="0.3">
      <c r="M3553" s="5"/>
    </row>
    <row r="3554" spans="13:13" ht="15" customHeight="1" x14ac:dyDescent="0.3">
      <c r="M3554" s="5"/>
    </row>
    <row r="3555" spans="13:13" ht="15" customHeight="1" x14ac:dyDescent="0.3">
      <c r="M3555" s="5"/>
    </row>
    <row r="3556" spans="13:13" ht="15" customHeight="1" x14ac:dyDescent="0.3">
      <c r="M3556" s="5"/>
    </row>
    <row r="3557" spans="13:13" ht="15" customHeight="1" x14ac:dyDescent="0.3">
      <c r="M3557" s="5"/>
    </row>
    <row r="3558" spans="13:13" ht="15" customHeight="1" x14ac:dyDescent="0.3">
      <c r="M3558" s="5"/>
    </row>
    <row r="3559" spans="13:13" ht="15" customHeight="1" x14ac:dyDescent="0.3">
      <c r="M3559" s="5"/>
    </row>
    <row r="3560" spans="13:13" ht="15" customHeight="1" x14ac:dyDescent="0.3">
      <c r="M3560" s="5"/>
    </row>
    <row r="3561" spans="13:13" ht="15" customHeight="1" x14ac:dyDescent="0.3">
      <c r="M3561" s="5"/>
    </row>
    <row r="3562" spans="13:13" ht="15" customHeight="1" x14ac:dyDescent="0.3">
      <c r="M3562" s="5"/>
    </row>
    <row r="3563" spans="13:13" ht="15" customHeight="1" x14ac:dyDescent="0.3">
      <c r="M3563" s="5"/>
    </row>
    <row r="3564" spans="13:13" ht="15" customHeight="1" x14ac:dyDescent="0.3">
      <c r="M3564" s="5"/>
    </row>
    <row r="3565" spans="13:13" ht="15" customHeight="1" x14ac:dyDescent="0.3">
      <c r="M3565" s="5"/>
    </row>
    <row r="3566" spans="13:13" ht="15" customHeight="1" x14ac:dyDescent="0.3">
      <c r="M3566" s="5"/>
    </row>
    <row r="3567" spans="13:13" ht="15" customHeight="1" x14ac:dyDescent="0.3">
      <c r="M3567" s="5"/>
    </row>
    <row r="3568" spans="13:13" ht="15" customHeight="1" x14ac:dyDescent="0.3">
      <c r="M3568" s="5"/>
    </row>
    <row r="3569" spans="13:13" ht="15" customHeight="1" x14ac:dyDescent="0.3">
      <c r="M3569" s="5"/>
    </row>
    <row r="3570" spans="13:13" ht="15" customHeight="1" x14ac:dyDescent="0.3">
      <c r="M3570" s="5"/>
    </row>
    <row r="3571" spans="13:13" ht="15" customHeight="1" x14ac:dyDescent="0.3">
      <c r="M3571" s="5"/>
    </row>
    <row r="3572" spans="13:13" ht="15" customHeight="1" x14ac:dyDescent="0.3">
      <c r="M3572" s="5"/>
    </row>
    <row r="3573" spans="13:13" ht="15" customHeight="1" x14ac:dyDescent="0.3">
      <c r="M3573" s="5"/>
    </row>
    <row r="3574" spans="13:13" ht="15" customHeight="1" x14ac:dyDescent="0.3">
      <c r="M3574" s="5"/>
    </row>
    <row r="3575" spans="13:13" ht="15" customHeight="1" x14ac:dyDescent="0.3">
      <c r="M3575" s="5"/>
    </row>
    <row r="3576" spans="13:13" ht="15" customHeight="1" x14ac:dyDescent="0.3">
      <c r="M3576" s="5"/>
    </row>
    <row r="3577" spans="13:13" ht="15" customHeight="1" x14ac:dyDescent="0.3">
      <c r="M3577" s="5"/>
    </row>
    <row r="3578" spans="13:13" ht="15" customHeight="1" x14ac:dyDescent="0.3">
      <c r="M3578" s="5"/>
    </row>
    <row r="3579" spans="13:13" ht="15" customHeight="1" x14ac:dyDescent="0.3">
      <c r="M3579" s="5"/>
    </row>
    <row r="3580" spans="13:13" ht="15" customHeight="1" x14ac:dyDescent="0.3">
      <c r="M3580" s="5"/>
    </row>
    <row r="3581" spans="13:13" ht="15" customHeight="1" x14ac:dyDescent="0.3">
      <c r="M3581" s="5"/>
    </row>
    <row r="3582" spans="13:13" ht="15" customHeight="1" x14ac:dyDescent="0.3">
      <c r="M3582" s="5"/>
    </row>
    <row r="3583" spans="13:13" ht="15" customHeight="1" x14ac:dyDescent="0.3">
      <c r="M3583" s="5"/>
    </row>
    <row r="3584" spans="13:13" ht="15" customHeight="1" x14ac:dyDescent="0.3">
      <c r="M3584" s="5"/>
    </row>
    <row r="3585" spans="13:13" ht="15" customHeight="1" x14ac:dyDescent="0.3">
      <c r="M3585" s="5"/>
    </row>
    <row r="3586" spans="13:13" ht="15" customHeight="1" x14ac:dyDescent="0.3">
      <c r="M3586" s="5"/>
    </row>
    <row r="3587" spans="13:13" ht="15" customHeight="1" x14ac:dyDescent="0.3">
      <c r="M3587" s="5"/>
    </row>
    <row r="3588" spans="13:13" ht="15" customHeight="1" x14ac:dyDescent="0.3">
      <c r="M3588" s="5"/>
    </row>
    <row r="3589" spans="13:13" ht="15" customHeight="1" x14ac:dyDescent="0.3">
      <c r="M3589" s="5"/>
    </row>
    <row r="3590" spans="13:13" ht="15" customHeight="1" x14ac:dyDescent="0.3">
      <c r="M3590" s="5"/>
    </row>
    <row r="3591" spans="13:13" ht="15" customHeight="1" x14ac:dyDescent="0.3">
      <c r="M3591" s="5"/>
    </row>
    <row r="3592" spans="13:13" ht="15" customHeight="1" x14ac:dyDescent="0.3">
      <c r="M3592" s="5"/>
    </row>
    <row r="3593" spans="13:13" ht="15" customHeight="1" x14ac:dyDescent="0.3">
      <c r="M3593" s="5"/>
    </row>
    <row r="3594" spans="13:13" ht="15" customHeight="1" x14ac:dyDescent="0.3">
      <c r="M3594" s="5"/>
    </row>
    <row r="3595" spans="13:13" ht="15" customHeight="1" x14ac:dyDescent="0.3">
      <c r="M3595" s="5"/>
    </row>
    <row r="3596" spans="13:13" ht="15" customHeight="1" x14ac:dyDescent="0.3">
      <c r="M3596" s="5"/>
    </row>
    <row r="3597" spans="13:13" ht="15" customHeight="1" x14ac:dyDescent="0.3">
      <c r="M3597" s="5"/>
    </row>
    <row r="3598" spans="13:13" ht="15" customHeight="1" x14ac:dyDescent="0.3">
      <c r="M3598" s="5"/>
    </row>
    <row r="3599" spans="13:13" ht="15" customHeight="1" x14ac:dyDescent="0.3">
      <c r="M3599" s="5"/>
    </row>
    <row r="3600" spans="13:13" ht="15" customHeight="1" x14ac:dyDescent="0.3">
      <c r="M3600" s="5"/>
    </row>
    <row r="3601" spans="13:13" ht="15" customHeight="1" x14ac:dyDescent="0.3">
      <c r="M3601" s="5"/>
    </row>
    <row r="3602" spans="13:13" ht="15" customHeight="1" x14ac:dyDescent="0.3">
      <c r="M3602" s="5"/>
    </row>
    <row r="3603" spans="13:13" ht="15" customHeight="1" x14ac:dyDescent="0.3">
      <c r="M3603" s="5"/>
    </row>
    <row r="3604" spans="13:13" ht="15" customHeight="1" x14ac:dyDescent="0.3">
      <c r="M3604" s="5"/>
    </row>
    <row r="3605" spans="13:13" ht="15" customHeight="1" x14ac:dyDescent="0.3">
      <c r="M3605" s="5"/>
    </row>
    <row r="3606" spans="13:13" ht="15" customHeight="1" x14ac:dyDescent="0.3">
      <c r="M3606" s="5"/>
    </row>
    <row r="3607" spans="13:13" ht="15" customHeight="1" x14ac:dyDescent="0.3">
      <c r="M3607" s="5"/>
    </row>
    <row r="3608" spans="13:13" ht="15" customHeight="1" x14ac:dyDescent="0.3">
      <c r="M3608" s="5"/>
    </row>
    <row r="3609" spans="13:13" ht="15" customHeight="1" x14ac:dyDescent="0.3">
      <c r="M3609" s="5"/>
    </row>
    <row r="3610" spans="13:13" ht="15" customHeight="1" x14ac:dyDescent="0.3">
      <c r="M3610" s="5"/>
    </row>
    <row r="3611" spans="13:13" ht="15" customHeight="1" x14ac:dyDescent="0.3">
      <c r="M3611" s="5"/>
    </row>
    <row r="3612" spans="13:13" ht="15" customHeight="1" x14ac:dyDescent="0.3">
      <c r="M3612" s="5"/>
    </row>
    <row r="3613" spans="13:13" ht="15" customHeight="1" x14ac:dyDescent="0.3">
      <c r="M3613" s="5"/>
    </row>
    <row r="3614" spans="13:13" ht="15" customHeight="1" x14ac:dyDescent="0.3">
      <c r="M3614" s="5"/>
    </row>
    <row r="3615" spans="13:13" ht="15" customHeight="1" x14ac:dyDescent="0.3">
      <c r="M3615" s="5"/>
    </row>
    <row r="3616" spans="13:13" ht="15" customHeight="1" x14ac:dyDescent="0.3">
      <c r="M3616" s="5"/>
    </row>
    <row r="3617" spans="13:13" ht="15" customHeight="1" x14ac:dyDescent="0.3">
      <c r="M3617" s="5"/>
    </row>
    <row r="3618" spans="13:13" ht="15" customHeight="1" x14ac:dyDescent="0.3">
      <c r="M3618" s="5"/>
    </row>
    <row r="3619" spans="13:13" ht="15" customHeight="1" x14ac:dyDescent="0.3">
      <c r="M3619" s="5"/>
    </row>
    <row r="3620" spans="13:13" ht="15" customHeight="1" x14ac:dyDescent="0.3">
      <c r="M3620" s="5"/>
    </row>
    <row r="3621" spans="13:13" ht="15" customHeight="1" x14ac:dyDescent="0.3">
      <c r="M3621" s="5"/>
    </row>
    <row r="3622" spans="13:13" ht="15" customHeight="1" x14ac:dyDescent="0.3">
      <c r="M3622" s="5"/>
    </row>
    <row r="3623" spans="13:13" ht="15" customHeight="1" x14ac:dyDescent="0.3">
      <c r="M3623" s="5"/>
    </row>
    <row r="3624" spans="13:13" ht="15" customHeight="1" x14ac:dyDescent="0.3">
      <c r="M3624" s="5"/>
    </row>
    <row r="3625" spans="13:13" ht="15" customHeight="1" x14ac:dyDescent="0.3">
      <c r="M3625" s="5"/>
    </row>
    <row r="3626" spans="13:13" ht="15" customHeight="1" x14ac:dyDescent="0.3">
      <c r="M3626" s="5"/>
    </row>
    <row r="3627" spans="13:13" ht="15" customHeight="1" x14ac:dyDescent="0.3">
      <c r="M3627" s="5"/>
    </row>
    <row r="3628" spans="13:13" ht="15" customHeight="1" x14ac:dyDescent="0.3">
      <c r="M3628" s="5"/>
    </row>
    <row r="3629" spans="13:13" ht="15" customHeight="1" x14ac:dyDescent="0.3">
      <c r="M3629" s="5"/>
    </row>
    <row r="3630" spans="13:13" ht="15" customHeight="1" x14ac:dyDescent="0.3">
      <c r="M3630" s="5"/>
    </row>
    <row r="3631" spans="13:13" ht="15" customHeight="1" x14ac:dyDescent="0.3">
      <c r="M3631" s="5"/>
    </row>
    <row r="3632" spans="13:13" ht="15" customHeight="1" x14ac:dyDescent="0.3">
      <c r="M3632" s="5"/>
    </row>
    <row r="3633" spans="13:13" ht="15" customHeight="1" x14ac:dyDescent="0.3">
      <c r="M3633" s="5"/>
    </row>
    <row r="3634" spans="13:13" ht="15" customHeight="1" x14ac:dyDescent="0.3">
      <c r="M3634" s="5"/>
    </row>
    <row r="3635" spans="13:13" ht="15" customHeight="1" x14ac:dyDescent="0.3">
      <c r="M3635" s="5"/>
    </row>
    <row r="3636" spans="13:13" ht="15" customHeight="1" x14ac:dyDescent="0.3">
      <c r="M3636" s="5"/>
    </row>
    <row r="3637" spans="13:13" ht="15" customHeight="1" x14ac:dyDescent="0.3">
      <c r="M3637" s="5"/>
    </row>
    <row r="3638" spans="13:13" ht="15" customHeight="1" x14ac:dyDescent="0.3">
      <c r="M3638" s="5"/>
    </row>
    <row r="3639" spans="13:13" ht="15" customHeight="1" x14ac:dyDescent="0.3">
      <c r="M3639" s="5"/>
    </row>
    <row r="3640" spans="13:13" ht="15" customHeight="1" x14ac:dyDescent="0.3">
      <c r="M3640" s="5"/>
    </row>
    <row r="3641" spans="13:13" ht="15" customHeight="1" x14ac:dyDescent="0.3">
      <c r="M3641" s="5"/>
    </row>
    <row r="3642" spans="13:13" ht="15" customHeight="1" x14ac:dyDescent="0.3">
      <c r="M3642" s="5"/>
    </row>
    <row r="3643" spans="13:13" ht="15" customHeight="1" x14ac:dyDescent="0.3">
      <c r="M3643" s="5"/>
    </row>
    <row r="3644" spans="13:13" ht="15" customHeight="1" x14ac:dyDescent="0.3">
      <c r="M3644" s="5"/>
    </row>
    <row r="3645" spans="13:13" ht="15" customHeight="1" x14ac:dyDescent="0.3">
      <c r="M3645" s="5"/>
    </row>
    <row r="3646" spans="13:13" ht="15" customHeight="1" x14ac:dyDescent="0.3">
      <c r="M3646" s="5"/>
    </row>
    <row r="3647" spans="13:13" ht="15" customHeight="1" x14ac:dyDescent="0.3">
      <c r="M3647" s="5"/>
    </row>
    <row r="3648" spans="13:13" ht="15" customHeight="1" x14ac:dyDescent="0.3">
      <c r="M3648" s="5"/>
    </row>
    <row r="3649" spans="13:13" ht="15" customHeight="1" x14ac:dyDescent="0.3">
      <c r="M3649" s="5"/>
    </row>
    <row r="3650" spans="13:13" ht="15" customHeight="1" x14ac:dyDescent="0.3">
      <c r="M3650" s="5"/>
    </row>
    <row r="3651" spans="13:13" ht="15" customHeight="1" x14ac:dyDescent="0.3">
      <c r="M3651" s="5"/>
    </row>
    <row r="3652" spans="13:13" ht="15" customHeight="1" x14ac:dyDescent="0.3">
      <c r="M3652" s="5"/>
    </row>
    <row r="3653" spans="13:13" ht="15" customHeight="1" x14ac:dyDescent="0.3">
      <c r="M3653" s="5"/>
    </row>
    <row r="3654" spans="13:13" ht="15" customHeight="1" x14ac:dyDescent="0.3">
      <c r="M3654" s="5"/>
    </row>
    <row r="3655" spans="13:13" ht="15" customHeight="1" x14ac:dyDescent="0.3">
      <c r="M3655" s="5"/>
    </row>
    <row r="3656" spans="13:13" ht="15" customHeight="1" x14ac:dyDescent="0.3">
      <c r="M3656" s="5"/>
    </row>
    <row r="3657" spans="13:13" ht="15" customHeight="1" x14ac:dyDescent="0.3">
      <c r="M3657" s="5"/>
    </row>
    <row r="3658" spans="13:13" ht="15" customHeight="1" x14ac:dyDescent="0.3">
      <c r="M3658" s="5"/>
    </row>
    <row r="3659" spans="13:13" ht="15" customHeight="1" x14ac:dyDescent="0.3">
      <c r="M3659" s="5"/>
    </row>
    <row r="3660" spans="13:13" ht="15" customHeight="1" x14ac:dyDescent="0.3">
      <c r="M3660" s="5"/>
    </row>
    <row r="3661" spans="13:13" ht="15" customHeight="1" x14ac:dyDescent="0.3">
      <c r="M3661" s="5"/>
    </row>
    <row r="3662" spans="13:13" ht="15" customHeight="1" x14ac:dyDescent="0.3">
      <c r="M3662" s="5"/>
    </row>
    <row r="3663" spans="13:13" ht="15" customHeight="1" x14ac:dyDescent="0.3">
      <c r="M3663" s="5"/>
    </row>
    <row r="3664" spans="13:13" ht="15" customHeight="1" x14ac:dyDescent="0.3">
      <c r="M3664" s="5"/>
    </row>
    <row r="3665" spans="13:13" ht="15" customHeight="1" x14ac:dyDescent="0.3">
      <c r="M3665" s="5"/>
    </row>
    <row r="3666" spans="13:13" ht="15" customHeight="1" x14ac:dyDescent="0.3">
      <c r="M3666" s="5"/>
    </row>
    <row r="3667" spans="13:13" ht="15" customHeight="1" x14ac:dyDescent="0.3">
      <c r="M3667" s="5"/>
    </row>
    <row r="3668" spans="13:13" ht="15" customHeight="1" x14ac:dyDescent="0.3">
      <c r="M3668" s="5"/>
    </row>
    <row r="3669" spans="13:13" ht="15" customHeight="1" x14ac:dyDescent="0.3">
      <c r="M3669" s="5"/>
    </row>
    <row r="3670" spans="13:13" ht="15" customHeight="1" x14ac:dyDescent="0.3">
      <c r="M3670" s="5"/>
    </row>
    <row r="3671" spans="13:13" ht="15" customHeight="1" x14ac:dyDescent="0.3">
      <c r="M3671" s="5"/>
    </row>
    <row r="3672" spans="13:13" ht="15" customHeight="1" x14ac:dyDescent="0.3">
      <c r="M3672" s="5"/>
    </row>
    <row r="3673" spans="13:13" ht="15" customHeight="1" x14ac:dyDescent="0.3">
      <c r="M3673" s="5"/>
    </row>
    <row r="3674" spans="13:13" ht="15" customHeight="1" x14ac:dyDescent="0.3">
      <c r="M3674" s="5"/>
    </row>
    <row r="3675" spans="13:13" ht="15" customHeight="1" x14ac:dyDescent="0.3">
      <c r="M3675" s="5"/>
    </row>
    <row r="3676" spans="13:13" ht="15" customHeight="1" x14ac:dyDescent="0.3">
      <c r="M3676" s="5"/>
    </row>
    <row r="3677" spans="13:13" ht="15" customHeight="1" x14ac:dyDescent="0.3">
      <c r="M3677" s="5"/>
    </row>
    <row r="3678" spans="13:13" ht="15" customHeight="1" x14ac:dyDescent="0.3">
      <c r="M3678" s="5"/>
    </row>
    <row r="3679" spans="13:13" ht="15" customHeight="1" x14ac:dyDescent="0.3">
      <c r="M3679" s="5"/>
    </row>
    <row r="3680" spans="13:13" ht="15" customHeight="1" x14ac:dyDescent="0.3">
      <c r="M3680" s="5"/>
    </row>
    <row r="3681" spans="13:13" ht="15" customHeight="1" x14ac:dyDescent="0.3">
      <c r="M3681" s="5"/>
    </row>
    <row r="3682" spans="13:13" ht="15" customHeight="1" x14ac:dyDescent="0.3">
      <c r="M3682" s="5"/>
    </row>
    <row r="3683" spans="13:13" ht="15" customHeight="1" x14ac:dyDescent="0.3">
      <c r="M3683" s="5"/>
    </row>
    <row r="3684" spans="13:13" ht="15" customHeight="1" x14ac:dyDescent="0.3">
      <c r="M3684" s="5"/>
    </row>
    <row r="3685" spans="13:13" ht="15" customHeight="1" x14ac:dyDescent="0.3">
      <c r="M3685" s="5"/>
    </row>
    <row r="3686" spans="13:13" ht="15" customHeight="1" x14ac:dyDescent="0.3">
      <c r="M3686" s="5"/>
    </row>
    <row r="3687" spans="13:13" ht="15" customHeight="1" x14ac:dyDescent="0.3">
      <c r="M3687" s="5"/>
    </row>
    <row r="3688" spans="13:13" ht="15" customHeight="1" x14ac:dyDescent="0.3">
      <c r="M3688" s="5"/>
    </row>
    <row r="3689" spans="13:13" ht="15" customHeight="1" x14ac:dyDescent="0.3">
      <c r="M3689" s="5"/>
    </row>
    <row r="3690" spans="13:13" ht="15" customHeight="1" x14ac:dyDescent="0.3">
      <c r="M3690" s="5"/>
    </row>
    <row r="3691" spans="13:13" ht="15" customHeight="1" x14ac:dyDescent="0.3">
      <c r="M3691" s="5"/>
    </row>
    <row r="3692" spans="13:13" ht="15" customHeight="1" x14ac:dyDescent="0.3">
      <c r="M3692" s="5"/>
    </row>
    <row r="3693" spans="13:13" ht="15" customHeight="1" x14ac:dyDescent="0.3">
      <c r="M3693" s="5"/>
    </row>
    <row r="3694" spans="13:13" ht="15" customHeight="1" x14ac:dyDescent="0.3">
      <c r="M3694" s="5"/>
    </row>
    <row r="3695" spans="13:13" ht="15" customHeight="1" x14ac:dyDescent="0.3">
      <c r="M3695" s="5"/>
    </row>
    <row r="3696" spans="13:13" ht="15" customHeight="1" x14ac:dyDescent="0.3">
      <c r="M3696" s="5"/>
    </row>
    <row r="3697" spans="13:13" ht="15" customHeight="1" x14ac:dyDescent="0.3">
      <c r="M3697" s="5"/>
    </row>
    <row r="3698" spans="13:13" ht="15" customHeight="1" x14ac:dyDescent="0.3">
      <c r="M3698" s="5"/>
    </row>
    <row r="3699" spans="13:13" ht="15" customHeight="1" x14ac:dyDescent="0.3">
      <c r="M3699" s="5"/>
    </row>
    <row r="3700" spans="13:13" ht="15" customHeight="1" x14ac:dyDescent="0.3">
      <c r="M3700" s="5"/>
    </row>
    <row r="3701" spans="13:13" ht="15" customHeight="1" x14ac:dyDescent="0.3">
      <c r="M3701" s="5"/>
    </row>
    <row r="3702" spans="13:13" ht="15" customHeight="1" x14ac:dyDescent="0.3">
      <c r="M3702" s="5"/>
    </row>
    <row r="3703" spans="13:13" ht="15" customHeight="1" x14ac:dyDescent="0.3">
      <c r="M3703" s="5"/>
    </row>
    <row r="3704" spans="13:13" ht="15" customHeight="1" x14ac:dyDescent="0.3">
      <c r="M3704" s="5"/>
    </row>
    <row r="3705" spans="13:13" ht="15" customHeight="1" x14ac:dyDescent="0.3">
      <c r="M3705" s="5"/>
    </row>
    <row r="3706" spans="13:13" ht="15" customHeight="1" x14ac:dyDescent="0.3">
      <c r="M3706" s="5"/>
    </row>
    <row r="3707" spans="13:13" ht="15" customHeight="1" x14ac:dyDescent="0.3">
      <c r="M3707" s="5"/>
    </row>
    <row r="3708" spans="13:13" ht="15" customHeight="1" x14ac:dyDescent="0.3">
      <c r="M3708" s="5"/>
    </row>
    <row r="3709" spans="13:13" ht="15" customHeight="1" x14ac:dyDescent="0.3">
      <c r="M3709" s="5"/>
    </row>
    <row r="3710" spans="13:13" ht="15" customHeight="1" x14ac:dyDescent="0.3">
      <c r="M3710" s="5"/>
    </row>
    <row r="3711" spans="13:13" ht="15" customHeight="1" x14ac:dyDescent="0.3">
      <c r="M3711" s="5"/>
    </row>
    <row r="3712" spans="13:13" ht="15" customHeight="1" x14ac:dyDescent="0.3">
      <c r="M3712" s="5"/>
    </row>
    <row r="3713" spans="13:13" ht="15" customHeight="1" x14ac:dyDescent="0.3">
      <c r="M3713" s="5"/>
    </row>
    <row r="3714" spans="13:13" ht="15" customHeight="1" x14ac:dyDescent="0.3">
      <c r="M3714" s="5"/>
    </row>
    <row r="3715" spans="13:13" ht="15" customHeight="1" x14ac:dyDescent="0.3">
      <c r="M3715" s="5"/>
    </row>
    <row r="3716" spans="13:13" ht="15" customHeight="1" x14ac:dyDescent="0.3">
      <c r="M3716" s="5"/>
    </row>
    <row r="3717" spans="13:13" ht="15" customHeight="1" x14ac:dyDescent="0.3">
      <c r="M3717" s="5"/>
    </row>
    <row r="3718" spans="13:13" ht="15" customHeight="1" x14ac:dyDescent="0.3">
      <c r="M3718" s="5"/>
    </row>
    <row r="3719" spans="13:13" ht="15" customHeight="1" x14ac:dyDescent="0.3">
      <c r="M3719" s="5"/>
    </row>
    <row r="3720" spans="13:13" ht="15" customHeight="1" x14ac:dyDescent="0.3">
      <c r="M3720" s="5"/>
    </row>
    <row r="3721" spans="13:13" ht="15" customHeight="1" x14ac:dyDescent="0.3">
      <c r="M3721" s="5"/>
    </row>
    <row r="3722" spans="13:13" ht="15" customHeight="1" x14ac:dyDescent="0.3">
      <c r="M3722" s="5"/>
    </row>
    <row r="3723" spans="13:13" ht="15" customHeight="1" x14ac:dyDescent="0.3">
      <c r="M3723" s="5"/>
    </row>
    <row r="3724" spans="13:13" ht="15" customHeight="1" x14ac:dyDescent="0.3">
      <c r="M3724" s="5"/>
    </row>
    <row r="3725" spans="13:13" ht="15" customHeight="1" x14ac:dyDescent="0.3">
      <c r="M3725" s="5"/>
    </row>
    <row r="3726" spans="13:13" ht="15" customHeight="1" x14ac:dyDescent="0.3">
      <c r="M3726" s="5"/>
    </row>
    <row r="3727" spans="13:13" ht="15" customHeight="1" x14ac:dyDescent="0.3">
      <c r="M3727" s="5"/>
    </row>
    <row r="3728" spans="13:13" ht="15" customHeight="1" x14ac:dyDescent="0.3">
      <c r="M3728" s="5"/>
    </row>
    <row r="3729" spans="13:13" ht="15" customHeight="1" x14ac:dyDescent="0.3">
      <c r="M3729" s="5"/>
    </row>
    <row r="3730" spans="13:13" ht="15" customHeight="1" x14ac:dyDescent="0.3">
      <c r="M3730" s="5"/>
    </row>
    <row r="3731" spans="13:13" ht="15" customHeight="1" x14ac:dyDescent="0.3">
      <c r="M3731" s="5"/>
    </row>
    <row r="3732" spans="13:13" ht="15" customHeight="1" x14ac:dyDescent="0.3">
      <c r="M3732" s="5"/>
    </row>
    <row r="3733" spans="13:13" ht="15" customHeight="1" x14ac:dyDescent="0.3">
      <c r="M3733" s="5"/>
    </row>
    <row r="3734" spans="13:13" ht="15" customHeight="1" x14ac:dyDescent="0.3">
      <c r="M3734" s="5"/>
    </row>
    <row r="3735" spans="13:13" ht="15" customHeight="1" x14ac:dyDescent="0.3">
      <c r="M3735" s="5"/>
    </row>
    <row r="3736" spans="13:13" ht="15" customHeight="1" x14ac:dyDescent="0.3">
      <c r="M3736" s="5"/>
    </row>
    <row r="3737" spans="13:13" ht="15" customHeight="1" x14ac:dyDescent="0.3">
      <c r="M3737" s="5"/>
    </row>
    <row r="3738" spans="13:13" ht="15" customHeight="1" x14ac:dyDescent="0.3">
      <c r="M3738" s="5"/>
    </row>
    <row r="3739" spans="13:13" ht="15" customHeight="1" x14ac:dyDescent="0.3">
      <c r="M3739" s="5"/>
    </row>
    <row r="3740" spans="13:13" ht="15" customHeight="1" x14ac:dyDescent="0.3">
      <c r="M3740" s="5"/>
    </row>
    <row r="3741" spans="13:13" ht="15" customHeight="1" x14ac:dyDescent="0.3">
      <c r="M3741" s="5"/>
    </row>
    <row r="3742" spans="13:13" ht="15" customHeight="1" x14ac:dyDescent="0.3">
      <c r="M3742" s="5"/>
    </row>
    <row r="3743" spans="13:13" ht="15" customHeight="1" x14ac:dyDescent="0.3">
      <c r="M3743" s="5"/>
    </row>
    <row r="3744" spans="13:13" ht="15" customHeight="1" x14ac:dyDescent="0.3">
      <c r="M3744" s="5"/>
    </row>
    <row r="3745" spans="13:13" ht="15" customHeight="1" x14ac:dyDescent="0.3">
      <c r="M3745" s="5"/>
    </row>
    <row r="3746" spans="13:13" ht="15" customHeight="1" x14ac:dyDescent="0.3">
      <c r="M3746" s="5"/>
    </row>
    <row r="3747" spans="13:13" ht="15" customHeight="1" x14ac:dyDescent="0.3">
      <c r="M3747" s="5"/>
    </row>
    <row r="3748" spans="13:13" ht="15" customHeight="1" x14ac:dyDescent="0.3">
      <c r="M3748" s="5"/>
    </row>
    <row r="3749" spans="13:13" ht="15" customHeight="1" x14ac:dyDescent="0.3">
      <c r="M3749" s="5"/>
    </row>
    <row r="3750" spans="13:13" ht="15" customHeight="1" x14ac:dyDescent="0.3">
      <c r="M3750" s="5"/>
    </row>
    <row r="3751" spans="13:13" ht="15" customHeight="1" x14ac:dyDescent="0.3">
      <c r="M3751" s="5"/>
    </row>
    <row r="3752" spans="13:13" ht="15" customHeight="1" x14ac:dyDescent="0.3">
      <c r="M3752" s="5"/>
    </row>
    <row r="3753" spans="13:13" ht="15" customHeight="1" x14ac:dyDescent="0.3">
      <c r="M3753" s="5"/>
    </row>
    <row r="3754" spans="13:13" ht="15" customHeight="1" x14ac:dyDescent="0.3">
      <c r="M3754" s="5"/>
    </row>
    <row r="3755" spans="13:13" ht="15" customHeight="1" x14ac:dyDescent="0.3">
      <c r="M3755" s="5"/>
    </row>
    <row r="3756" spans="13:13" ht="15" customHeight="1" x14ac:dyDescent="0.3">
      <c r="M3756" s="5"/>
    </row>
    <row r="3757" spans="13:13" ht="15" customHeight="1" x14ac:dyDescent="0.3">
      <c r="M3757" s="5"/>
    </row>
    <row r="3758" spans="13:13" ht="15" customHeight="1" x14ac:dyDescent="0.3">
      <c r="M3758" s="5"/>
    </row>
    <row r="3759" spans="13:13" ht="15" customHeight="1" x14ac:dyDescent="0.3">
      <c r="M3759" s="5"/>
    </row>
    <row r="3760" spans="13:13" ht="15" customHeight="1" x14ac:dyDescent="0.3">
      <c r="M3760" s="5"/>
    </row>
    <row r="3761" spans="13:13" ht="15" customHeight="1" x14ac:dyDescent="0.3">
      <c r="M3761" s="5"/>
    </row>
    <row r="3762" spans="13:13" ht="15" customHeight="1" x14ac:dyDescent="0.3">
      <c r="M3762" s="5"/>
    </row>
    <row r="3763" spans="13:13" ht="15" customHeight="1" x14ac:dyDescent="0.3">
      <c r="M3763" s="5"/>
    </row>
    <row r="3764" spans="13:13" ht="15" customHeight="1" x14ac:dyDescent="0.3">
      <c r="M3764" s="5"/>
    </row>
    <row r="3765" spans="13:13" ht="15" customHeight="1" x14ac:dyDescent="0.3">
      <c r="M3765" s="5"/>
    </row>
    <row r="3766" spans="13:13" ht="15" customHeight="1" x14ac:dyDescent="0.3">
      <c r="M3766" s="5"/>
    </row>
    <row r="3767" spans="13:13" ht="15" customHeight="1" x14ac:dyDescent="0.3">
      <c r="M3767" s="5"/>
    </row>
    <row r="3768" spans="13:13" ht="15" customHeight="1" x14ac:dyDescent="0.3">
      <c r="M3768" s="5"/>
    </row>
    <row r="3769" spans="13:13" ht="15" customHeight="1" x14ac:dyDescent="0.3">
      <c r="M3769" s="5"/>
    </row>
    <row r="3770" spans="13:13" ht="15" customHeight="1" x14ac:dyDescent="0.3">
      <c r="M3770" s="5"/>
    </row>
    <row r="3771" spans="13:13" ht="15" customHeight="1" x14ac:dyDescent="0.3">
      <c r="M3771" s="5"/>
    </row>
    <row r="3772" spans="13:13" ht="15" customHeight="1" x14ac:dyDescent="0.3">
      <c r="M3772" s="5"/>
    </row>
    <row r="3773" spans="13:13" ht="15" customHeight="1" x14ac:dyDescent="0.3">
      <c r="M3773" s="5"/>
    </row>
    <row r="3774" spans="13:13" ht="15" customHeight="1" x14ac:dyDescent="0.3">
      <c r="M3774" s="5"/>
    </row>
    <row r="3775" spans="13:13" ht="15" customHeight="1" x14ac:dyDescent="0.3">
      <c r="M3775" s="5"/>
    </row>
    <row r="3776" spans="13:13" ht="15" customHeight="1" x14ac:dyDescent="0.3">
      <c r="M3776" s="5"/>
    </row>
    <row r="3777" spans="13:13" ht="15" customHeight="1" x14ac:dyDescent="0.3">
      <c r="M3777" s="5"/>
    </row>
    <row r="3778" spans="13:13" ht="15" customHeight="1" x14ac:dyDescent="0.3">
      <c r="M3778" s="5"/>
    </row>
    <row r="3779" spans="13:13" ht="15" customHeight="1" x14ac:dyDescent="0.3">
      <c r="M3779" s="5"/>
    </row>
    <row r="3780" spans="13:13" ht="15" customHeight="1" x14ac:dyDescent="0.3">
      <c r="M3780" s="5"/>
    </row>
    <row r="3781" spans="13:13" ht="15" customHeight="1" x14ac:dyDescent="0.3">
      <c r="M3781" s="5"/>
    </row>
    <row r="3782" spans="13:13" ht="15" customHeight="1" x14ac:dyDescent="0.3">
      <c r="M3782" s="5"/>
    </row>
    <row r="3783" spans="13:13" ht="15" customHeight="1" x14ac:dyDescent="0.3">
      <c r="M3783" s="5"/>
    </row>
    <row r="3784" spans="13:13" ht="15" customHeight="1" x14ac:dyDescent="0.3">
      <c r="M3784" s="5"/>
    </row>
    <row r="3785" spans="13:13" ht="15" customHeight="1" x14ac:dyDescent="0.3">
      <c r="M3785" s="5"/>
    </row>
    <row r="3786" spans="13:13" ht="15" customHeight="1" x14ac:dyDescent="0.3">
      <c r="M3786" s="5"/>
    </row>
    <row r="3787" spans="13:13" ht="15" customHeight="1" x14ac:dyDescent="0.3">
      <c r="M3787" s="5"/>
    </row>
    <row r="3788" spans="13:13" ht="15" customHeight="1" x14ac:dyDescent="0.3">
      <c r="M3788" s="5"/>
    </row>
    <row r="3789" spans="13:13" ht="15" customHeight="1" x14ac:dyDescent="0.3">
      <c r="M3789" s="5"/>
    </row>
    <row r="3790" spans="13:13" ht="15" customHeight="1" x14ac:dyDescent="0.3">
      <c r="M3790" s="5"/>
    </row>
    <row r="3791" spans="13:13" ht="15" customHeight="1" x14ac:dyDescent="0.3">
      <c r="M3791" s="5"/>
    </row>
    <row r="3792" spans="13:13" ht="15" customHeight="1" x14ac:dyDescent="0.3">
      <c r="M3792" s="5"/>
    </row>
    <row r="3793" spans="13:13" ht="15" customHeight="1" x14ac:dyDescent="0.3">
      <c r="M3793" s="5"/>
    </row>
    <row r="3794" spans="13:13" ht="15" customHeight="1" x14ac:dyDescent="0.3">
      <c r="M3794" s="5"/>
    </row>
    <row r="3795" spans="13:13" ht="15" customHeight="1" x14ac:dyDescent="0.3">
      <c r="M3795" s="5"/>
    </row>
    <row r="3796" spans="13:13" ht="15" customHeight="1" x14ac:dyDescent="0.3">
      <c r="M3796" s="5"/>
    </row>
    <row r="3797" spans="13:13" ht="15" customHeight="1" x14ac:dyDescent="0.3">
      <c r="M3797" s="5"/>
    </row>
    <row r="3798" spans="13:13" ht="15" customHeight="1" x14ac:dyDescent="0.3">
      <c r="M3798" s="5"/>
    </row>
    <row r="3799" spans="13:13" ht="15" customHeight="1" x14ac:dyDescent="0.3">
      <c r="M3799" s="5"/>
    </row>
    <row r="3800" spans="13:13" ht="15" customHeight="1" x14ac:dyDescent="0.3">
      <c r="M3800" s="5"/>
    </row>
    <row r="3801" spans="13:13" ht="15" customHeight="1" x14ac:dyDescent="0.3">
      <c r="M3801" s="5"/>
    </row>
    <row r="3802" spans="13:13" ht="15" customHeight="1" x14ac:dyDescent="0.3">
      <c r="M3802" s="5"/>
    </row>
    <row r="3803" spans="13:13" ht="15" customHeight="1" x14ac:dyDescent="0.3">
      <c r="M3803" s="5"/>
    </row>
    <row r="3804" spans="13:13" ht="15" customHeight="1" x14ac:dyDescent="0.3">
      <c r="M3804" s="5"/>
    </row>
    <row r="3805" spans="13:13" ht="15" customHeight="1" x14ac:dyDescent="0.3">
      <c r="M3805" s="5"/>
    </row>
    <row r="3806" spans="13:13" ht="15" customHeight="1" x14ac:dyDescent="0.3">
      <c r="M3806" s="5"/>
    </row>
    <row r="3807" spans="13:13" ht="15" customHeight="1" x14ac:dyDescent="0.3">
      <c r="M3807" s="5"/>
    </row>
    <row r="3808" spans="13:13" ht="15" customHeight="1" x14ac:dyDescent="0.3">
      <c r="M3808" s="5"/>
    </row>
    <row r="3809" spans="13:13" ht="15" customHeight="1" x14ac:dyDescent="0.3">
      <c r="M3809" s="5"/>
    </row>
    <row r="3810" spans="13:13" ht="15" customHeight="1" x14ac:dyDescent="0.3">
      <c r="M3810" s="5"/>
    </row>
    <row r="3811" spans="13:13" ht="15" customHeight="1" x14ac:dyDescent="0.3">
      <c r="M3811" s="5"/>
    </row>
    <row r="3812" spans="13:13" ht="15" customHeight="1" x14ac:dyDescent="0.3">
      <c r="M3812" s="5"/>
    </row>
    <row r="3813" spans="13:13" ht="15" customHeight="1" x14ac:dyDescent="0.3">
      <c r="M3813" s="5"/>
    </row>
    <row r="3814" spans="13:13" ht="15" customHeight="1" x14ac:dyDescent="0.3">
      <c r="M3814" s="5"/>
    </row>
    <row r="3815" spans="13:13" ht="15" customHeight="1" x14ac:dyDescent="0.3">
      <c r="M3815" s="5"/>
    </row>
    <row r="3816" spans="13:13" ht="15" customHeight="1" x14ac:dyDescent="0.3">
      <c r="M3816" s="5"/>
    </row>
    <row r="3817" spans="13:13" ht="15" customHeight="1" x14ac:dyDescent="0.3">
      <c r="M3817" s="5"/>
    </row>
    <row r="3818" spans="13:13" ht="15" customHeight="1" x14ac:dyDescent="0.3">
      <c r="M3818" s="5"/>
    </row>
    <row r="3819" spans="13:13" ht="15" customHeight="1" x14ac:dyDescent="0.3">
      <c r="M3819" s="5"/>
    </row>
    <row r="3820" spans="13:13" ht="15" customHeight="1" x14ac:dyDescent="0.3">
      <c r="M3820" s="5"/>
    </row>
    <row r="3821" spans="13:13" ht="15" customHeight="1" x14ac:dyDescent="0.3">
      <c r="M3821" s="5"/>
    </row>
    <row r="3822" spans="13:13" ht="15" customHeight="1" x14ac:dyDescent="0.3">
      <c r="M3822" s="5"/>
    </row>
    <row r="3823" spans="13:13" ht="15" customHeight="1" x14ac:dyDescent="0.3">
      <c r="M3823" s="5"/>
    </row>
    <row r="3824" spans="13:13" ht="15" customHeight="1" x14ac:dyDescent="0.3">
      <c r="M3824" s="5"/>
    </row>
    <row r="3825" spans="13:13" ht="15" customHeight="1" x14ac:dyDescent="0.3">
      <c r="M3825" s="5"/>
    </row>
    <row r="3826" spans="13:13" ht="15" customHeight="1" x14ac:dyDescent="0.3">
      <c r="M3826" s="5"/>
    </row>
    <row r="3827" spans="13:13" ht="15" customHeight="1" x14ac:dyDescent="0.3">
      <c r="M3827" s="5"/>
    </row>
    <row r="3828" spans="13:13" ht="15" customHeight="1" x14ac:dyDescent="0.3">
      <c r="M3828" s="5"/>
    </row>
    <row r="3829" spans="13:13" ht="15" customHeight="1" x14ac:dyDescent="0.3">
      <c r="M3829" s="5"/>
    </row>
    <row r="3830" spans="13:13" ht="15" customHeight="1" x14ac:dyDescent="0.3">
      <c r="M3830" s="5"/>
    </row>
    <row r="3831" spans="13:13" ht="15" customHeight="1" x14ac:dyDescent="0.3">
      <c r="M3831" s="5"/>
    </row>
    <row r="3832" spans="13:13" ht="15" customHeight="1" x14ac:dyDescent="0.3">
      <c r="M3832" s="5"/>
    </row>
    <row r="3833" spans="13:13" ht="15" customHeight="1" x14ac:dyDescent="0.3">
      <c r="M3833" s="5"/>
    </row>
    <row r="3834" spans="13:13" ht="15" customHeight="1" x14ac:dyDescent="0.3">
      <c r="M3834" s="5"/>
    </row>
    <row r="3835" spans="13:13" ht="15" customHeight="1" x14ac:dyDescent="0.3">
      <c r="M3835" s="5"/>
    </row>
    <row r="3836" spans="13:13" ht="15" customHeight="1" x14ac:dyDescent="0.3">
      <c r="M3836" s="5"/>
    </row>
    <row r="3837" spans="13:13" ht="15" customHeight="1" x14ac:dyDescent="0.3">
      <c r="M3837" s="5"/>
    </row>
    <row r="3838" spans="13:13" ht="15" customHeight="1" x14ac:dyDescent="0.3">
      <c r="M3838" s="5"/>
    </row>
    <row r="3839" spans="13:13" ht="15" customHeight="1" x14ac:dyDescent="0.3">
      <c r="M3839" s="5"/>
    </row>
    <row r="3840" spans="13:13" ht="15" customHeight="1" x14ac:dyDescent="0.3">
      <c r="M3840" s="5"/>
    </row>
    <row r="3841" spans="13:13" ht="15" customHeight="1" x14ac:dyDescent="0.3">
      <c r="M3841" s="5"/>
    </row>
    <row r="3842" spans="13:13" ht="15" customHeight="1" x14ac:dyDescent="0.3">
      <c r="M3842" s="5"/>
    </row>
    <row r="3843" spans="13:13" ht="15" customHeight="1" x14ac:dyDescent="0.3">
      <c r="M3843" s="5"/>
    </row>
    <row r="3844" spans="13:13" ht="15" customHeight="1" x14ac:dyDescent="0.3">
      <c r="M3844" s="5"/>
    </row>
    <row r="3845" spans="13:13" ht="15" customHeight="1" x14ac:dyDescent="0.3">
      <c r="M3845" s="5"/>
    </row>
    <row r="3846" spans="13:13" ht="15" customHeight="1" x14ac:dyDescent="0.3">
      <c r="M3846" s="5"/>
    </row>
    <row r="3847" spans="13:13" ht="15" customHeight="1" x14ac:dyDescent="0.3">
      <c r="M3847" s="5"/>
    </row>
    <row r="3848" spans="13:13" ht="15" customHeight="1" x14ac:dyDescent="0.3">
      <c r="M3848" s="5"/>
    </row>
    <row r="3849" spans="13:13" ht="15" customHeight="1" x14ac:dyDescent="0.3">
      <c r="M3849" s="5"/>
    </row>
    <row r="3850" spans="13:13" ht="15" customHeight="1" x14ac:dyDescent="0.3">
      <c r="M3850" s="5"/>
    </row>
    <row r="3851" spans="13:13" ht="15" customHeight="1" x14ac:dyDescent="0.3">
      <c r="M3851" s="5"/>
    </row>
    <row r="3852" spans="13:13" ht="15" customHeight="1" x14ac:dyDescent="0.3">
      <c r="M3852" s="5"/>
    </row>
    <row r="3853" spans="13:13" ht="15" customHeight="1" x14ac:dyDescent="0.3">
      <c r="M3853" s="5"/>
    </row>
    <row r="3854" spans="13:13" ht="15" customHeight="1" x14ac:dyDescent="0.3">
      <c r="M3854" s="5"/>
    </row>
    <row r="3855" spans="13:13" ht="15" customHeight="1" x14ac:dyDescent="0.3">
      <c r="M3855" s="5"/>
    </row>
    <row r="3856" spans="13:13" ht="15" customHeight="1" x14ac:dyDescent="0.3">
      <c r="M3856" s="5"/>
    </row>
    <row r="3857" spans="13:13" ht="15" customHeight="1" x14ac:dyDescent="0.3">
      <c r="M3857" s="5"/>
    </row>
    <row r="3858" spans="13:13" ht="15" customHeight="1" x14ac:dyDescent="0.3">
      <c r="M3858" s="5"/>
    </row>
    <row r="3859" spans="13:13" ht="15" customHeight="1" x14ac:dyDescent="0.3">
      <c r="M3859" s="5"/>
    </row>
    <row r="3860" spans="13:13" ht="15" customHeight="1" x14ac:dyDescent="0.3">
      <c r="M3860" s="5"/>
    </row>
    <row r="3861" spans="13:13" ht="15" customHeight="1" x14ac:dyDescent="0.3">
      <c r="M3861" s="5"/>
    </row>
    <row r="3862" spans="13:13" ht="15" customHeight="1" x14ac:dyDescent="0.3">
      <c r="M3862" s="5"/>
    </row>
    <row r="3863" spans="13:13" ht="15" customHeight="1" x14ac:dyDescent="0.3">
      <c r="M3863" s="5"/>
    </row>
    <row r="3864" spans="13:13" ht="15" customHeight="1" x14ac:dyDescent="0.3">
      <c r="M3864" s="5"/>
    </row>
    <row r="3865" spans="13:13" ht="15" customHeight="1" x14ac:dyDescent="0.3">
      <c r="M3865" s="5"/>
    </row>
    <row r="3866" spans="13:13" ht="15" customHeight="1" x14ac:dyDescent="0.3">
      <c r="M3866" s="5"/>
    </row>
    <row r="3867" spans="13:13" ht="15" customHeight="1" x14ac:dyDescent="0.3">
      <c r="M3867" s="5"/>
    </row>
    <row r="3868" spans="13:13" ht="15" customHeight="1" x14ac:dyDescent="0.3">
      <c r="M3868" s="5"/>
    </row>
    <row r="3869" spans="13:13" ht="15" customHeight="1" x14ac:dyDescent="0.3">
      <c r="M3869" s="5"/>
    </row>
    <row r="3870" spans="13:13" ht="15" customHeight="1" x14ac:dyDescent="0.3">
      <c r="M3870" s="5"/>
    </row>
    <row r="3871" spans="13:13" ht="15" customHeight="1" x14ac:dyDescent="0.3">
      <c r="M3871" s="5"/>
    </row>
    <row r="3872" spans="13:13" ht="15" customHeight="1" x14ac:dyDescent="0.3">
      <c r="M3872" s="5"/>
    </row>
    <row r="3873" spans="13:13" ht="15" customHeight="1" x14ac:dyDescent="0.3">
      <c r="M3873" s="5"/>
    </row>
    <row r="3874" spans="13:13" ht="15" customHeight="1" x14ac:dyDescent="0.3">
      <c r="M3874" s="5"/>
    </row>
    <row r="3875" spans="13:13" ht="15" customHeight="1" x14ac:dyDescent="0.3">
      <c r="M3875" s="5"/>
    </row>
    <row r="3876" spans="13:13" ht="15" customHeight="1" x14ac:dyDescent="0.3">
      <c r="M3876" s="5"/>
    </row>
    <row r="3877" spans="13:13" ht="15" customHeight="1" x14ac:dyDescent="0.3">
      <c r="M3877" s="5"/>
    </row>
    <row r="3878" spans="13:13" ht="15" customHeight="1" x14ac:dyDescent="0.3">
      <c r="M3878" s="5"/>
    </row>
    <row r="3879" spans="13:13" ht="15" customHeight="1" x14ac:dyDescent="0.3">
      <c r="M3879" s="5"/>
    </row>
    <row r="3880" spans="13:13" ht="15" customHeight="1" x14ac:dyDescent="0.3">
      <c r="M3880" s="5"/>
    </row>
    <row r="3881" spans="13:13" ht="15" customHeight="1" x14ac:dyDescent="0.3">
      <c r="M3881" s="5"/>
    </row>
    <row r="3882" spans="13:13" ht="15" customHeight="1" x14ac:dyDescent="0.3">
      <c r="M3882" s="5"/>
    </row>
    <row r="3883" spans="13:13" ht="15" customHeight="1" x14ac:dyDescent="0.3">
      <c r="M3883" s="5"/>
    </row>
    <row r="3884" spans="13:13" ht="15" customHeight="1" x14ac:dyDescent="0.3">
      <c r="M3884" s="5"/>
    </row>
    <row r="3885" spans="13:13" ht="15" customHeight="1" x14ac:dyDescent="0.3">
      <c r="M3885" s="5"/>
    </row>
    <row r="3886" spans="13:13" ht="15" customHeight="1" x14ac:dyDescent="0.3">
      <c r="M3886" s="5"/>
    </row>
    <row r="3887" spans="13:13" ht="15" customHeight="1" x14ac:dyDescent="0.3">
      <c r="M3887" s="5"/>
    </row>
    <row r="3888" spans="13:13" ht="15" customHeight="1" x14ac:dyDescent="0.3">
      <c r="M3888" s="5"/>
    </row>
    <row r="3889" spans="13:13" ht="15" customHeight="1" x14ac:dyDescent="0.3">
      <c r="M3889" s="5"/>
    </row>
    <row r="3890" spans="13:13" ht="15" customHeight="1" x14ac:dyDescent="0.3">
      <c r="M3890" s="5"/>
    </row>
    <row r="3891" spans="13:13" ht="15" customHeight="1" x14ac:dyDescent="0.3">
      <c r="M3891" s="5"/>
    </row>
    <row r="3892" spans="13:13" ht="15" customHeight="1" x14ac:dyDescent="0.3">
      <c r="M3892" s="5"/>
    </row>
    <row r="3893" spans="13:13" ht="15" customHeight="1" x14ac:dyDescent="0.3">
      <c r="M3893" s="5"/>
    </row>
    <row r="3894" spans="13:13" ht="15" customHeight="1" x14ac:dyDescent="0.3">
      <c r="M3894" s="5"/>
    </row>
    <row r="3895" spans="13:13" ht="15" customHeight="1" x14ac:dyDescent="0.3">
      <c r="M3895" s="5"/>
    </row>
    <row r="3896" spans="13:13" ht="15" customHeight="1" x14ac:dyDescent="0.3">
      <c r="M3896" s="5"/>
    </row>
    <row r="3897" spans="13:13" ht="15" customHeight="1" x14ac:dyDescent="0.3">
      <c r="M3897" s="5"/>
    </row>
    <row r="3898" spans="13:13" ht="15" customHeight="1" x14ac:dyDescent="0.3">
      <c r="M3898" s="5"/>
    </row>
    <row r="3899" spans="13:13" ht="15" customHeight="1" x14ac:dyDescent="0.3">
      <c r="M3899" s="5"/>
    </row>
    <row r="3900" spans="13:13" ht="15" customHeight="1" x14ac:dyDescent="0.3">
      <c r="M3900" s="5"/>
    </row>
    <row r="3901" spans="13:13" ht="15" customHeight="1" x14ac:dyDescent="0.3">
      <c r="M3901" s="5"/>
    </row>
    <row r="3902" spans="13:13" ht="15" customHeight="1" x14ac:dyDescent="0.3">
      <c r="M3902" s="5"/>
    </row>
    <row r="3903" spans="13:13" ht="15" customHeight="1" x14ac:dyDescent="0.3">
      <c r="M3903" s="5"/>
    </row>
    <row r="3904" spans="13:13" ht="15" customHeight="1" x14ac:dyDescent="0.3">
      <c r="M3904" s="5"/>
    </row>
    <row r="3905" spans="13:13" ht="15" customHeight="1" x14ac:dyDescent="0.3">
      <c r="M3905" s="5"/>
    </row>
    <row r="3906" spans="13:13" ht="15" customHeight="1" x14ac:dyDescent="0.3">
      <c r="M3906" s="5"/>
    </row>
    <row r="3907" spans="13:13" ht="15" customHeight="1" x14ac:dyDescent="0.3">
      <c r="M3907" s="5"/>
    </row>
    <row r="3908" spans="13:13" ht="15" customHeight="1" x14ac:dyDescent="0.3">
      <c r="M3908" s="5"/>
    </row>
    <row r="3909" spans="13:13" ht="15" customHeight="1" x14ac:dyDescent="0.3">
      <c r="M3909" s="5"/>
    </row>
    <row r="3910" spans="13:13" ht="15" customHeight="1" x14ac:dyDescent="0.3">
      <c r="M3910" s="5"/>
    </row>
    <row r="3911" spans="13:13" ht="15" customHeight="1" x14ac:dyDescent="0.3">
      <c r="M3911" s="5"/>
    </row>
    <row r="3912" spans="13:13" ht="15" customHeight="1" x14ac:dyDescent="0.3">
      <c r="M3912" s="5"/>
    </row>
    <row r="3913" spans="13:13" ht="15" customHeight="1" x14ac:dyDescent="0.3">
      <c r="M3913" s="5"/>
    </row>
    <row r="3914" spans="13:13" ht="15" customHeight="1" x14ac:dyDescent="0.3">
      <c r="M3914" s="5"/>
    </row>
    <row r="3915" spans="13:13" ht="15" customHeight="1" x14ac:dyDescent="0.3">
      <c r="M3915" s="5"/>
    </row>
    <row r="3916" spans="13:13" ht="15" customHeight="1" x14ac:dyDescent="0.3">
      <c r="M3916" s="5"/>
    </row>
    <row r="3917" spans="13:13" ht="15" customHeight="1" x14ac:dyDescent="0.3">
      <c r="M3917" s="5"/>
    </row>
    <row r="3918" spans="13:13" ht="15" customHeight="1" x14ac:dyDescent="0.3">
      <c r="M3918" s="5"/>
    </row>
    <row r="3919" spans="13:13" ht="15" customHeight="1" x14ac:dyDescent="0.3">
      <c r="M3919" s="5"/>
    </row>
    <row r="3920" spans="13:13" ht="15" customHeight="1" x14ac:dyDescent="0.3">
      <c r="M3920" s="5"/>
    </row>
    <row r="3921" spans="13:13" ht="15" customHeight="1" x14ac:dyDescent="0.3">
      <c r="M3921" s="5"/>
    </row>
    <row r="3922" spans="13:13" ht="15" customHeight="1" x14ac:dyDescent="0.3">
      <c r="M3922" s="5"/>
    </row>
    <row r="3923" spans="13:13" ht="15" customHeight="1" x14ac:dyDescent="0.3">
      <c r="M3923" s="5"/>
    </row>
    <row r="3924" spans="13:13" ht="15" customHeight="1" x14ac:dyDescent="0.3">
      <c r="M3924" s="5"/>
    </row>
    <row r="3925" spans="13:13" ht="15" customHeight="1" x14ac:dyDescent="0.3">
      <c r="M3925" s="5"/>
    </row>
    <row r="3926" spans="13:13" ht="15" customHeight="1" x14ac:dyDescent="0.3">
      <c r="M3926" s="5"/>
    </row>
    <row r="3927" spans="13:13" ht="15" customHeight="1" x14ac:dyDescent="0.3">
      <c r="M3927" s="5"/>
    </row>
    <row r="3928" spans="13:13" ht="15" customHeight="1" x14ac:dyDescent="0.3">
      <c r="M3928" s="5"/>
    </row>
    <row r="3929" spans="13:13" ht="15" customHeight="1" x14ac:dyDescent="0.3">
      <c r="M3929" s="5"/>
    </row>
    <row r="3930" spans="13:13" ht="15" customHeight="1" x14ac:dyDescent="0.3">
      <c r="M3930" s="5"/>
    </row>
    <row r="3931" spans="13:13" ht="15" customHeight="1" x14ac:dyDescent="0.3">
      <c r="M3931" s="5"/>
    </row>
    <row r="3932" spans="13:13" ht="15" customHeight="1" x14ac:dyDescent="0.3">
      <c r="M3932" s="5"/>
    </row>
    <row r="3933" spans="13:13" ht="15" customHeight="1" x14ac:dyDescent="0.3">
      <c r="M3933" s="5"/>
    </row>
    <row r="3934" spans="13:13" ht="15" customHeight="1" x14ac:dyDescent="0.3">
      <c r="M3934" s="5"/>
    </row>
    <row r="3935" spans="13:13" ht="15" customHeight="1" x14ac:dyDescent="0.3">
      <c r="M3935" s="5"/>
    </row>
    <row r="3936" spans="13:13" ht="15" customHeight="1" x14ac:dyDescent="0.3">
      <c r="M3936" s="5"/>
    </row>
    <row r="3937" spans="13:13" ht="15" customHeight="1" x14ac:dyDescent="0.3">
      <c r="M3937" s="5"/>
    </row>
    <row r="3938" spans="13:13" ht="15" customHeight="1" x14ac:dyDescent="0.3">
      <c r="M3938" s="5"/>
    </row>
    <row r="3939" spans="13:13" ht="15" customHeight="1" x14ac:dyDescent="0.3">
      <c r="M3939" s="5"/>
    </row>
    <row r="3940" spans="13:13" ht="15" customHeight="1" x14ac:dyDescent="0.3">
      <c r="M3940" s="5"/>
    </row>
    <row r="3941" spans="13:13" ht="15" customHeight="1" x14ac:dyDescent="0.3">
      <c r="M3941" s="5"/>
    </row>
    <row r="3942" spans="13:13" ht="15" customHeight="1" x14ac:dyDescent="0.3">
      <c r="M3942" s="5"/>
    </row>
    <row r="3943" spans="13:13" ht="15" customHeight="1" x14ac:dyDescent="0.3">
      <c r="M3943" s="5"/>
    </row>
    <row r="3944" spans="13:13" ht="15" customHeight="1" x14ac:dyDescent="0.3">
      <c r="M3944" s="5"/>
    </row>
    <row r="3945" spans="13:13" ht="15" customHeight="1" x14ac:dyDescent="0.3">
      <c r="M3945" s="5"/>
    </row>
    <row r="3946" spans="13:13" ht="15" customHeight="1" x14ac:dyDescent="0.3">
      <c r="M3946" s="5"/>
    </row>
    <row r="3947" spans="13:13" ht="15" customHeight="1" x14ac:dyDescent="0.3">
      <c r="M3947" s="5"/>
    </row>
    <row r="3948" spans="13:13" ht="15" customHeight="1" x14ac:dyDescent="0.3">
      <c r="M3948" s="5"/>
    </row>
    <row r="3949" spans="13:13" ht="15" customHeight="1" x14ac:dyDescent="0.3">
      <c r="M3949" s="5"/>
    </row>
    <row r="3950" spans="13:13" ht="15" customHeight="1" x14ac:dyDescent="0.3">
      <c r="M3950" s="5"/>
    </row>
    <row r="3951" spans="13:13" ht="15" customHeight="1" x14ac:dyDescent="0.3">
      <c r="M3951" s="5"/>
    </row>
    <row r="3952" spans="13:13" ht="15" customHeight="1" x14ac:dyDescent="0.3">
      <c r="M3952" s="5"/>
    </row>
    <row r="3953" spans="13:13" ht="15" customHeight="1" x14ac:dyDescent="0.3">
      <c r="M3953" s="5"/>
    </row>
    <row r="3954" spans="13:13" ht="15" customHeight="1" x14ac:dyDescent="0.3">
      <c r="M3954" s="5"/>
    </row>
    <row r="3955" spans="13:13" ht="15" customHeight="1" x14ac:dyDescent="0.3">
      <c r="M3955" s="5"/>
    </row>
    <row r="3956" spans="13:13" ht="15" customHeight="1" x14ac:dyDescent="0.3">
      <c r="M3956" s="5"/>
    </row>
    <row r="3957" spans="13:13" ht="15" customHeight="1" x14ac:dyDescent="0.3">
      <c r="M3957" s="5"/>
    </row>
    <row r="3958" spans="13:13" ht="15" customHeight="1" x14ac:dyDescent="0.3">
      <c r="M3958" s="5"/>
    </row>
    <row r="3959" spans="13:13" ht="15" customHeight="1" x14ac:dyDescent="0.3">
      <c r="M3959" s="5"/>
    </row>
    <row r="3960" spans="13:13" ht="15" customHeight="1" x14ac:dyDescent="0.3">
      <c r="M3960" s="5"/>
    </row>
    <row r="3961" spans="13:13" ht="15" customHeight="1" x14ac:dyDescent="0.3">
      <c r="M3961" s="5"/>
    </row>
    <row r="3962" spans="13:13" ht="15" customHeight="1" x14ac:dyDescent="0.3">
      <c r="M3962" s="5"/>
    </row>
    <row r="3963" spans="13:13" ht="15" customHeight="1" x14ac:dyDescent="0.3">
      <c r="M3963" s="5"/>
    </row>
    <row r="3964" spans="13:13" ht="15" customHeight="1" x14ac:dyDescent="0.3">
      <c r="M3964" s="5"/>
    </row>
    <row r="3965" spans="13:13" ht="15" customHeight="1" x14ac:dyDescent="0.3">
      <c r="M3965" s="5"/>
    </row>
    <row r="3966" spans="13:13" ht="15" customHeight="1" x14ac:dyDescent="0.3">
      <c r="M3966" s="5"/>
    </row>
    <row r="3967" spans="13:13" ht="15" customHeight="1" x14ac:dyDescent="0.3">
      <c r="M3967" s="5"/>
    </row>
    <row r="3968" spans="13:13" ht="15" customHeight="1" x14ac:dyDescent="0.3">
      <c r="M3968" s="5"/>
    </row>
    <row r="3969" spans="13:13" ht="15" customHeight="1" x14ac:dyDescent="0.3">
      <c r="M3969" s="5"/>
    </row>
    <row r="3970" spans="13:13" ht="15" customHeight="1" x14ac:dyDescent="0.3">
      <c r="M3970" s="5"/>
    </row>
    <row r="3971" spans="13:13" ht="15" customHeight="1" x14ac:dyDescent="0.3">
      <c r="M3971" s="5"/>
    </row>
    <row r="3972" spans="13:13" ht="15" customHeight="1" x14ac:dyDescent="0.3">
      <c r="M3972" s="5"/>
    </row>
    <row r="3973" spans="13:13" ht="15" customHeight="1" x14ac:dyDescent="0.3">
      <c r="M3973" s="5"/>
    </row>
    <row r="3974" spans="13:13" ht="15" customHeight="1" x14ac:dyDescent="0.3">
      <c r="M3974" s="5"/>
    </row>
    <row r="3975" spans="13:13" ht="15" customHeight="1" x14ac:dyDescent="0.3">
      <c r="M3975" s="5"/>
    </row>
    <row r="3976" spans="13:13" ht="15" customHeight="1" x14ac:dyDescent="0.3">
      <c r="M3976" s="5"/>
    </row>
    <row r="3977" spans="13:13" ht="15" customHeight="1" x14ac:dyDescent="0.3">
      <c r="M3977" s="5"/>
    </row>
    <row r="3978" spans="13:13" ht="15" customHeight="1" x14ac:dyDescent="0.3">
      <c r="M3978" s="5"/>
    </row>
    <row r="3979" spans="13:13" ht="15" customHeight="1" x14ac:dyDescent="0.3">
      <c r="M3979" s="5"/>
    </row>
    <row r="3980" spans="13:13" ht="15" customHeight="1" x14ac:dyDescent="0.3">
      <c r="M3980" s="5"/>
    </row>
    <row r="3981" spans="13:13" ht="15" customHeight="1" x14ac:dyDescent="0.3">
      <c r="M3981" s="5"/>
    </row>
    <row r="3982" spans="13:13" ht="15" customHeight="1" x14ac:dyDescent="0.3">
      <c r="M3982" s="5"/>
    </row>
    <row r="3983" spans="13:13" ht="15" customHeight="1" x14ac:dyDescent="0.3">
      <c r="M3983" s="5"/>
    </row>
    <row r="3984" spans="13:13" ht="15" customHeight="1" x14ac:dyDescent="0.3">
      <c r="M3984" s="5"/>
    </row>
    <row r="3985" spans="13:13" ht="15" customHeight="1" x14ac:dyDescent="0.3">
      <c r="M3985" s="5"/>
    </row>
    <row r="3986" spans="13:13" ht="15" customHeight="1" x14ac:dyDescent="0.3">
      <c r="M3986" s="5"/>
    </row>
    <row r="3987" spans="13:13" ht="15" customHeight="1" x14ac:dyDescent="0.3">
      <c r="M3987" s="5"/>
    </row>
    <row r="3988" spans="13:13" ht="15" customHeight="1" x14ac:dyDescent="0.3">
      <c r="M3988" s="5"/>
    </row>
    <row r="3989" spans="13:13" ht="15" customHeight="1" x14ac:dyDescent="0.3">
      <c r="M3989" s="5"/>
    </row>
    <row r="3990" spans="13:13" ht="15" customHeight="1" x14ac:dyDescent="0.3">
      <c r="M3990" s="5"/>
    </row>
    <row r="3991" spans="13:13" ht="15" customHeight="1" x14ac:dyDescent="0.3">
      <c r="M3991" s="5"/>
    </row>
    <row r="3992" spans="13:13" ht="15" customHeight="1" x14ac:dyDescent="0.3">
      <c r="M3992" s="5"/>
    </row>
    <row r="3993" spans="13:13" ht="15" customHeight="1" x14ac:dyDescent="0.3">
      <c r="M3993" s="5"/>
    </row>
    <row r="3994" spans="13:13" ht="15" customHeight="1" x14ac:dyDescent="0.3">
      <c r="M3994" s="5"/>
    </row>
    <row r="3995" spans="13:13" ht="15" customHeight="1" x14ac:dyDescent="0.3">
      <c r="M3995" s="5"/>
    </row>
    <row r="3996" spans="13:13" ht="15" customHeight="1" x14ac:dyDescent="0.3">
      <c r="M3996" s="5"/>
    </row>
    <row r="3997" spans="13:13" ht="15" customHeight="1" x14ac:dyDescent="0.3">
      <c r="M3997" s="5"/>
    </row>
    <row r="3998" spans="13:13" ht="15" customHeight="1" x14ac:dyDescent="0.3">
      <c r="M3998" s="5"/>
    </row>
    <row r="3999" spans="13:13" ht="15" customHeight="1" x14ac:dyDescent="0.3">
      <c r="M3999" s="5"/>
    </row>
    <row r="4000" spans="13:13" ht="15" customHeight="1" x14ac:dyDescent="0.3">
      <c r="M4000" s="5"/>
    </row>
    <row r="4001" spans="13:13" ht="15" customHeight="1" x14ac:dyDescent="0.3">
      <c r="M4001" s="5"/>
    </row>
    <row r="4002" spans="13:13" ht="15" customHeight="1" x14ac:dyDescent="0.3">
      <c r="M4002" s="5"/>
    </row>
    <row r="4003" spans="13:13" ht="15" customHeight="1" x14ac:dyDescent="0.3">
      <c r="M4003" s="5"/>
    </row>
    <row r="4004" spans="13:13" ht="15" customHeight="1" x14ac:dyDescent="0.3">
      <c r="M4004" s="5"/>
    </row>
    <row r="4005" spans="13:13" ht="15" customHeight="1" x14ac:dyDescent="0.3">
      <c r="M4005" s="5"/>
    </row>
    <row r="4006" spans="13:13" ht="15" customHeight="1" x14ac:dyDescent="0.3">
      <c r="M4006" s="5"/>
    </row>
    <row r="4007" spans="13:13" ht="15" customHeight="1" x14ac:dyDescent="0.3">
      <c r="M4007" s="5"/>
    </row>
    <row r="4008" spans="13:13" ht="15" customHeight="1" x14ac:dyDescent="0.3">
      <c r="M4008" s="5"/>
    </row>
    <row r="4009" spans="13:13" ht="15" customHeight="1" x14ac:dyDescent="0.3">
      <c r="M4009" s="5"/>
    </row>
    <row r="4010" spans="13:13" ht="15" customHeight="1" x14ac:dyDescent="0.3">
      <c r="M4010" s="5"/>
    </row>
    <row r="4011" spans="13:13" ht="15" customHeight="1" x14ac:dyDescent="0.3">
      <c r="M4011" s="5"/>
    </row>
    <row r="4012" spans="13:13" ht="15" customHeight="1" x14ac:dyDescent="0.3">
      <c r="M4012" s="5"/>
    </row>
    <row r="4013" spans="13:13" ht="15" customHeight="1" x14ac:dyDescent="0.3">
      <c r="M4013" s="5"/>
    </row>
    <row r="4014" spans="13:13" ht="15" customHeight="1" x14ac:dyDescent="0.3">
      <c r="M4014" s="5"/>
    </row>
    <row r="4015" spans="13:13" ht="15" customHeight="1" x14ac:dyDescent="0.3">
      <c r="M4015" s="5"/>
    </row>
    <row r="4016" spans="13:13" ht="15" customHeight="1" x14ac:dyDescent="0.3">
      <c r="M4016" s="5"/>
    </row>
    <row r="4017" spans="13:13" ht="15" customHeight="1" x14ac:dyDescent="0.3">
      <c r="M4017" s="5"/>
    </row>
    <row r="4018" spans="13:13" ht="15" customHeight="1" x14ac:dyDescent="0.3">
      <c r="M4018" s="5"/>
    </row>
    <row r="4019" spans="13:13" ht="15" customHeight="1" x14ac:dyDescent="0.3">
      <c r="M4019" s="5"/>
    </row>
    <row r="4020" spans="13:13" ht="15" customHeight="1" x14ac:dyDescent="0.3">
      <c r="M4020" s="5"/>
    </row>
    <row r="4021" spans="13:13" ht="15" customHeight="1" x14ac:dyDescent="0.3">
      <c r="M4021" s="5"/>
    </row>
    <row r="4022" spans="13:13" ht="15" customHeight="1" x14ac:dyDescent="0.3">
      <c r="M4022" s="5"/>
    </row>
    <row r="4023" spans="13:13" ht="15" customHeight="1" x14ac:dyDescent="0.3">
      <c r="M4023" s="5"/>
    </row>
    <row r="4024" spans="13:13" ht="15" customHeight="1" x14ac:dyDescent="0.3">
      <c r="M4024" s="5"/>
    </row>
    <row r="4025" spans="13:13" ht="15" customHeight="1" x14ac:dyDescent="0.3">
      <c r="M4025" s="5"/>
    </row>
    <row r="4026" spans="13:13" ht="15" customHeight="1" x14ac:dyDescent="0.3">
      <c r="M4026" s="5"/>
    </row>
    <row r="4027" spans="13:13" ht="15" customHeight="1" x14ac:dyDescent="0.3">
      <c r="M4027" s="5"/>
    </row>
    <row r="4028" spans="13:13" ht="15" customHeight="1" x14ac:dyDescent="0.3">
      <c r="M4028" s="5"/>
    </row>
    <row r="4029" spans="13:13" ht="15" customHeight="1" x14ac:dyDescent="0.3">
      <c r="M4029" s="5"/>
    </row>
    <row r="4030" spans="13:13" ht="15" customHeight="1" x14ac:dyDescent="0.3">
      <c r="M4030" s="5"/>
    </row>
    <row r="4031" spans="13:13" ht="15" customHeight="1" x14ac:dyDescent="0.3">
      <c r="M4031" s="5"/>
    </row>
    <row r="4032" spans="13:13" ht="15" customHeight="1" x14ac:dyDescent="0.3">
      <c r="M4032" s="5"/>
    </row>
    <row r="4033" spans="13:13" ht="15" customHeight="1" x14ac:dyDescent="0.3">
      <c r="M4033" s="5"/>
    </row>
    <row r="4034" spans="13:13" ht="15" customHeight="1" x14ac:dyDescent="0.3">
      <c r="M4034" s="5"/>
    </row>
    <row r="4035" spans="13:13" ht="15" customHeight="1" x14ac:dyDescent="0.3">
      <c r="M4035" s="5"/>
    </row>
    <row r="4036" spans="13:13" ht="15" customHeight="1" x14ac:dyDescent="0.3">
      <c r="M4036" s="5"/>
    </row>
    <row r="4037" spans="13:13" ht="15" customHeight="1" x14ac:dyDescent="0.3">
      <c r="M4037" s="5"/>
    </row>
    <row r="4038" spans="13:13" ht="15" customHeight="1" x14ac:dyDescent="0.3">
      <c r="M4038" s="5"/>
    </row>
    <row r="4039" spans="13:13" ht="15" customHeight="1" x14ac:dyDescent="0.3">
      <c r="M4039" s="5"/>
    </row>
    <row r="4040" spans="13:13" ht="15" customHeight="1" x14ac:dyDescent="0.3">
      <c r="M4040" s="5"/>
    </row>
    <row r="4041" spans="13:13" ht="15" customHeight="1" x14ac:dyDescent="0.3">
      <c r="M4041" s="5"/>
    </row>
    <row r="4042" spans="13:13" ht="15" customHeight="1" x14ac:dyDescent="0.3">
      <c r="M4042" s="5"/>
    </row>
    <row r="4043" spans="13:13" ht="15" customHeight="1" x14ac:dyDescent="0.3">
      <c r="M4043" s="5"/>
    </row>
    <row r="4044" spans="13:13" ht="15" customHeight="1" x14ac:dyDescent="0.3">
      <c r="M4044" s="5"/>
    </row>
    <row r="4045" spans="13:13" ht="15" customHeight="1" x14ac:dyDescent="0.3">
      <c r="M4045" s="5"/>
    </row>
    <row r="4046" spans="13:13" ht="15" customHeight="1" x14ac:dyDescent="0.3">
      <c r="M4046" s="5"/>
    </row>
    <row r="4047" spans="13:13" ht="15" customHeight="1" x14ac:dyDescent="0.3">
      <c r="M4047" s="5"/>
    </row>
    <row r="4048" spans="13:13" ht="15" customHeight="1" x14ac:dyDescent="0.3">
      <c r="M4048" s="5"/>
    </row>
    <row r="4049" spans="13:13" ht="15" customHeight="1" x14ac:dyDescent="0.3">
      <c r="M4049" s="5"/>
    </row>
    <row r="4050" spans="13:13" ht="15" customHeight="1" x14ac:dyDescent="0.3">
      <c r="M4050" s="5"/>
    </row>
    <row r="4051" spans="13:13" ht="15" customHeight="1" x14ac:dyDescent="0.3">
      <c r="M4051" s="5"/>
    </row>
    <row r="4052" spans="13:13" ht="15" customHeight="1" x14ac:dyDescent="0.3">
      <c r="M4052" s="5"/>
    </row>
    <row r="4053" spans="13:13" ht="15" customHeight="1" x14ac:dyDescent="0.3">
      <c r="M4053" s="5"/>
    </row>
    <row r="4054" spans="13:13" ht="15" customHeight="1" x14ac:dyDescent="0.3">
      <c r="M4054" s="5"/>
    </row>
    <row r="4055" spans="13:13" ht="15" customHeight="1" x14ac:dyDescent="0.3">
      <c r="M4055" s="5"/>
    </row>
    <row r="4056" spans="13:13" ht="15" customHeight="1" x14ac:dyDescent="0.3">
      <c r="M4056" s="5"/>
    </row>
    <row r="4057" spans="13:13" ht="15" customHeight="1" x14ac:dyDescent="0.3">
      <c r="M4057" s="5"/>
    </row>
    <row r="4058" spans="13:13" ht="15" customHeight="1" x14ac:dyDescent="0.3">
      <c r="M4058" s="5"/>
    </row>
    <row r="4059" spans="13:13" ht="15" customHeight="1" x14ac:dyDescent="0.3">
      <c r="M4059" s="5"/>
    </row>
    <row r="4060" spans="13:13" ht="15" customHeight="1" x14ac:dyDescent="0.3">
      <c r="M4060" s="5"/>
    </row>
    <row r="4061" spans="13:13" ht="15" customHeight="1" x14ac:dyDescent="0.3">
      <c r="M4061" s="5"/>
    </row>
    <row r="4062" spans="13:13" ht="15" customHeight="1" x14ac:dyDescent="0.3">
      <c r="M4062" s="5"/>
    </row>
    <row r="4063" spans="13:13" ht="15" customHeight="1" x14ac:dyDescent="0.3">
      <c r="M4063" s="5"/>
    </row>
    <row r="4064" spans="13:13" ht="15" customHeight="1" x14ac:dyDescent="0.3">
      <c r="M4064" s="5"/>
    </row>
    <row r="4065" spans="13:13" ht="15" customHeight="1" x14ac:dyDescent="0.3">
      <c r="M4065" s="5"/>
    </row>
    <row r="4066" spans="13:13" ht="15" customHeight="1" x14ac:dyDescent="0.3">
      <c r="M4066" s="5"/>
    </row>
    <row r="4067" spans="13:13" ht="15" customHeight="1" x14ac:dyDescent="0.3">
      <c r="M4067" s="5"/>
    </row>
    <row r="4068" spans="13:13" ht="15" customHeight="1" x14ac:dyDescent="0.3">
      <c r="M4068" s="5"/>
    </row>
    <row r="4069" spans="13:13" ht="15" customHeight="1" x14ac:dyDescent="0.3">
      <c r="M4069" s="5"/>
    </row>
    <row r="4070" spans="13:13" ht="15" customHeight="1" x14ac:dyDescent="0.3">
      <c r="M4070" s="5"/>
    </row>
    <row r="4071" spans="13:13" ht="15" customHeight="1" x14ac:dyDescent="0.3">
      <c r="M4071" s="5"/>
    </row>
    <row r="4072" spans="13:13" ht="15" customHeight="1" x14ac:dyDescent="0.3">
      <c r="M4072" s="5"/>
    </row>
    <row r="4073" spans="13:13" ht="15" customHeight="1" x14ac:dyDescent="0.3">
      <c r="M4073" s="5"/>
    </row>
    <row r="4074" spans="13:13" ht="15" customHeight="1" x14ac:dyDescent="0.3">
      <c r="M4074" s="5"/>
    </row>
    <row r="4075" spans="13:13" ht="15" customHeight="1" x14ac:dyDescent="0.3">
      <c r="M4075" s="5"/>
    </row>
    <row r="4076" spans="13:13" ht="15" customHeight="1" x14ac:dyDescent="0.3">
      <c r="M4076" s="5"/>
    </row>
    <row r="4077" spans="13:13" ht="15" customHeight="1" x14ac:dyDescent="0.3">
      <c r="M4077" s="5"/>
    </row>
    <row r="4078" spans="13:13" ht="15" customHeight="1" x14ac:dyDescent="0.3">
      <c r="M4078" s="5"/>
    </row>
    <row r="4079" spans="13:13" ht="15" customHeight="1" x14ac:dyDescent="0.3">
      <c r="M4079" s="5"/>
    </row>
    <row r="4080" spans="13:13" ht="15" customHeight="1" x14ac:dyDescent="0.3">
      <c r="M4080" s="5"/>
    </row>
    <row r="4081" spans="13:13" ht="15" customHeight="1" x14ac:dyDescent="0.3">
      <c r="M4081" s="5"/>
    </row>
    <row r="4082" spans="13:13" ht="15" customHeight="1" x14ac:dyDescent="0.3">
      <c r="M4082" s="5"/>
    </row>
    <row r="4083" spans="13:13" ht="15" customHeight="1" x14ac:dyDescent="0.3">
      <c r="M4083" s="5"/>
    </row>
    <row r="4084" spans="13:13" ht="15" customHeight="1" x14ac:dyDescent="0.3">
      <c r="M4084" s="5"/>
    </row>
    <row r="4085" spans="13:13" ht="15" customHeight="1" x14ac:dyDescent="0.3">
      <c r="M4085" s="5"/>
    </row>
    <row r="4086" spans="13:13" ht="15" customHeight="1" x14ac:dyDescent="0.3">
      <c r="M4086" s="5"/>
    </row>
    <row r="4087" spans="13:13" ht="15" customHeight="1" x14ac:dyDescent="0.3">
      <c r="M4087" s="5"/>
    </row>
    <row r="4088" spans="13:13" ht="15" customHeight="1" x14ac:dyDescent="0.3">
      <c r="M4088" s="5"/>
    </row>
    <row r="4089" spans="13:13" ht="15" customHeight="1" x14ac:dyDescent="0.3">
      <c r="M4089" s="5"/>
    </row>
    <row r="4090" spans="13:13" ht="15" customHeight="1" x14ac:dyDescent="0.3">
      <c r="M4090" s="5"/>
    </row>
    <row r="4091" spans="13:13" ht="15" customHeight="1" x14ac:dyDescent="0.3">
      <c r="M4091" s="5"/>
    </row>
    <row r="4092" spans="13:13" ht="15" customHeight="1" x14ac:dyDescent="0.3">
      <c r="M4092" s="5"/>
    </row>
    <row r="4093" spans="13:13" ht="15" customHeight="1" x14ac:dyDescent="0.3">
      <c r="M4093" s="5"/>
    </row>
    <row r="4094" spans="13:13" ht="15" customHeight="1" x14ac:dyDescent="0.3">
      <c r="M4094" s="5"/>
    </row>
    <row r="4095" spans="13:13" ht="15" customHeight="1" x14ac:dyDescent="0.3">
      <c r="M4095" s="5"/>
    </row>
    <row r="4096" spans="13:13" ht="15" customHeight="1" x14ac:dyDescent="0.3">
      <c r="M4096" s="5"/>
    </row>
    <row r="4097" spans="13:13" ht="15" customHeight="1" x14ac:dyDescent="0.3">
      <c r="M4097" s="5"/>
    </row>
    <row r="4098" spans="13:13" ht="15" customHeight="1" x14ac:dyDescent="0.3">
      <c r="M4098" s="5"/>
    </row>
    <row r="4099" spans="13:13" ht="15" customHeight="1" x14ac:dyDescent="0.3">
      <c r="M4099" s="5"/>
    </row>
    <row r="4100" spans="13:13" ht="15" customHeight="1" x14ac:dyDescent="0.3">
      <c r="M4100" s="5"/>
    </row>
    <row r="4101" spans="13:13" ht="15" customHeight="1" x14ac:dyDescent="0.3">
      <c r="M4101" s="5"/>
    </row>
    <row r="4102" spans="13:13" ht="15" customHeight="1" x14ac:dyDescent="0.3">
      <c r="M4102" s="5"/>
    </row>
    <row r="4103" spans="13:13" ht="15" customHeight="1" x14ac:dyDescent="0.3">
      <c r="M4103" s="5"/>
    </row>
    <row r="4104" spans="13:13" ht="15" customHeight="1" x14ac:dyDescent="0.3">
      <c r="M4104" s="5"/>
    </row>
    <row r="4105" spans="13:13" ht="15" customHeight="1" x14ac:dyDescent="0.3">
      <c r="M4105" s="5"/>
    </row>
    <row r="4106" spans="13:13" ht="15" customHeight="1" x14ac:dyDescent="0.3">
      <c r="M4106" s="5"/>
    </row>
    <row r="4107" spans="13:13" ht="15" customHeight="1" x14ac:dyDescent="0.3">
      <c r="M4107" s="5"/>
    </row>
    <row r="4108" spans="13:13" ht="15" customHeight="1" x14ac:dyDescent="0.3">
      <c r="M4108" s="5"/>
    </row>
    <row r="4109" spans="13:13" ht="15" customHeight="1" x14ac:dyDescent="0.3">
      <c r="M4109" s="5"/>
    </row>
    <row r="4110" spans="13:13" ht="15" customHeight="1" x14ac:dyDescent="0.3">
      <c r="M4110" s="5"/>
    </row>
    <row r="4111" spans="13:13" ht="15" customHeight="1" x14ac:dyDescent="0.3">
      <c r="M4111" s="5"/>
    </row>
    <row r="4112" spans="13:13" ht="15" customHeight="1" x14ac:dyDescent="0.3">
      <c r="M4112" s="5"/>
    </row>
    <row r="4113" spans="13:13" ht="15" customHeight="1" x14ac:dyDescent="0.3">
      <c r="M4113" s="5"/>
    </row>
    <row r="4114" spans="13:13" ht="15" customHeight="1" x14ac:dyDescent="0.3">
      <c r="M4114" s="5"/>
    </row>
    <row r="4115" spans="13:13" ht="15" customHeight="1" x14ac:dyDescent="0.3">
      <c r="M4115" s="5"/>
    </row>
    <row r="4116" spans="13:13" ht="15" customHeight="1" x14ac:dyDescent="0.3">
      <c r="M4116" s="5"/>
    </row>
    <row r="4117" spans="13:13" ht="15" customHeight="1" x14ac:dyDescent="0.3">
      <c r="M4117" s="5"/>
    </row>
    <row r="4118" spans="13:13" ht="15" customHeight="1" x14ac:dyDescent="0.3">
      <c r="M4118" s="5"/>
    </row>
    <row r="4119" spans="13:13" ht="15" customHeight="1" x14ac:dyDescent="0.3">
      <c r="M4119" s="5"/>
    </row>
    <row r="4120" spans="13:13" ht="15" customHeight="1" x14ac:dyDescent="0.3">
      <c r="M4120" s="5"/>
    </row>
    <row r="4121" spans="13:13" ht="15" customHeight="1" x14ac:dyDescent="0.3">
      <c r="M4121" s="5"/>
    </row>
    <row r="4122" spans="13:13" ht="15" customHeight="1" x14ac:dyDescent="0.3">
      <c r="M4122" s="5"/>
    </row>
    <row r="4123" spans="13:13" ht="15" customHeight="1" x14ac:dyDescent="0.3">
      <c r="M4123" s="5"/>
    </row>
    <row r="4124" spans="13:13" ht="15" customHeight="1" x14ac:dyDescent="0.3">
      <c r="M4124" s="5"/>
    </row>
    <row r="4125" spans="13:13" ht="15" customHeight="1" x14ac:dyDescent="0.3">
      <c r="M4125" s="5"/>
    </row>
    <row r="4126" spans="13:13" ht="15" customHeight="1" x14ac:dyDescent="0.3">
      <c r="M4126" s="5"/>
    </row>
    <row r="4127" spans="13:13" ht="15" customHeight="1" x14ac:dyDescent="0.3">
      <c r="M4127" s="5"/>
    </row>
    <row r="4128" spans="13:13" ht="15" customHeight="1" x14ac:dyDescent="0.3">
      <c r="M4128" s="5"/>
    </row>
    <row r="4129" spans="13:13" ht="15" customHeight="1" x14ac:dyDescent="0.3">
      <c r="M4129" s="5"/>
    </row>
    <row r="4130" spans="13:13" ht="15" customHeight="1" x14ac:dyDescent="0.3">
      <c r="M4130" s="5"/>
    </row>
    <row r="4131" spans="13:13" ht="15" customHeight="1" x14ac:dyDescent="0.3">
      <c r="M4131" s="5"/>
    </row>
    <row r="4132" spans="13:13" ht="15" customHeight="1" x14ac:dyDescent="0.3">
      <c r="M4132" s="5"/>
    </row>
    <row r="4133" spans="13:13" ht="15" customHeight="1" x14ac:dyDescent="0.3">
      <c r="M4133" s="5"/>
    </row>
    <row r="4134" spans="13:13" ht="15" customHeight="1" x14ac:dyDescent="0.3">
      <c r="M4134" s="5"/>
    </row>
    <row r="4135" spans="13:13" ht="15" customHeight="1" x14ac:dyDescent="0.3">
      <c r="M4135" s="5"/>
    </row>
    <row r="4136" spans="13:13" ht="15" customHeight="1" x14ac:dyDescent="0.3">
      <c r="M4136" s="5"/>
    </row>
    <row r="4137" spans="13:13" ht="15" customHeight="1" x14ac:dyDescent="0.3">
      <c r="M4137" s="5"/>
    </row>
    <row r="4138" spans="13:13" ht="15" customHeight="1" x14ac:dyDescent="0.3">
      <c r="M4138" s="5"/>
    </row>
    <row r="4139" spans="13:13" ht="15" customHeight="1" x14ac:dyDescent="0.3">
      <c r="M4139" s="5"/>
    </row>
    <row r="4140" spans="13:13" ht="15" customHeight="1" x14ac:dyDescent="0.3">
      <c r="M4140" s="5"/>
    </row>
    <row r="4141" spans="13:13" ht="15" customHeight="1" x14ac:dyDescent="0.3">
      <c r="M4141" s="5"/>
    </row>
    <row r="4142" spans="13:13" ht="15" customHeight="1" x14ac:dyDescent="0.3">
      <c r="M4142" s="5"/>
    </row>
    <row r="4143" spans="13:13" ht="15" customHeight="1" x14ac:dyDescent="0.3">
      <c r="M4143" s="5"/>
    </row>
    <row r="4144" spans="13:13" ht="15" customHeight="1" x14ac:dyDescent="0.3">
      <c r="M4144" s="5"/>
    </row>
    <row r="4145" spans="13:13" ht="15" customHeight="1" x14ac:dyDescent="0.3">
      <c r="M4145" s="5"/>
    </row>
    <row r="4146" spans="13:13" ht="15" customHeight="1" x14ac:dyDescent="0.3">
      <c r="M4146" s="5"/>
    </row>
    <row r="4147" spans="13:13" ht="15" customHeight="1" x14ac:dyDescent="0.3">
      <c r="M4147" s="5"/>
    </row>
    <row r="4148" spans="13:13" ht="15" customHeight="1" x14ac:dyDescent="0.3">
      <c r="M4148" s="5"/>
    </row>
    <row r="4149" spans="13:13" ht="15" customHeight="1" x14ac:dyDescent="0.3">
      <c r="M4149" s="5"/>
    </row>
    <row r="4150" spans="13:13" ht="15" customHeight="1" x14ac:dyDescent="0.3">
      <c r="M4150" s="5"/>
    </row>
    <row r="4151" spans="13:13" ht="15" customHeight="1" x14ac:dyDescent="0.3">
      <c r="M4151" s="5"/>
    </row>
    <row r="4152" spans="13:13" ht="15" customHeight="1" x14ac:dyDescent="0.3">
      <c r="M4152" s="5"/>
    </row>
    <row r="4153" spans="13:13" ht="15" customHeight="1" x14ac:dyDescent="0.3">
      <c r="M4153" s="5"/>
    </row>
    <row r="4154" spans="13:13" ht="15" customHeight="1" x14ac:dyDescent="0.3">
      <c r="M4154" s="5"/>
    </row>
    <row r="4155" spans="13:13" ht="15" customHeight="1" x14ac:dyDescent="0.3">
      <c r="M4155" s="5"/>
    </row>
    <row r="4156" spans="13:13" ht="15" customHeight="1" x14ac:dyDescent="0.3">
      <c r="M4156" s="5"/>
    </row>
    <row r="4157" spans="13:13" ht="15" customHeight="1" x14ac:dyDescent="0.3">
      <c r="M4157" s="5"/>
    </row>
    <row r="4158" spans="13:13" ht="15" customHeight="1" x14ac:dyDescent="0.3">
      <c r="M4158" s="5"/>
    </row>
    <row r="4159" spans="13:13" ht="15" customHeight="1" x14ac:dyDescent="0.3">
      <c r="M4159" s="5"/>
    </row>
    <row r="4160" spans="13:13" ht="15" customHeight="1" x14ac:dyDescent="0.3">
      <c r="M4160" s="5"/>
    </row>
    <row r="4161" spans="13:13" ht="15" customHeight="1" x14ac:dyDescent="0.3">
      <c r="M4161" s="5"/>
    </row>
    <row r="4162" spans="13:13" ht="15" customHeight="1" x14ac:dyDescent="0.3">
      <c r="M4162" s="5"/>
    </row>
    <row r="4163" spans="13:13" ht="15" customHeight="1" x14ac:dyDescent="0.3">
      <c r="M4163" s="5"/>
    </row>
    <row r="4164" spans="13:13" ht="15" customHeight="1" x14ac:dyDescent="0.3">
      <c r="M4164" s="5"/>
    </row>
    <row r="4165" spans="13:13" ht="15" customHeight="1" x14ac:dyDescent="0.3">
      <c r="M4165" s="5"/>
    </row>
    <row r="4166" spans="13:13" ht="15" customHeight="1" x14ac:dyDescent="0.3">
      <c r="M4166" s="5"/>
    </row>
    <row r="4167" spans="13:13" ht="15" customHeight="1" x14ac:dyDescent="0.3">
      <c r="M4167" s="5"/>
    </row>
    <row r="4168" spans="13:13" ht="15" customHeight="1" x14ac:dyDescent="0.3">
      <c r="M4168" s="5"/>
    </row>
    <row r="4169" spans="13:13" ht="15" customHeight="1" x14ac:dyDescent="0.3">
      <c r="M4169" s="5"/>
    </row>
    <row r="4170" spans="13:13" ht="15" customHeight="1" x14ac:dyDescent="0.3">
      <c r="M4170" s="5"/>
    </row>
    <row r="4171" spans="13:13" ht="15" customHeight="1" x14ac:dyDescent="0.3">
      <c r="M4171" s="5"/>
    </row>
    <row r="4172" spans="13:13" ht="15" customHeight="1" x14ac:dyDescent="0.3">
      <c r="M4172" s="5"/>
    </row>
    <row r="4173" spans="13:13" ht="15" customHeight="1" x14ac:dyDescent="0.3">
      <c r="M4173" s="5"/>
    </row>
    <row r="4174" spans="13:13" ht="15" customHeight="1" x14ac:dyDescent="0.3">
      <c r="M4174" s="5"/>
    </row>
    <row r="4175" spans="13:13" ht="15" customHeight="1" x14ac:dyDescent="0.3">
      <c r="M4175" s="5"/>
    </row>
    <row r="4176" spans="13:13" ht="15" customHeight="1" x14ac:dyDescent="0.3">
      <c r="M4176" s="5"/>
    </row>
    <row r="4177" spans="13:13" ht="15" customHeight="1" x14ac:dyDescent="0.3">
      <c r="M4177" s="5"/>
    </row>
    <row r="4178" spans="13:13" ht="15" customHeight="1" x14ac:dyDescent="0.3">
      <c r="M4178" s="5"/>
    </row>
    <row r="4179" spans="13:13" ht="15" customHeight="1" x14ac:dyDescent="0.3">
      <c r="M4179" s="5"/>
    </row>
    <row r="4180" spans="13:13" ht="15" customHeight="1" x14ac:dyDescent="0.3">
      <c r="M4180" s="5"/>
    </row>
    <row r="4181" spans="13:13" ht="15" customHeight="1" x14ac:dyDescent="0.3">
      <c r="M4181" s="5"/>
    </row>
    <row r="4182" spans="13:13" ht="15" customHeight="1" x14ac:dyDescent="0.3">
      <c r="M4182" s="5"/>
    </row>
    <row r="4183" spans="13:13" ht="15" customHeight="1" x14ac:dyDescent="0.3">
      <c r="M4183" s="5"/>
    </row>
    <row r="4184" spans="13:13" ht="15" customHeight="1" x14ac:dyDescent="0.3">
      <c r="M4184" s="5"/>
    </row>
    <row r="4185" spans="13:13" ht="15" customHeight="1" x14ac:dyDescent="0.3">
      <c r="M4185" s="5"/>
    </row>
    <row r="4186" spans="13:13" ht="15" customHeight="1" x14ac:dyDescent="0.3">
      <c r="M4186" s="5"/>
    </row>
    <row r="4187" spans="13:13" ht="15" customHeight="1" x14ac:dyDescent="0.3">
      <c r="M4187" s="5"/>
    </row>
    <row r="4188" spans="13:13" ht="15" customHeight="1" x14ac:dyDescent="0.3">
      <c r="M4188" s="5"/>
    </row>
    <row r="4189" spans="13:13" ht="15" customHeight="1" x14ac:dyDescent="0.3">
      <c r="M4189" s="5"/>
    </row>
    <row r="4190" spans="13:13" ht="15" customHeight="1" x14ac:dyDescent="0.3">
      <c r="M4190" s="5"/>
    </row>
    <row r="4191" spans="13:13" ht="15" customHeight="1" x14ac:dyDescent="0.3">
      <c r="M4191" s="5"/>
    </row>
    <row r="4192" spans="13:13" ht="15" customHeight="1" x14ac:dyDescent="0.3">
      <c r="M4192" s="5"/>
    </row>
    <row r="4193" spans="13:13" ht="15" customHeight="1" x14ac:dyDescent="0.3">
      <c r="M4193" s="5"/>
    </row>
    <row r="4194" spans="13:13" ht="15" customHeight="1" x14ac:dyDescent="0.3">
      <c r="M4194" s="5"/>
    </row>
    <row r="4195" spans="13:13" ht="15" customHeight="1" x14ac:dyDescent="0.3">
      <c r="M4195" s="5"/>
    </row>
    <row r="4196" spans="13:13" ht="15" customHeight="1" x14ac:dyDescent="0.3">
      <c r="M4196" s="5"/>
    </row>
    <row r="4197" spans="13:13" ht="15" customHeight="1" x14ac:dyDescent="0.3">
      <c r="M4197" s="5"/>
    </row>
    <row r="4198" spans="13:13" ht="15" customHeight="1" x14ac:dyDescent="0.3">
      <c r="M4198" s="5"/>
    </row>
    <row r="4199" spans="13:13" ht="15" customHeight="1" x14ac:dyDescent="0.3">
      <c r="M4199" s="5"/>
    </row>
    <row r="4200" spans="13:13" ht="15" customHeight="1" x14ac:dyDescent="0.3">
      <c r="M4200" s="5"/>
    </row>
    <row r="4201" spans="13:13" ht="15" customHeight="1" x14ac:dyDescent="0.3">
      <c r="M4201" s="5"/>
    </row>
    <row r="4202" spans="13:13" ht="15" customHeight="1" x14ac:dyDescent="0.3">
      <c r="M4202" s="5"/>
    </row>
    <row r="4203" spans="13:13" ht="15" customHeight="1" x14ac:dyDescent="0.3">
      <c r="M4203" s="5"/>
    </row>
    <row r="4204" spans="13:13" ht="15" customHeight="1" x14ac:dyDescent="0.3">
      <c r="M4204" s="5"/>
    </row>
    <row r="4205" spans="13:13" ht="15" customHeight="1" x14ac:dyDescent="0.3">
      <c r="M4205" s="5"/>
    </row>
    <row r="4206" spans="13:13" ht="15" customHeight="1" x14ac:dyDescent="0.3">
      <c r="M4206" s="5"/>
    </row>
    <row r="4207" spans="13:13" ht="15" customHeight="1" x14ac:dyDescent="0.3">
      <c r="M4207" s="5"/>
    </row>
    <row r="4208" spans="13:13" ht="15" customHeight="1" x14ac:dyDescent="0.3">
      <c r="M4208" s="5"/>
    </row>
    <row r="4209" spans="13:13" ht="15" customHeight="1" x14ac:dyDescent="0.3">
      <c r="M4209" s="5"/>
    </row>
    <row r="4210" spans="13:13" ht="15" customHeight="1" x14ac:dyDescent="0.3">
      <c r="M4210" s="5"/>
    </row>
    <row r="4211" spans="13:13" ht="15" customHeight="1" x14ac:dyDescent="0.3">
      <c r="M4211" s="5"/>
    </row>
    <row r="4212" spans="13:13" ht="15" customHeight="1" x14ac:dyDescent="0.3">
      <c r="M4212" s="5"/>
    </row>
    <row r="4213" spans="13:13" ht="15" customHeight="1" x14ac:dyDescent="0.3">
      <c r="M4213" s="5"/>
    </row>
    <row r="4214" spans="13:13" ht="15" customHeight="1" x14ac:dyDescent="0.3">
      <c r="M4214" s="5"/>
    </row>
    <row r="4215" spans="13:13" ht="15" customHeight="1" x14ac:dyDescent="0.3">
      <c r="M4215" s="5"/>
    </row>
    <row r="4216" spans="13:13" ht="15" customHeight="1" x14ac:dyDescent="0.3">
      <c r="M4216" s="5"/>
    </row>
    <row r="4217" spans="13:13" ht="15" customHeight="1" x14ac:dyDescent="0.3">
      <c r="M4217" s="5"/>
    </row>
    <row r="4218" spans="13:13" ht="15" customHeight="1" x14ac:dyDescent="0.3">
      <c r="M4218" s="5"/>
    </row>
    <row r="4219" spans="13:13" ht="15" customHeight="1" x14ac:dyDescent="0.3">
      <c r="M4219" s="5"/>
    </row>
    <row r="4220" spans="13:13" ht="15" customHeight="1" x14ac:dyDescent="0.3">
      <c r="M4220" s="5"/>
    </row>
    <row r="4221" spans="13:13" ht="15" customHeight="1" x14ac:dyDescent="0.3">
      <c r="M4221" s="5"/>
    </row>
    <row r="4222" spans="13:13" ht="15" customHeight="1" x14ac:dyDescent="0.3">
      <c r="M4222" s="5"/>
    </row>
    <row r="4223" spans="13:13" ht="15" customHeight="1" x14ac:dyDescent="0.3">
      <c r="M4223" s="5"/>
    </row>
    <row r="4224" spans="13:13" ht="15" customHeight="1" x14ac:dyDescent="0.3">
      <c r="M4224" s="5"/>
    </row>
    <row r="4225" spans="13:13" ht="15" customHeight="1" x14ac:dyDescent="0.3">
      <c r="M4225" s="5"/>
    </row>
    <row r="4226" spans="13:13" ht="15" customHeight="1" x14ac:dyDescent="0.3">
      <c r="M4226" s="5"/>
    </row>
    <row r="4227" spans="13:13" ht="15" customHeight="1" x14ac:dyDescent="0.3">
      <c r="M4227" s="5"/>
    </row>
    <row r="4228" spans="13:13" ht="15" customHeight="1" x14ac:dyDescent="0.3">
      <c r="M4228" s="5"/>
    </row>
    <row r="4229" spans="13:13" ht="15" customHeight="1" x14ac:dyDescent="0.3">
      <c r="M4229" s="5"/>
    </row>
    <row r="4230" spans="13:13" ht="15" customHeight="1" x14ac:dyDescent="0.3">
      <c r="M4230" s="5"/>
    </row>
    <row r="4231" spans="13:13" ht="15" customHeight="1" x14ac:dyDescent="0.3">
      <c r="M4231" s="5"/>
    </row>
    <row r="4232" spans="13:13" ht="15" customHeight="1" x14ac:dyDescent="0.3">
      <c r="M4232" s="5"/>
    </row>
    <row r="4233" spans="13:13" ht="15" customHeight="1" x14ac:dyDescent="0.3">
      <c r="M4233" s="5"/>
    </row>
    <row r="4234" spans="13:13" ht="15" customHeight="1" x14ac:dyDescent="0.3">
      <c r="M4234" s="5"/>
    </row>
    <row r="4235" spans="13:13" ht="15" customHeight="1" x14ac:dyDescent="0.3">
      <c r="M4235" s="5"/>
    </row>
    <row r="4236" spans="13:13" ht="15" customHeight="1" x14ac:dyDescent="0.3">
      <c r="M4236" s="5"/>
    </row>
    <row r="4237" spans="13:13" ht="15" customHeight="1" x14ac:dyDescent="0.3">
      <c r="M4237" s="5"/>
    </row>
    <row r="4238" spans="13:13" ht="15" customHeight="1" x14ac:dyDescent="0.3">
      <c r="M4238" s="5"/>
    </row>
    <row r="4239" spans="13:13" ht="15" customHeight="1" x14ac:dyDescent="0.3">
      <c r="M4239" s="5"/>
    </row>
    <row r="4240" spans="13:13" ht="15" customHeight="1" x14ac:dyDescent="0.3">
      <c r="M4240" s="5"/>
    </row>
    <row r="4241" spans="13:13" ht="15" customHeight="1" x14ac:dyDescent="0.3">
      <c r="M4241" s="5"/>
    </row>
    <row r="4242" spans="13:13" ht="15" customHeight="1" x14ac:dyDescent="0.3">
      <c r="M4242" s="5"/>
    </row>
    <row r="4243" spans="13:13" ht="15" customHeight="1" x14ac:dyDescent="0.3">
      <c r="M4243" s="5"/>
    </row>
    <row r="4244" spans="13:13" ht="15" customHeight="1" x14ac:dyDescent="0.3">
      <c r="M4244" s="5"/>
    </row>
    <row r="4245" spans="13:13" ht="15" customHeight="1" x14ac:dyDescent="0.3">
      <c r="M4245" s="5"/>
    </row>
    <row r="4246" spans="13:13" ht="15" customHeight="1" x14ac:dyDescent="0.3">
      <c r="M4246" s="5"/>
    </row>
    <row r="4247" spans="13:13" ht="15" customHeight="1" x14ac:dyDescent="0.3">
      <c r="M4247" s="5"/>
    </row>
    <row r="4248" spans="13:13" ht="15" customHeight="1" x14ac:dyDescent="0.3">
      <c r="M4248" s="5"/>
    </row>
    <row r="4249" spans="13:13" ht="15" customHeight="1" x14ac:dyDescent="0.3">
      <c r="M4249" s="5"/>
    </row>
    <row r="4250" spans="13:13" ht="15" customHeight="1" x14ac:dyDescent="0.3">
      <c r="M4250" s="5"/>
    </row>
    <row r="4251" spans="13:13" ht="15" customHeight="1" x14ac:dyDescent="0.3">
      <c r="M4251" s="5"/>
    </row>
    <row r="4252" spans="13:13" ht="15" customHeight="1" x14ac:dyDescent="0.3">
      <c r="M4252" s="5"/>
    </row>
    <row r="4253" spans="13:13" ht="15" customHeight="1" x14ac:dyDescent="0.3">
      <c r="M4253" s="5"/>
    </row>
    <row r="4254" spans="13:13" ht="15" customHeight="1" x14ac:dyDescent="0.3">
      <c r="M4254" s="5"/>
    </row>
    <row r="4255" spans="13:13" ht="15" customHeight="1" x14ac:dyDescent="0.3">
      <c r="M4255" s="5"/>
    </row>
    <row r="4256" spans="13:13" ht="15" customHeight="1" x14ac:dyDescent="0.3">
      <c r="M4256" s="5"/>
    </row>
    <row r="4257" spans="13:13" ht="15" customHeight="1" x14ac:dyDescent="0.3">
      <c r="M4257" s="5"/>
    </row>
    <row r="4258" spans="13:13" ht="15" customHeight="1" x14ac:dyDescent="0.3">
      <c r="M4258" s="5"/>
    </row>
    <row r="4259" spans="13:13" ht="15" customHeight="1" x14ac:dyDescent="0.3">
      <c r="M4259" s="5"/>
    </row>
    <row r="4260" spans="13:13" ht="15" customHeight="1" x14ac:dyDescent="0.3">
      <c r="M4260" s="5"/>
    </row>
    <row r="4261" spans="13:13" ht="15" customHeight="1" x14ac:dyDescent="0.3">
      <c r="M4261" s="5"/>
    </row>
    <row r="4262" spans="13:13" ht="15" customHeight="1" x14ac:dyDescent="0.3">
      <c r="M4262" s="5"/>
    </row>
    <row r="4263" spans="13:13" ht="15" customHeight="1" x14ac:dyDescent="0.3">
      <c r="M4263" s="5"/>
    </row>
    <row r="4264" spans="13:13" ht="15" customHeight="1" x14ac:dyDescent="0.3">
      <c r="M4264" s="5"/>
    </row>
    <row r="4265" spans="13:13" ht="15" customHeight="1" x14ac:dyDescent="0.3">
      <c r="M4265" s="5"/>
    </row>
    <row r="4266" spans="13:13" ht="15" customHeight="1" x14ac:dyDescent="0.3">
      <c r="M4266" s="5"/>
    </row>
    <row r="4267" spans="13:13" ht="15" customHeight="1" x14ac:dyDescent="0.3">
      <c r="M4267" s="5"/>
    </row>
    <row r="4268" spans="13:13" ht="15" customHeight="1" x14ac:dyDescent="0.3">
      <c r="M4268" s="5"/>
    </row>
    <row r="4269" spans="13:13" ht="15" customHeight="1" x14ac:dyDescent="0.3">
      <c r="M4269" s="5"/>
    </row>
    <row r="4270" spans="13:13" ht="15" customHeight="1" x14ac:dyDescent="0.3">
      <c r="M4270" s="5"/>
    </row>
    <row r="4271" spans="13:13" ht="15" customHeight="1" x14ac:dyDescent="0.3">
      <c r="M4271" s="5"/>
    </row>
    <row r="4272" spans="13:13" ht="15" customHeight="1" x14ac:dyDescent="0.3">
      <c r="M4272" s="5"/>
    </row>
    <row r="4273" spans="13:13" ht="15" customHeight="1" x14ac:dyDescent="0.3">
      <c r="M4273" s="5"/>
    </row>
    <row r="4274" spans="13:13" ht="15" customHeight="1" x14ac:dyDescent="0.3">
      <c r="M4274" s="5"/>
    </row>
    <row r="4275" spans="13:13" ht="15" customHeight="1" x14ac:dyDescent="0.3">
      <c r="M4275" s="5"/>
    </row>
    <row r="4276" spans="13:13" ht="15" customHeight="1" x14ac:dyDescent="0.3">
      <c r="M4276" s="5"/>
    </row>
    <row r="4277" spans="13:13" ht="15" customHeight="1" x14ac:dyDescent="0.3">
      <c r="M4277" s="5"/>
    </row>
    <row r="4278" spans="13:13" ht="15" customHeight="1" x14ac:dyDescent="0.3">
      <c r="M4278" s="5"/>
    </row>
    <row r="4279" spans="13:13" ht="15" customHeight="1" x14ac:dyDescent="0.3">
      <c r="M4279" s="5"/>
    </row>
    <row r="4280" spans="13:13" ht="15" customHeight="1" x14ac:dyDescent="0.3">
      <c r="M4280" s="5"/>
    </row>
    <row r="4281" spans="13:13" ht="15" customHeight="1" x14ac:dyDescent="0.3">
      <c r="M4281" s="5"/>
    </row>
    <row r="4282" spans="13:13" ht="15" customHeight="1" x14ac:dyDescent="0.3">
      <c r="M4282" s="5"/>
    </row>
    <row r="4283" spans="13:13" ht="15" customHeight="1" x14ac:dyDescent="0.3">
      <c r="M4283" s="5"/>
    </row>
    <row r="4284" spans="13:13" ht="15" customHeight="1" x14ac:dyDescent="0.3">
      <c r="M4284" s="5"/>
    </row>
    <row r="4285" spans="13:13" ht="15" customHeight="1" x14ac:dyDescent="0.3">
      <c r="M4285" s="5"/>
    </row>
    <row r="4286" spans="13:13" ht="15" customHeight="1" x14ac:dyDescent="0.3">
      <c r="M4286" s="5"/>
    </row>
    <row r="4287" spans="13:13" ht="15" customHeight="1" x14ac:dyDescent="0.3">
      <c r="M4287" s="5"/>
    </row>
    <row r="4288" spans="13:13" ht="15" customHeight="1" x14ac:dyDescent="0.3">
      <c r="M4288" s="5"/>
    </row>
    <row r="4289" spans="13:13" ht="15" customHeight="1" x14ac:dyDescent="0.3">
      <c r="M4289" s="5"/>
    </row>
    <row r="4290" spans="13:13" ht="15" customHeight="1" x14ac:dyDescent="0.3">
      <c r="M4290" s="5"/>
    </row>
    <row r="4291" spans="13:13" ht="15" customHeight="1" x14ac:dyDescent="0.3">
      <c r="M4291" s="5"/>
    </row>
    <row r="4292" spans="13:13" ht="15" customHeight="1" x14ac:dyDescent="0.3">
      <c r="M4292" s="5"/>
    </row>
    <row r="4293" spans="13:13" ht="15" customHeight="1" x14ac:dyDescent="0.3">
      <c r="M4293" s="5"/>
    </row>
    <row r="4294" spans="13:13" ht="15" customHeight="1" x14ac:dyDescent="0.3">
      <c r="M4294" s="5"/>
    </row>
    <row r="4295" spans="13:13" ht="15" customHeight="1" x14ac:dyDescent="0.3">
      <c r="M4295" s="5"/>
    </row>
    <row r="4296" spans="13:13" ht="15" customHeight="1" x14ac:dyDescent="0.3">
      <c r="M4296" s="5"/>
    </row>
    <row r="4297" spans="13:13" ht="15" customHeight="1" x14ac:dyDescent="0.3">
      <c r="M4297" s="5"/>
    </row>
    <row r="4298" spans="13:13" ht="15" customHeight="1" x14ac:dyDescent="0.3">
      <c r="M4298" s="5"/>
    </row>
    <row r="4299" spans="13:13" ht="15" customHeight="1" x14ac:dyDescent="0.3">
      <c r="M4299" s="5"/>
    </row>
    <row r="4300" spans="13:13" ht="15" customHeight="1" x14ac:dyDescent="0.3">
      <c r="M4300" s="5"/>
    </row>
    <row r="4301" spans="13:13" ht="15" customHeight="1" x14ac:dyDescent="0.3">
      <c r="M4301" s="5"/>
    </row>
    <row r="4302" spans="13:13" ht="15" customHeight="1" x14ac:dyDescent="0.3">
      <c r="M4302" s="5"/>
    </row>
    <row r="4303" spans="13:13" ht="15" customHeight="1" x14ac:dyDescent="0.3">
      <c r="M4303" s="5"/>
    </row>
    <row r="4304" spans="13:13" ht="15" customHeight="1" x14ac:dyDescent="0.3">
      <c r="M4304" s="5"/>
    </row>
    <row r="4305" spans="13:13" ht="15" customHeight="1" x14ac:dyDescent="0.3">
      <c r="M4305" s="5"/>
    </row>
    <row r="4306" spans="13:13" ht="15" customHeight="1" x14ac:dyDescent="0.3">
      <c r="M4306" s="5"/>
    </row>
    <row r="4307" spans="13:13" ht="15" customHeight="1" x14ac:dyDescent="0.3">
      <c r="M4307" s="5"/>
    </row>
    <row r="4308" spans="13:13" ht="15" customHeight="1" x14ac:dyDescent="0.3">
      <c r="M4308" s="5"/>
    </row>
    <row r="4309" spans="13:13" ht="15" customHeight="1" x14ac:dyDescent="0.3">
      <c r="M4309" s="5"/>
    </row>
    <row r="4310" spans="13:13" ht="15" customHeight="1" x14ac:dyDescent="0.3">
      <c r="M4310" s="5"/>
    </row>
    <row r="4311" spans="13:13" ht="15" customHeight="1" x14ac:dyDescent="0.3">
      <c r="M4311" s="5"/>
    </row>
    <row r="4312" spans="13:13" ht="15" customHeight="1" x14ac:dyDescent="0.3">
      <c r="M4312" s="5"/>
    </row>
    <row r="4313" spans="13:13" ht="15" customHeight="1" x14ac:dyDescent="0.3">
      <c r="M4313" s="5"/>
    </row>
    <row r="4314" spans="13:13" ht="15" customHeight="1" x14ac:dyDescent="0.3">
      <c r="M4314" s="5"/>
    </row>
    <row r="4315" spans="13:13" ht="15" customHeight="1" x14ac:dyDescent="0.3">
      <c r="M4315" s="5"/>
    </row>
    <row r="4316" spans="13:13" ht="15" customHeight="1" x14ac:dyDescent="0.3">
      <c r="M4316" s="5"/>
    </row>
    <row r="4317" spans="13:13" ht="15" customHeight="1" x14ac:dyDescent="0.3">
      <c r="M4317" s="5"/>
    </row>
    <row r="4318" spans="13:13" ht="15" customHeight="1" x14ac:dyDescent="0.3">
      <c r="M4318" s="5"/>
    </row>
    <row r="4319" spans="13:13" ht="15" customHeight="1" x14ac:dyDescent="0.3">
      <c r="M4319" s="5"/>
    </row>
    <row r="4320" spans="13:13" ht="15" customHeight="1" x14ac:dyDescent="0.3">
      <c r="M4320" s="5"/>
    </row>
    <row r="4321" spans="13:13" ht="15" customHeight="1" x14ac:dyDescent="0.3">
      <c r="M4321" s="5"/>
    </row>
    <row r="4322" spans="13:13" ht="15" customHeight="1" x14ac:dyDescent="0.3">
      <c r="M4322" s="5"/>
    </row>
    <row r="4323" spans="13:13" ht="15" customHeight="1" x14ac:dyDescent="0.3">
      <c r="M4323" s="5"/>
    </row>
    <row r="4324" spans="13:13" ht="15" customHeight="1" x14ac:dyDescent="0.3">
      <c r="M4324" s="5"/>
    </row>
    <row r="4325" spans="13:13" ht="15" customHeight="1" x14ac:dyDescent="0.3">
      <c r="M4325" s="5"/>
    </row>
    <row r="4326" spans="13:13" ht="15" customHeight="1" x14ac:dyDescent="0.3">
      <c r="M4326" s="5"/>
    </row>
    <row r="4327" spans="13:13" ht="15" customHeight="1" x14ac:dyDescent="0.3">
      <c r="M4327" s="5"/>
    </row>
    <row r="4328" spans="13:13" ht="15" customHeight="1" x14ac:dyDescent="0.3">
      <c r="M4328" s="5"/>
    </row>
    <row r="4329" spans="13:13" ht="15" customHeight="1" x14ac:dyDescent="0.3">
      <c r="M4329" s="5"/>
    </row>
    <row r="4330" spans="13:13" ht="15" customHeight="1" x14ac:dyDescent="0.3">
      <c r="M4330" s="5"/>
    </row>
    <row r="4331" spans="13:13" ht="15" customHeight="1" x14ac:dyDescent="0.3">
      <c r="M4331" s="5"/>
    </row>
    <row r="4332" spans="13:13" ht="15" customHeight="1" x14ac:dyDescent="0.3">
      <c r="M4332" s="5"/>
    </row>
    <row r="4333" spans="13:13" ht="15" customHeight="1" x14ac:dyDescent="0.3">
      <c r="M4333" s="5"/>
    </row>
    <row r="4334" spans="13:13" ht="15" customHeight="1" x14ac:dyDescent="0.3">
      <c r="M4334" s="5"/>
    </row>
    <row r="4335" spans="13:13" ht="15" customHeight="1" x14ac:dyDescent="0.3">
      <c r="M4335" s="5"/>
    </row>
    <row r="4336" spans="13:13" ht="15" customHeight="1" x14ac:dyDescent="0.3">
      <c r="M4336" s="5"/>
    </row>
    <row r="4337" spans="13:13" ht="15" customHeight="1" x14ac:dyDescent="0.3">
      <c r="M4337" s="5"/>
    </row>
    <row r="4338" spans="13:13" ht="15" customHeight="1" x14ac:dyDescent="0.3">
      <c r="M4338" s="5"/>
    </row>
    <row r="4339" spans="13:13" ht="15" customHeight="1" x14ac:dyDescent="0.3">
      <c r="M4339" s="5"/>
    </row>
    <row r="4340" spans="13:13" ht="15" customHeight="1" x14ac:dyDescent="0.3">
      <c r="M4340" s="5"/>
    </row>
    <row r="4341" spans="13:13" ht="15" customHeight="1" x14ac:dyDescent="0.3">
      <c r="M4341" s="5"/>
    </row>
    <row r="4342" spans="13:13" ht="15" customHeight="1" x14ac:dyDescent="0.3">
      <c r="M4342" s="5"/>
    </row>
    <row r="4343" spans="13:13" ht="15" customHeight="1" x14ac:dyDescent="0.3">
      <c r="M4343" s="5"/>
    </row>
    <row r="4344" spans="13:13" ht="15" customHeight="1" x14ac:dyDescent="0.3">
      <c r="M4344" s="5"/>
    </row>
    <row r="4345" spans="13:13" ht="15" customHeight="1" x14ac:dyDescent="0.3">
      <c r="M4345" s="5"/>
    </row>
    <row r="4346" spans="13:13" ht="15" customHeight="1" x14ac:dyDescent="0.3">
      <c r="M4346" s="5"/>
    </row>
    <row r="4347" spans="13:13" ht="15" customHeight="1" x14ac:dyDescent="0.3">
      <c r="M4347" s="5"/>
    </row>
    <row r="4348" spans="13:13" ht="15" customHeight="1" x14ac:dyDescent="0.3">
      <c r="M4348" s="5"/>
    </row>
    <row r="4349" spans="13:13" ht="15" customHeight="1" x14ac:dyDescent="0.3">
      <c r="M4349" s="5"/>
    </row>
    <row r="4350" spans="13:13" ht="15" customHeight="1" x14ac:dyDescent="0.3">
      <c r="M4350" s="5"/>
    </row>
    <row r="4351" spans="13:13" ht="15" customHeight="1" x14ac:dyDescent="0.3">
      <c r="M4351" s="5"/>
    </row>
    <row r="4352" spans="13:13" ht="15" customHeight="1" x14ac:dyDescent="0.3">
      <c r="M4352" s="5"/>
    </row>
    <row r="4353" spans="13:13" ht="15" customHeight="1" x14ac:dyDescent="0.3">
      <c r="M4353" s="5"/>
    </row>
    <row r="4354" spans="13:13" ht="15" customHeight="1" x14ac:dyDescent="0.3">
      <c r="M4354" s="5"/>
    </row>
    <row r="4355" spans="13:13" ht="15" customHeight="1" x14ac:dyDescent="0.3">
      <c r="M4355" s="5"/>
    </row>
    <row r="4356" spans="13:13" ht="15" customHeight="1" x14ac:dyDescent="0.3">
      <c r="M4356" s="5"/>
    </row>
    <row r="4357" spans="13:13" ht="15" customHeight="1" x14ac:dyDescent="0.3">
      <c r="M4357" s="5"/>
    </row>
    <row r="4358" spans="13:13" ht="15" customHeight="1" x14ac:dyDescent="0.3">
      <c r="M4358" s="5"/>
    </row>
    <row r="4359" spans="13:13" ht="15" customHeight="1" x14ac:dyDescent="0.3">
      <c r="M4359" s="5"/>
    </row>
    <row r="4360" spans="13:13" ht="15" customHeight="1" x14ac:dyDescent="0.3">
      <c r="M4360" s="5"/>
    </row>
    <row r="4361" spans="13:13" ht="15" customHeight="1" x14ac:dyDescent="0.3">
      <c r="M4361" s="5"/>
    </row>
    <row r="4362" spans="13:13" ht="15" customHeight="1" x14ac:dyDescent="0.3">
      <c r="M4362" s="5"/>
    </row>
    <row r="4363" spans="13:13" ht="15" customHeight="1" x14ac:dyDescent="0.3">
      <c r="M4363" s="5"/>
    </row>
    <row r="4364" spans="13:13" ht="15" customHeight="1" x14ac:dyDescent="0.3">
      <c r="M4364" s="5"/>
    </row>
    <row r="4365" spans="13:13" ht="15" customHeight="1" x14ac:dyDescent="0.3">
      <c r="M4365" s="5"/>
    </row>
    <row r="4366" spans="13:13" ht="15" customHeight="1" x14ac:dyDescent="0.3">
      <c r="M4366" s="5"/>
    </row>
    <row r="4367" spans="13:13" ht="15" customHeight="1" x14ac:dyDescent="0.3">
      <c r="M4367" s="5"/>
    </row>
    <row r="4368" spans="13:13" ht="15" customHeight="1" x14ac:dyDescent="0.3">
      <c r="M4368" s="5"/>
    </row>
    <row r="4369" spans="13:13" ht="15" customHeight="1" x14ac:dyDescent="0.3">
      <c r="M4369" s="5"/>
    </row>
    <row r="4370" spans="13:13" ht="15" customHeight="1" x14ac:dyDescent="0.3">
      <c r="M4370" s="5"/>
    </row>
    <row r="4371" spans="13:13" ht="15" customHeight="1" x14ac:dyDescent="0.3">
      <c r="M4371" s="5"/>
    </row>
    <row r="4372" spans="13:13" ht="15" customHeight="1" x14ac:dyDescent="0.3">
      <c r="M4372" s="5"/>
    </row>
    <row r="4373" spans="13:13" ht="15" customHeight="1" x14ac:dyDescent="0.3">
      <c r="M4373" s="5"/>
    </row>
    <row r="4374" spans="13:13" ht="15" customHeight="1" x14ac:dyDescent="0.3">
      <c r="M4374" s="5"/>
    </row>
    <row r="4375" spans="13:13" ht="15" customHeight="1" x14ac:dyDescent="0.3">
      <c r="M4375" s="5"/>
    </row>
    <row r="4376" spans="13:13" ht="15" customHeight="1" x14ac:dyDescent="0.3">
      <c r="M4376" s="5"/>
    </row>
    <row r="4377" spans="13:13" ht="15" customHeight="1" x14ac:dyDescent="0.3">
      <c r="M4377" s="5"/>
    </row>
    <row r="4378" spans="13:13" ht="15" customHeight="1" x14ac:dyDescent="0.3">
      <c r="M4378" s="5"/>
    </row>
    <row r="4379" spans="13:13" ht="15" customHeight="1" x14ac:dyDescent="0.3">
      <c r="M4379" s="5"/>
    </row>
    <row r="4380" spans="13:13" ht="15" customHeight="1" x14ac:dyDescent="0.3">
      <c r="M4380" s="5"/>
    </row>
    <row r="4381" spans="13:13" ht="15" customHeight="1" x14ac:dyDescent="0.3">
      <c r="M4381" s="5"/>
    </row>
    <row r="4382" spans="13:13" ht="15" customHeight="1" x14ac:dyDescent="0.3">
      <c r="M4382" s="5"/>
    </row>
    <row r="4383" spans="13:13" ht="15" customHeight="1" x14ac:dyDescent="0.3">
      <c r="M4383" s="5"/>
    </row>
    <row r="4384" spans="13:13" ht="15" customHeight="1" x14ac:dyDescent="0.3">
      <c r="M4384" s="5"/>
    </row>
    <row r="4385" spans="13:13" ht="15" customHeight="1" x14ac:dyDescent="0.3">
      <c r="M4385" s="5"/>
    </row>
    <row r="4386" spans="13:13" ht="15" customHeight="1" x14ac:dyDescent="0.3">
      <c r="M4386" s="5"/>
    </row>
    <row r="4387" spans="13:13" ht="15" customHeight="1" x14ac:dyDescent="0.3">
      <c r="M4387" s="5"/>
    </row>
    <row r="4388" spans="13:13" ht="15" customHeight="1" x14ac:dyDescent="0.3">
      <c r="M4388" s="5"/>
    </row>
    <row r="4389" spans="13:13" ht="15" customHeight="1" x14ac:dyDescent="0.3">
      <c r="M4389" s="5"/>
    </row>
    <row r="4390" spans="13:13" ht="15" customHeight="1" x14ac:dyDescent="0.3">
      <c r="M4390" s="5"/>
    </row>
    <row r="4391" spans="13:13" ht="15" customHeight="1" x14ac:dyDescent="0.3">
      <c r="M4391" s="5"/>
    </row>
    <row r="4392" spans="13:13" ht="15" customHeight="1" x14ac:dyDescent="0.3">
      <c r="M4392" s="5"/>
    </row>
    <row r="4393" spans="13:13" ht="15" customHeight="1" x14ac:dyDescent="0.3">
      <c r="M4393" s="5"/>
    </row>
    <row r="4394" spans="13:13" ht="15" customHeight="1" x14ac:dyDescent="0.3">
      <c r="M4394" s="5"/>
    </row>
    <row r="4395" spans="13:13" ht="15" customHeight="1" x14ac:dyDescent="0.3">
      <c r="M4395" s="5"/>
    </row>
    <row r="4396" spans="13:13" ht="15" customHeight="1" x14ac:dyDescent="0.3">
      <c r="M4396" s="5"/>
    </row>
    <row r="4397" spans="13:13" ht="15" customHeight="1" x14ac:dyDescent="0.3">
      <c r="M4397" s="5"/>
    </row>
    <row r="4398" spans="13:13" ht="15" customHeight="1" x14ac:dyDescent="0.3">
      <c r="M4398" s="5"/>
    </row>
    <row r="4399" spans="13:13" ht="15" customHeight="1" x14ac:dyDescent="0.3">
      <c r="M4399" s="5"/>
    </row>
    <row r="4400" spans="13:13" ht="15" customHeight="1" x14ac:dyDescent="0.3">
      <c r="M4400" s="5"/>
    </row>
    <row r="4401" spans="13:13" ht="15" customHeight="1" x14ac:dyDescent="0.3">
      <c r="M4401" s="5"/>
    </row>
    <row r="4402" spans="13:13" ht="15" customHeight="1" x14ac:dyDescent="0.3">
      <c r="M4402" s="5"/>
    </row>
    <row r="4403" spans="13:13" ht="15" customHeight="1" x14ac:dyDescent="0.3">
      <c r="M4403" s="5"/>
    </row>
    <row r="4404" spans="13:13" ht="15" customHeight="1" x14ac:dyDescent="0.3">
      <c r="M4404" s="5"/>
    </row>
    <row r="4405" spans="13:13" ht="15" customHeight="1" x14ac:dyDescent="0.3">
      <c r="M4405" s="5"/>
    </row>
    <row r="4406" spans="13:13" ht="15" customHeight="1" x14ac:dyDescent="0.3">
      <c r="M4406" s="5"/>
    </row>
    <row r="4407" spans="13:13" ht="15" customHeight="1" x14ac:dyDescent="0.3">
      <c r="M4407" s="5"/>
    </row>
    <row r="4408" spans="13:13" ht="15" customHeight="1" x14ac:dyDescent="0.3">
      <c r="M4408" s="5"/>
    </row>
    <row r="4409" spans="13:13" ht="15" customHeight="1" x14ac:dyDescent="0.3">
      <c r="M4409" s="5"/>
    </row>
    <row r="4410" spans="13:13" ht="15" customHeight="1" x14ac:dyDescent="0.3">
      <c r="M4410" s="5"/>
    </row>
    <row r="4411" spans="13:13" ht="15" customHeight="1" x14ac:dyDescent="0.3">
      <c r="M4411" s="5"/>
    </row>
    <row r="4412" spans="13:13" ht="15" customHeight="1" x14ac:dyDescent="0.3">
      <c r="M4412" s="5"/>
    </row>
    <row r="4413" spans="13:13" ht="15" customHeight="1" x14ac:dyDescent="0.3">
      <c r="M4413" s="5"/>
    </row>
    <row r="4414" spans="13:13" ht="15" customHeight="1" x14ac:dyDescent="0.3">
      <c r="M4414" s="5"/>
    </row>
    <row r="4415" spans="13:13" ht="15" customHeight="1" x14ac:dyDescent="0.3">
      <c r="M4415" s="5"/>
    </row>
    <row r="4416" spans="13:13" ht="15" customHeight="1" x14ac:dyDescent="0.3">
      <c r="M4416" s="5"/>
    </row>
    <row r="4417" spans="13:13" ht="15" customHeight="1" x14ac:dyDescent="0.3">
      <c r="M4417" s="5"/>
    </row>
    <row r="4418" spans="13:13" ht="15" customHeight="1" x14ac:dyDescent="0.3">
      <c r="M4418" s="5"/>
    </row>
    <row r="4419" spans="13:13" ht="15" customHeight="1" x14ac:dyDescent="0.3">
      <c r="M4419" s="5"/>
    </row>
    <row r="4420" spans="13:13" ht="15" customHeight="1" x14ac:dyDescent="0.3">
      <c r="M4420" s="5"/>
    </row>
    <row r="4421" spans="13:13" ht="15" customHeight="1" x14ac:dyDescent="0.3">
      <c r="M4421" s="5"/>
    </row>
    <row r="4422" spans="13:13" ht="15" customHeight="1" x14ac:dyDescent="0.3">
      <c r="M4422" s="5"/>
    </row>
    <row r="4423" spans="13:13" ht="15" customHeight="1" x14ac:dyDescent="0.3">
      <c r="M4423" s="5"/>
    </row>
    <row r="4424" spans="13:13" ht="15" customHeight="1" x14ac:dyDescent="0.3">
      <c r="M4424" s="5"/>
    </row>
    <row r="4425" spans="13:13" ht="15" customHeight="1" x14ac:dyDescent="0.3">
      <c r="M4425" s="5"/>
    </row>
    <row r="4426" spans="13:13" ht="15" customHeight="1" x14ac:dyDescent="0.3">
      <c r="M4426" s="5"/>
    </row>
    <row r="4427" spans="13:13" ht="15" customHeight="1" x14ac:dyDescent="0.3">
      <c r="M4427" s="5"/>
    </row>
    <row r="4428" spans="13:13" ht="15" customHeight="1" x14ac:dyDescent="0.3">
      <c r="M4428" s="5"/>
    </row>
    <row r="4429" spans="13:13" ht="15" customHeight="1" x14ac:dyDescent="0.3">
      <c r="M4429" s="5"/>
    </row>
    <row r="4430" spans="13:13" ht="15" customHeight="1" x14ac:dyDescent="0.3">
      <c r="M4430" s="5"/>
    </row>
    <row r="4431" spans="13:13" ht="15" customHeight="1" x14ac:dyDescent="0.3">
      <c r="M4431" s="5"/>
    </row>
    <row r="4432" spans="13:13" ht="15" customHeight="1" x14ac:dyDescent="0.3">
      <c r="M4432" s="5"/>
    </row>
    <row r="4433" spans="13:13" ht="15" customHeight="1" x14ac:dyDescent="0.3">
      <c r="M4433" s="5"/>
    </row>
    <row r="4434" spans="13:13" ht="15" customHeight="1" x14ac:dyDescent="0.3">
      <c r="M4434" s="5"/>
    </row>
    <row r="4435" spans="13:13" ht="15" customHeight="1" x14ac:dyDescent="0.3">
      <c r="M4435" s="5"/>
    </row>
    <row r="4436" spans="13:13" ht="15" customHeight="1" x14ac:dyDescent="0.3">
      <c r="M4436" s="5"/>
    </row>
    <row r="4437" spans="13:13" ht="15" customHeight="1" x14ac:dyDescent="0.3">
      <c r="M4437" s="5"/>
    </row>
    <row r="4438" spans="13:13" ht="15" customHeight="1" x14ac:dyDescent="0.3">
      <c r="M4438" s="5"/>
    </row>
    <row r="4439" spans="13:13" ht="15" customHeight="1" x14ac:dyDescent="0.3">
      <c r="M4439" s="5"/>
    </row>
    <row r="4440" spans="13:13" ht="15" customHeight="1" x14ac:dyDescent="0.3">
      <c r="M4440" s="5"/>
    </row>
    <row r="4441" spans="13:13" ht="15" customHeight="1" x14ac:dyDescent="0.3">
      <c r="M4441" s="5"/>
    </row>
    <row r="4442" spans="13:13" ht="15" customHeight="1" x14ac:dyDescent="0.3">
      <c r="M4442" s="5"/>
    </row>
    <row r="4443" spans="13:13" ht="15" customHeight="1" x14ac:dyDescent="0.3">
      <c r="M4443" s="5"/>
    </row>
    <row r="4444" spans="13:13" ht="15" customHeight="1" x14ac:dyDescent="0.3">
      <c r="M4444" s="5"/>
    </row>
    <row r="4445" spans="13:13" ht="15" customHeight="1" x14ac:dyDescent="0.3">
      <c r="M4445" s="5"/>
    </row>
    <row r="4446" spans="13:13" ht="15" customHeight="1" x14ac:dyDescent="0.3">
      <c r="M4446" s="5"/>
    </row>
    <row r="4447" spans="13:13" ht="15" customHeight="1" x14ac:dyDescent="0.3">
      <c r="M4447" s="5"/>
    </row>
    <row r="4448" spans="13:13" ht="15" customHeight="1" x14ac:dyDescent="0.3">
      <c r="M4448" s="5"/>
    </row>
    <row r="4449" spans="13:13" ht="15" customHeight="1" x14ac:dyDescent="0.3">
      <c r="M4449" s="5"/>
    </row>
    <row r="4450" spans="13:13" ht="15" customHeight="1" x14ac:dyDescent="0.3">
      <c r="M4450" s="5"/>
    </row>
    <row r="4451" spans="13:13" ht="15" customHeight="1" x14ac:dyDescent="0.3">
      <c r="M4451" s="5"/>
    </row>
    <row r="4452" spans="13:13" ht="15" customHeight="1" x14ac:dyDescent="0.3">
      <c r="M4452" s="5"/>
    </row>
    <row r="4453" spans="13:13" ht="15" customHeight="1" x14ac:dyDescent="0.3">
      <c r="M4453" s="5"/>
    </row>
    <row r="4454" spans="13:13" ht="15" customHeight="1" x14ac:dyDescent="0.3">
      <c r="M4454" s="5"/>
    </row>
    <row r="4455" spans="13:13" ht="15" customHeight="1" x14ac:dyDescent="0.3">
      <c r="M4455" s="5"/>
    </row>
    <row r="4456" spans="13:13" ht="15" customHeight="1" x14ac:dyDescent="0.3">
      <c r="M4456" s="5"/>
    </row>
    <row r="4457" spans="13:13" ht="15" customHeight="1" x14ac:dyDescent="0.3">
      <c r="M4457" s="5"/>
    </row>
    <row r="4458" spans="13:13" ht="15" customHeight="1" x14ac:dyDescent="0.3">
      <c r="M4458" s="5"/>
    </row>
    <row r="4459" spans="13:13" ht="15" customHeight="1" x14ac:dyDescent="0.3">
      <c r="M4459" s="5"/>
    </row>
    <row r="4460" spans="13:13" ht="15" customHeight="1" x14ac:dyDescent="0.3">
      <c r="M4460" s="5"/>
    </row>
    <row r="4461" spans="13:13" ht="15" customHeight="1" x14ac:dyDescent="0.3">
      <c r="M4461" s="5"/>
    </row>
    <row r="4462" spans="13:13" ht="15" customHeight="1" x14ac:dyDescent="0.3">
      <c r="M4462" s="5"/>
    </row>
    <row r="4463" spans="13:13" ht="15" customHeight="1" x14ac:dyDescent="0.3">
      <c r="M4463" s="5"/>
    </row>
    <row r="4464" spans="13:13" ht="15" customHeight="1" x14ac:dyDescent="0.3">
      <c r="M4464" s="5"/>
    </row>
    <row r="4465" spans="13:13" ht="15" customHeight="1" x14ac:dyDescent="0.3">
      <c r="M4465" s="5"/>
    </row>
    <row r="4466" spans="13:13" ht="15" customHeight="1" x14ac:dyDescent="0.3">
      <c r="M4466" s="5"/>
    </row>
    <row r="4467" spans="13:13" ht="15" customHeight="1" x14ac:dyDescent="0.3">
      <c r="M4467" s="5"/>
    </row>
    <row r="4468" spans="13:13" ht="15" customHeight="1" x14ac:dyDescent="0.3">
      <c r="M4468" s="5"/>
    </row>
    <row r="4469" spans="13:13" ht="15" customHeight="1" x14ac:dyDescent="0.3">
      <c r="M4469" s="5"/>
    </row>
    <row r="4470" spans="13:13" ht="15" customHeight="1" x14ac:dyDescent="0.3">
      <c r="M4470" s="5"/>
    </row>
    <row r="4471" spans="13:13" ht="15" customHeight="1" x14ac:dyDescent="0.3">
      <c r="M4471" s="5"/>
    </row>
    <row r="4472" spans="13:13" ht="15" customHeight="1" x14ac:dyDescent="0.3">
      <c r="M4472" s="5"/>
    </row>
    <row r="4473" spans="13:13" ht="15" customHeight="1" x14ac:dyDescent="0.3">
      <c r="M4473" s="5"/>
    </row>
    <row r="4474" spans="13:13" ht="15" customHeight="1" x14ac:dyDescent="0.3">
      <c r="M4474" s="5"/>
    </row>
    <row r="4475" spans="13:13" ht="15" customHeight="1" x14ac:dyDescent="0.3">
      <c r="M4475" s="5"/>
    </row>
    <row r="4476" spans="13:13" ht="15" customHeight="1" x14ac:dyDescent="0.3">
      <c r="M4476" s="5"/>
    </row>
    <row r="4477" spans="13:13" ht="15" customHeight="1" x14ac:dyDescent="0.3">
      <c r="M4477" s="5"/>
    </row>
    <row r="4478" spans="13:13" ht="15" customHeight="1" x14ac:dyDescent="0.3">
      <c r="M4478" s="5"/>
    </row>
    <row r="4479" spans="13:13" ht="15" customHeight="1" x14ac:dyDescent="0.3">
      <c r="M4479" s="5"/>
    </row>
    <row r="4480" spans="13:13" ht="15" customHeight="1" x14ac:dyDescent="0.3">
      <c r="M4480" s="5"/>
    </row>
    <row r="4481" spans="13:13" ht="15" customHeight="1" x14ac:dyDescent="0.3">
      <c r="M4481" s="5"/>
    </row>
    <row r="4482" spans="13:13" ht="15" customHeight="1" x14ac:dyDescent="0.3">
      <c r="M4482" s="5"/>
    </row>
    <row r="4483" spans="13:13" ht="15" customHeight="1" x14ac:dyDescent="0.3">
      <c r="M4483" s="5"/>
    </row>
    <row r="4484" spans="13:13" ht="15" customHeight="1" x14ac:dyDescent="0.3">
      <c r="M4484" s="5"/>
    </row>
    <row r="4485" spans="13:13" ht="15" customHeight="1" x14ac:dyDescent="0.3">
      <c r="M4485" s="5"/>
    </row>
    <row r="4486" spans="13:13" ht="15" customHeight="1" x14ac:dyDescent="0.3">
      <c r="M4486" s="5"/>
    </row>
    <row r="4487" spans="13:13" ht="15" customHeight="1" x14ac:dyDescent="0.3">
      <c r="M4487" s="5"/>
    </row>
    <row r="4488" spans="13:13" ht="15" customHeight="1" x14ac:dyDescent="0.3">
      <c r="M4488" s="5"/>
    </row>
    <row r="4489" spans="13:13" ht="15" customHeight="1" x14ac:dyDescent="0.3">
      <c r="M4489" s="5"/>
    </row>
    <row r="4490" spans="13:13" ht="15" customHeight="1" x14ac:dyDescent="0.3">
      <c r="M4490" s="5"/>
    </row>
    <row r="4491" spans="13:13" ht="15" customHeight="1" x14ac:dyDescent="0.3">
      <c r="M4491" s="5"/>
    </row>
    <row r="4492" spans="13:13" ht="15" customHeight="1" x14ac:dyDescent="0.3">
      <c r="M4492" s="5"/>
    </row>
    <row r="4493" spans="13:13" ht="15" customHeight="1" x14ac:dyDescent="0.3">
      <c r="M4493" s="5"/>
    </row>
    <row r="4494" spans="13:13" ht="15" customHeight="1" x14ac:dyDescent="0.3">
      <c r="M4494" s="5"/>
    </row>
    <row r="4495" spans="13:13" ht="15" customHeight="1" x14ac:dyDescent="0.3">
      <c r="M4495" s="5"/>
    </row>
    <row r="4496" spans="13:13" ht="15" customHeight="1" x14ac:dyDescent="0.3">
      <c r="M4496" s="5"/>
    </row>
    <row r="4497" spans="13:13" ht="15" customHeight="1" x14ac:dyDescent="0.3">
      <c r="M4497" s="5"/>
    </row>
    <row r="4498" spans="13:13" ht="15" customHeight="1" x14ac:dyDescent="0.3">
      <c r="M4498" s="5"/>
    </row>
    <row r="4499" spans="13:13" ht="15" customHeight="1" x14ac:dyDescent="0.3">
      <c r="M4499" s="5"/>
    </row>
    <row r="4500" spans="13:13" ht="15" customHeight="1" x14ac:dyDescent="0.3">
      <c r="M4500" s="5"/>
    </row>
    <row r="4501" spans="13:13" ht="15" customHeight="1" x14ac:dyDescent="0.3">
      <c r="M4501" s="5"/>
    </row>
    <row r="4502" spans="13:13" ht="15" customHeight="1" x14ac:dyDescent="0.3">
      <c r="M4502" s="5"/>
    </row>
    <row r="4503" spans="13:13" ht="15" customHeight="1" x14ac:dyDescent="0.3">
      <c r="M4503" s="5"/>
    </row>
    <row r="4504" spans="13:13" ht="15" customHeight="1" x14ac:dyDescent="0.3">
      <c r="M4504" s="5"/>
    </row>
    <row r="4505" spans="13:13" ht="15" customHeight="1" x14ac:dyDescent="0.3">
      <c r="M4505" s="5"/>
    </row>
    <row r="4506" spans="13:13" ht="15" customHeight="1" x14ac:dyDescent="0.3">
      <c r="M4506" s="5"/>
    </row>
    <row r="4507" spans="13:13" ht="15" customHeight="1" x14ac:dyDescent="0.3">
      <c r="M4507" s="5"/>
    </row>
    <row r="4508" spans="13:13" ht="15" customHeight="1" x14ac:dyDescent="0.3">
      <c r="M4508" s="5"/>
    </row>
    <row r="4509" spans="13:13" ht="15" customHeight="1" x14ac:dyDescent="0.3">
      <c r="M4509" s="5"/>
    </row>
    <row r="4510" spans="13:13" ht="15" customHeight="1" x14ac:dyDescent="0.3">
      <c r="M4510" s="5"/>
    </row>
    <row r="4511" spans="13:13" ht="15" customHeight="1" x14ac:dyDescent="0.3">
      <c r="M4511" s="5"/>
    </row>
    <row r="4512" spans="13:13" ht="15" customHeight="1" x14ac:dyDescent="0.3">
      <c r="M4512" s="5"/>
    </row>
    <row r="4513" spans="13:13" ht="15" customHeight="1" x14ac:dyDescent="0.3">
      <c r="M4513" s="5"/>
    </row>
    <row r="4514" spans="13:13" ht="15" customHeight="1" x14ac:dyDescent="0.3">
      <c r="M4514" s="5"/>
    </row>
    <row r="4515" spans="13:13" ht="15" customHeight="1" x14ac:dyDescent="0.3">
      <c r="M4515" s="5"/>
    </row>
    <row r="4516" spans="13:13" ht="15" customHeight="1" x14ac:dyDescent="0.3">
      <c r="M4516" s="5"/>
    </row>
    <row r="4517" spans="13:13" ht="15" customHeight="1" x14ac:dyDescent="0.3">
      <c r="M4517" s="5"/>
    </row>
    <row r="4518" spans="13:13" ht="15" customHeight="1" x14ac:dyDescent="0.3">
      <c r="M4518" s="5"/>
    </row>
    <row r="4519" spans="13:13" ht="15" customHeight="1" x14ac:dyDescent="0.3">
      <c r="M4519" s="5"/>
    </row>
    <row r="4520" spans="13:13" ht="15" customHeight="1" x14ac:dyDescent="0.3">
      <c r="M4520" s="5"/>
    </row>
    <row r="4521" spans="13:13" ht="15" customHeight="1" x14ac:dyDescent="0.3">
      <c r="M4521" s="5"/>
    </row>
    <row r="4522" spans="13:13" ht="15" customHeight="1" x14ac:dyDescent="0.3">
      <c r="M4522" s="5"/>
    </row>
    <row r="4523" spans="13:13" ht="15" customHeight="1" x14ac:dyDescent="0.3">
      <c r="M4523" s="5"/>
    </row>
    <row r="4524" spans="13:13" ht="15" customHeight="1" x14ac:dyDescent="0.3">
      <c r="M4524" s="5"/>
    </row>
    <row r="4525" spans="13:13" ht="15" customHeight="1" x14ac:dyDescent="0.3">
      <c r="M4525" s="5"/>
    </row>
    <row r="4526" spans="13:13" ht="15" customHeight="1" x14ac:dyDescent="0.3">
      <c r="M4526" s="5"/>
    </row>
    <row r="4527" spans="13:13" ht="15" customHeight="1" x14ac:dyDescent="0.3">
      <c r="M4527" s="5"/>
    </row>
    <row r="4528" spans="13:13" ht="15" customHeight="1" x14ac:dyDescent="0.3">
      <c r="M4528" s="5"/>
    </row>
    <row r="4529" spans="13:13" ht="15" customHeight="1" x14ac:dyDescent="0.3">
      <c r="M4529" s="5"/>
    </row>
    <row r="4530" spans="13:13" ht="15" customHeight="1" x14ac:dyDescent="0.3">
      <c r="M4530" s="5"/>
    </row>
    <row r="4531" spans="13:13" ht="15" customHeight="1" x14ac:dyDescent="0.3">
      <c r="M4531" s="5"/>
    </row>
    <row r="4532" spans="13:13" ht="15" customHeight="1" x14ac:dyDescent="0.3">
      <c r="M4532" s="5"/>
    </row>
    <row r="4533" spans="13:13" ht="15" customHeight="1" x14ac:dyDescent="0.3">
      <c r="M4533" s="5"/>
    </row>
    <row r="4534" spans="13:13" ht="15" customHeight="1" x14ac:dyDescent="0.3">
      <c r="M4534" s="5"/>
    </row>
    <row r="4535" spans="13:13" ht="15" customHeight="1" x14ac:dyDescent="0.3">
      <c r="M4535" s="5"/>
    </row>
    <row r="4536" spans="13:13" ht="15" customHeight="1" x14ac:dyDescent="0.3">
      <c r="M4536" s="5"/>
    </row>
    <row r="4537" spans="13:13" ht="15" customHeight="1" x14ac:dyDescent="0.3">
      <c r="M4537" s="5"/>
    </row>
    <row r="4538" spans="13:13" ht="15" customHeight="1" x14ac:dyDescent="0.3">
      <c r="M4538" s="5"/>
    </row>
    <row r="4539" spans="13:13" ht="15" customHeight="1" x14ac:dyDescent="0.3">
      <c r="M4539" s="5"/>
    </row>
    <row r="4540" spans="13:13" ht="15" customHeight="1" x14ac:dyDescent="0.3">
      <c r="M4540" s="5"/>
    </row>
    <row r="4541" spans="13:13" ht="15" customHeight="1" x14ac:dyDescent="0.3">
      <c r="M4541" s="5"/>
    </row>
    <row r="4542" spans="13:13" ht="15" customHeight="1" x14ac:dyDescent="0.3">
      <c r="M4542" s="5"/>
    </row>
    <row r="4543" spans="13:13" ht="15" customHeight="1" x14ac:dyDescent="0.3">
      <c r="M4543" s="5"/>
    </row>
    <row r="4544" spans="13:13" ht="15" customHeight="1" x14ac:dyDescent="0.3">
      <c r="M4544" s="5"/>
    </row>
    <row r="4545" spans="13:13" ht="15" customHeight="1" x14ac:dyDescent="0.3">
      <c r="M4545" s="5"/>
    </row>
    <row r="4546" spans="13:13" ht="15" customHeight="1" x14ac:dyDescent="0.3">
      <c r="M4546" s="5"/>
    </row>
    <row r="4547" spans="13:13" ht="15" customHeight="1" x14ac:dyDescent="0.3">
      <c r="M4547" s="5"/>
    </row>
    <row r="4548" spans="13:13" ht="15" customHeight="1" x14ac:dyDescent="0.3">
      <c r="M4548" s="5"/>
    </row>
    <row r="4549" spans="13:13" ht="15" customHeight="1" x14ac:dyDescent="0.3">
      <c r="M4549" s="5"/>
    </row>
    <row r="4550" spans="13:13" ht="15" customHeight="1" x14ac:dyDescent="0.3">
      <c r="M4550" s="5"/>
    </row>
    <row r="4551" spans="13:13" ht="15" customHeight="1" x14ac:dyDescent="0.3">
      <c r="M4551" s="5"/>
    </row>
    <row r="4552" spans="13:13" ht="15" customHeight="1" x14ac:dyDescent="0.3">
      <c r="M4552" s="5"/>
    </row>
    <row r="4553" spans="13:13" ht="15" customHeight="1" x14ac:dyDescent="0.3">
      <c r="M4553" s="5"/>
    </row>
    <row r="4554" spans="13:13" ht="15" customHeight="1" x14ac:dyDescent="0.3">
      <c r="M4554" s="5"/>
    </row>
    <row r="4555" spans="13:13" ht="15" customHeight="1" x14ac:dyDescent="0.3">
      <c r="M4555" s="5"/>
    </row>
    <row r="4556" spans="13:13" ht="15" customHeight="1" x14ac:dyDescent="0.3">
      <c r="M4556" s="5"/>
    </row>
    <row r="4557" spans="13:13" ht="15" customHeight="1" x14ac:dyDescent="0.3">
      <c r="M4557" s="5"/>
    </row>
    <row r="4558" spans="13:13" ht="15" customHeight="1" x14ac:dyDescent="0.3">
      <c r="M4558" s="5"/>
    </row>
    <row r="4559" spans="13:13" ht="15" customHeight="1" x14ac:dyDescent="0.3">
      <c r="M4559" s="5"/>
    </row>
    <row r="4560" spans="13:13" ht="15" customHeight="1" x14ac:dyDescent="0.3">
      <c r="M4560" s="5"/>
    </row>
    <row r="4561" spans="13:13" ht="15" customHeight="1" x14ac:dyDescent="0.3">
      <c r="M4561" s="5"/>
    </row>
    <row r="4562" spans="13:13" ht="15" customHeight="1" x14ac:dyDescent="0.3">
      <c r="M4562" s="5"/>
    </row>
    <row r="4563" spans="13:13" ht="15" customHeight="1" x14ac:dyDescent="0.3">
      <c r="M4563" s="5"/>
    </row>
    <row r="4564" spans="13:13" ht="15" customHeight="1" x14ac:dyDescent="0.3">
      <c r="M4564" s="5"/>
    </row>
    <row r="4565" spans="13:13" ht="15" customHeight="1" x14ac:dyDescent="0.3">
      <c r="M4565" s="5"/>
    </row>
    <row r="4566" spans="13:13" ht="15" customHeight="1" x14ac:dyDescent="0.3">
      <c r="M4566" s="5"/>
    </row>
    <row r="4567" spans="13:13" ht="15" customHeight="1" x14ac:dyDescent="0.3">
      <c r="M4567" s="5"/>
    </row>
    <row r="4568" spans="13:13" ht="15" customHeight="1" x14ac:dyDescent="0.3">
      <c r="M4568" s="5"/>
    </row>
    <row r="4569" spans="13:13" ht="15" customHeight="1" x14ac:dyDescent="0.3">
      <c r="M4569" s="5"/>
    </row>
    <row r="4570" spans="13:13" ht="15" customHeight="1" x14ac:dyDescent="0.3">
      <c r="M4570" s="5"/>
    </row>
    <row r="4571" spans="13:13" ht="15" customHeight="1" x14ac:dyDescent="0.3">
      <c r="M4571" s="5"/>
    </row>
    <row r="4572" spans="13:13" ht="15" customHeight="1" x14ac:dyDescent="0.3">
      <c r="M4572" s="5"/>
    </row>
    <row r="4573" spans="13:13" ht="15" customHeight="1" x14ac:dyDescent="0.3">
      <c r="M4573" s="5"/>
    </row>
    <row r="4574" spans="13:13" ht="15" customHeight="1" x14ac:dyDescent="0.3">
      <c r="M4574" s="5"/>
    </row>
    <row r="4575" spans="13:13" ht="15" customHeight="1" x14ac:dyDescent="0.3">
      <c r="M4575" s="5"/>
    </row>
    <row r="4576" spans="13:13" ht="15" customHeight="1" x14ac:dyDescent="0.3">
      <c r="M4576" s="5"/>
    </row>
    <row r="4577" spans="13:13" ht="15" customHeight="1" x14ac:dyDescent="0.3">
      <c r="M4577" s="5"/>
    </row>
    <row r="4578" spans="13:13" ht="15" customHeight="1" x14ac:dyDescent="0.3">
      <c r="M4578" s="5"/>
    </row>
    <row r="4579" spans="13:13" ht="15" customHeight="1" x14ac:dyDescent="0.3">
      <c r="M4579" s="5"/>
    </row>
    <row r="4580" spans="13:13" ht="15" customHeight="1" x14ac:dyDescent="0.3">
      <c r="M4580" s="5"/>
    </row>
    <row r="4581" spans="13:13" ht="15" customHeight="1" x14ac:dyDescent="0.3">
      <c r="M4581" s="5"/>
    </row>
    <row r="4582" spans="13:13" ht="15" customHeight="1" x14ac:dyDescent="0.3">
      <c r="M4582" s="5"/>
    </row>
    <row r="4583" spans="13:13" ht="15" customHeight="1" x14ac:dyDescent="0.3">
      <c r="M4583" s="5"/>
    </row>
    <row r="4584" spans="13:13" ht="15" customHeight="1" x14ac:dyDescent="0.3">
      <c r="M4584" s="5"/>
    </row>
    <row r="4585" spans="13:13" ht="15" customHeight="1" x14ac:dyDescent="0.3">
      <c r="M4585" s="5"/>
    </row>
    <row r="4586" spans="13:13" ht="15" customHeight="1" x14ac:dyDescent="0.3">
      <c r="M4586" s="5"/>
    </row>
    <row r="4587" spans="13:13" ht="15" customHeight="1" x14ac:dyDescent="0.3">
      <c r="M4587" s="5"/>
    </row>
    <row r="4588" spans="13:13" ht="15" customHeight="1" x14ac:dyDescent="0.3">
      <c r="M4588" s="5"/>
    </row>
    <row r="4589" spans="13:13" ht="15" customHeight="1" x14ac:dyDescent="0.3">
      <c r="M4589" s="5"/>
    </row>
    <row r="4590" spans="13:13" ht="15" customHeight="1" x14ac:dyDescent="0.3">
      <c r="M4590" s="5"/>
    </row>
    <row r="4591" spans="13:13" ht="15" customHeight="1" x14ac:dyDescent="0.3">
      <c r="M4591" s="5"/>
    </row>
    <row r="4592" spans="13:13" ht="15" customHeight="1" x14ac:dyDescent="0.3">
      <c r="M4592" s="5"/>
    </row>
    <row r="4593" spans="13:13" ht="15" customHeight="1" x14ac:dyDescent="0.3">
      <c r="M4593" s="5"/>
    </row>
    <row r="4594" spans="13:13" ht="15" customHeight="1" x14ac:dyDescent="0.3">
      <c r="M4594" s="5"/>
    </row>
    <row r="4595" spans="13:13" ht="15" customHeight="1" x14ac:dyDescent="0.3">
      <c r="M4595" s="5"/>
    </row>
    <row r="4596" spans="13:13" ht="15" customHeight="1" x14ac:dyDescent="0.3">
      <c r="M4596" s="5"/>
    </row>
    <row r="4597" spans="13:13" ht="15" customHeight="1" x14ac:dyDescent="0.3">
      <c r="M4597" s="5"/>
    </row>
    <row r="4598" spans="13:13" ht="15" customHeight="1" x14ac:dyDescent="0.3">
      <c r="M4598" s="5"/>
    </row>
    <row r="4599" spans="13:13" ht="15" customHeight="1" x14ac:dyDescent="0.3">
      <c r="M4599" s="5"/>
    </row>
    <row r="4600" spans="13:13" ht="15" customHeight="1" x14ac:dyDescent="0.3">
      <c r="M4600" s="5"/>
    </row>
    <row r="4601" spans="13:13" ht="15" customHeight="1" x14ac:dyDescent="0.3">
      <c r="M4601" s="5"/>
    </row>
    <row r="4602" spans="13:13" ht="15" customHeight="1" x14ac:dyDescent="0.3">
      <c r="M4602" s="5"/>
    </row>
    <row r="4603" spans="13:13" ht="15" customHeight="1" x14ac:dyDescent="0.3">
      <c r="M4603" s="5"/>
    </row>
    <row r="4604" spans="13:13" ht="15" customHeight="1" x14ac:dyDescent="0.3">
      <c r="M4604" s="5"/>
    </row>
    <row r="4605" spans="13:13" ht="15" customHeight="1" x14ac:dyDescent="0.3">
      <c r="M4605" s="5"/>
    </row>
    <row r="4606" spans="13:13" ht="15" customHeight="1" x14ac:dyDescent="0.3">
      <c r="M4606" s="5"/>
    </row>
    <row r="4607" spans="13:13" ht="15" customHeight="1" x14ac:dyDescent="0.3">
      <c r="M4607" s="5"/>
    </row>
    <row r="4608" spans="13:13" ht="15" customHeight="1" x14ac:dyDescent="0.3">
      <c r="M4608" s="5"/>
    </row>
    <row r="4609" spans="13:13" ht="15" customHeight="1" x14ac:dyDescent="0.3">
      <c r="M4609" s="5"/>
    </row>
    <row r="4610" spans="13:13" ht="15" customHeight="1" x14ac:dyDescent="0.3">
      <c r="M4610" s="5"/>
    </row>
    <row r="4611" spans="13:13" ht="15" customHeight="1" x14ac:dyDescent="0.3">
      <c r="M4611" s="5"/>
    </row>
    <row r="4612" spans="13:13" ht="15" customHeight="1" x14ac:dyDescent="0.3">
      <c r="M4612" s="5"/>
    </row>
    <row r="4613" spans="13:13" ht="15" customHeight="1" x14ac:dyDescent="0.3">
      <c r="M4613" s="5"/>
    </row>
    <row r="4614" spans="13:13" ht="15" customHeight="1" x14ac:dyDescent="0.3">
      <c r="M4614" s="5"/>
    </row>
    <row r="4615" spans="13:13" ht="15" customHeight="1" x14ac:dyDescent="0.3">
      <c r="M4615" s="5"/>
    </row>
    <row r="4616" spans="13:13" ht="15" customHeight="1" x14ac:dyDescent="0.3">
      <c r="M4616" s="5"/>
    </row>
    <row r="4617" spans="13:13" ht="15" customHeight="1" x14ac:dyDescent="0.3">
      <c r="M4617" s="5"/>
    </row>
    <row r="4618" spans="13:13" ht="15" customHeight="1" x14ac:dyDescent="0.3">
      <c r="M4618" s="5"/>
    </row>
    <row r="4619" spans="13:13" ht="15" customHeight="1" x14ac:dyDescent="0.3">
      <c r="M4619" s="5"/>
    </row>
    <row r="4620" spans="13:13" ht="15" customHeight="1" x14ac:dyDescent="0.3">
      <c r="M4620" s="5"/>
    </row>
    <row r="4621" spans="13:13" ht="15" customHeight="1" x14ac:dyDescent="0.3">
      <c r="M4621" s="5"/>
    </row>
    <row r="4622" spans="13:13" ht="15" customHeight="1" x14ac:dyDescent="0.3">
      <c r="M4622" s="5"/>
    </row>
    <row r="4623" spans="13:13" ht="15" customHeight="1" x14ac:dyDescent="0.3">
      <c r="M4623" s="5"/>
    </row>
    <row r="4624" spans="13:13" ht="15" customHeight="1" x14ac:dyDescent="0.3">
      <c r="M4624" s="5"/>
    </row>
    <row r="4625" spans="13:13" ht="15" customHeight="1" x14ac:dyDescent="0.3">
      <c r="M4625" s="5"/>
    </row>
    <row r="4626" spans="13:13" ht="15" customHeight="1" x14ac:dyDescent="0.3">
      <c r="M4626" s="5"/>
    </row>
    <row r="4627" spans="13:13" ht="15" customHeight="1" x14ac:dyDescent="0.3">
      <c r="M4627" s="5"/>
    </row>
    <row r="4628" spans="13:13" ht="15" customHeight="1" x14ac:dyDescent="0.3">
      <c r="M4628" s="5"/>
    </row>
    <row r="4629" spans="13:13" ht="15" customHeight="1" x14ac:dyDescent="0.3">
      <c r="M4629" s="5"/>
    </row>
    <row r="4630" spans="13:13" ht="15" customHeight="1" x14ac:dyDescent="0.3">
      <c r="M4630" s="5"/>
    </row>
    <row r="4631" spans="13:13" ht="15" customHeight="1" x14ac:dyDescent="0.3">
      <c r="M4631" s="5"/>
    </row>
    <row r="4632" spans="13:13" ht="15" customHeight="1" x14ac:dyDescent="0.3">
      <c r="M4632" s="5"/>
    </row>
    <row r="4633" spans="13:13" ht="15" customHeight="1" x14ac:dyDescent="0.3">
      <c r="M4633" s="5"/>
    </row>
    <row r="4634" spans="13:13" ht="15" customHeight="1" x14ac:dyDescent="0.3">
      <c r="M4634" s="5"/>
    </row>
    <row r="4635" spans="13:13" ht="15" customHeight="1" x14ac:dyDescent="0.3">
      <c r="M4635" s="5"/>
    </row>
    <row r="4636" spans="13:13" ht="15" customHeight="1" x14ac:dyDescent="0.3">
      <c r="M4636" s="5"/>
    </row>
    <row r="4637" spans="13:13" ht="15" customHeight="1" x14ac:dyDescent="0.3">
      <c r="M4637" s="5"/>
    </row>
    <row r="4638" spans="13:13" ht="15" customHeight="1" x14ac:dyDescent="0.3">
      <c r="M4638" s="5"/>
    </row>
    <row r="4639" spans="13:13" ht="15" customHeight="1" x14ac:dyDescent="0.3">
      <c r="M4639" s="5"/>
    </row>
    <row r="4640" spans="13:13" ht="15" customHeight="1" x14ac:dyDescent="0.3">
      <c r="M4640" s="5"/>
    </row>
    <row r="4641" spans="13:13" ht="15" customHeight="1" x14ac:dyDescent="0.3">
      <c r="M4641" s="5"/>
    </row>
    <row r="4642" spans="13:13" ht="15" customHeight="1" x14ac:dyDescent="0.3">
      <c r="M4642" s="5"/>
    </row>
    <row r="4643" spans="13:13" ht="15" customHeight="1" x14ac:dyDescent="0.3">
      <c r="M4643" s="5"/>
    </row>
    <row r="4644" spans="13:13" ht="15" customHeight="1" x14ac:dyDescent="0.3">
      <c r="M4644" s="5"/>
    </row>
    <row r="4645" spans="13:13" ht="15" customHeight="1" x14ac:dyDescent="0.3">
      <c r="M4645" s="5"/>
    </row>
    <row r="4646" spans="13:13" ht="15" customHeight="1" x14ac:dyDescent="0.3">
      <c r="M4646" s="5"/>
    </row>
    <row r="4647" spans="13:13" ht="15" customHeight="1" x14ac:dyDescent="0.3">
      <c r="M4647" s="5"/>
    </row>
    <row r="4648" spans="13:13" ht="15" customHeight="1" x14ac:dyDescent="0.3">
      <c r="M4648" s="5"/>
    </row>
    <row r="4649" spans="13:13" ht="15" customHeight="1" x14ac:dyDescent="0.3">
      <c r="M4649" s="5"/>
    </row>
    <row r="4650" spans="13:13" ht="15" customHeight="1" x14ac:dyDescent="0.3">
      <c r="M4650" s="5"/>
    </row>
    <row r="4651" spans="13:13" ht="15" customHeight="1" x14ac:dyDescent="0.3">
      <c r="M4651" s="5"/>
    </row>
    <row r="4652" spans="13:13" ht="15" customHeight="1" x14ac:dyDescent="0.3">
      <c r="M4652" s="5"/>
    </row>
    <row r="4653" spans="13:13" ht="15" customHeight="1" x14ac:dyDescent="0.3">
      <c r="M4653" s="5"/>
    </row>
    <row r="4654" spans="13:13" ht="15" customHeight="1" x14ac:dyDescent="0.3">
      <c r="M4654" s="5"/>
    </row>
    <row r="4655" spans="13:13" ht="15" customHeight="1" x14ac:dyDescent="0.3">
      <c r="M4655" s="5"/>
    </row>
    <row r="4656" spans="13:13" ht="15" customHeight="1" x14ac:dyDescent="0.3">
      <c r="M4656" s="5"/>
    </row>
    <row r="4657" spans="13:13" ht="15" customHeight="1" x14ac:dyDescent="0.3">
      <c r="M4657" s="5"/>
    </row>
    <row r="4658" spans="13:13" ht="15" customHeight="1" x14ac:dyDescent="0.3">
      <c r="M4658" s="5"/>
    </row>
    <row r="4659" spans="13:13" ht="15" customHeight="1" x14ac:dyDescent="0.3">
      <c r="M4659" s="5"/>
    </row>
    <row r="4660" spans="13:13" ht="15" customHeight="1" x14ac:dyDescent="0.3">
      <c r="M4660" s="5"/>
    </row>
    <row r="4661" spans="13:13" ht="15" customHeight="1" x14ac:dyDescent="0.3">
      <c r="M4661" s="5"/>
    </row>
    <row r="4662" spans="13:13" ht="15" customHeight="1" x14ac:dyDescent="0.3">
      <c r="M4662" s="5"/>
    </row>
    <row r="4663" spans="13:13" ht="15" customHeight="1" x14ac:dyDescent="0.3">
      <c r="M4663" s="5"/>
    </row>
    <row r="4664" spans="13:13" ht="15" customHeight="1" x14ac:dyDescent="0.3">
      <c r="M4664" s="5"/>
    </row>
    <row r="4665" spans="13:13" ht="15" customHeight="1" x14ac:dyDescent="0.3">
      <c r="M4665" s="5"/>
    </row>
    <row r="4666" spans="13:13" ht="15" customHeight="1" x14ac:dyDescent="0.3">
      <c r="M4666" s="5"/>
    </row>
    <row r="4667" spans="13:13" ht="15" customHeight="1" x14ac:dyDescent="0.3">
      <c r="M4667" s="5"/>
    </row>
    <row r="4668" spans="13:13" ht="15" customHeight="1" x14ac:dyDescent="0.3">
      <c r="M4668" s="5"/>
    </row>
    <row r="4669" spans="13:13" ht="15" customHeight="1" x14ac:dyDescent="0.3">
      <c r="M4669" s="5"/>
    </row>
    <row r="4670" spans="13:13" ht="15" customHeight="1" x14ac:dyDescent="0.3">
      <c r="M4670" s="5"/>
    </row>
    <row r="4671" spans="13:13" ht="15" customHeight="1" x14ac:dyDescent="0.3">
      <c r="M4671" s="5"/>
    </row>
    <row r="4672" spans="13:13" ht="15" customHeight="1" x14ac:dyDescent="0.3">
      <c r="M4672" s="5"/>
    </row>
    <row r="4673" spans="13:13" ht="15" customHeight="1" x14ac:dyDescent="0.3">
      <c r="M4673" s="5"/>
    </row>
    <row r="4674" spans="13:13" ht="15" customHeight="1" x14ac:dyDescent="0.3">
      <c r="M4674" s="5"/>
    </row>
    <row r="4675" spans="13:13" ht="15" customHeight="1" x14ac:dyDescent="0.3">
      <c r="M4675" s="5"/>
    </row>
    <row r="4676" spans="13:13" ht="15" customHeight="1" x14ac:dyDescent="0.3">
      <c r="M4676" s="5"/>
    </row>
    <row r="4677" spans="13:13" ht="15" customHeight="1" x14ac:dyDescent="0.3">
      <c r="M4677" s="5"/>
    </row>
    <row r="4678" spans="13:13" ht="15" customHeight="1" x14ac:dyDescent="0.3">
      <c r="M4678" s="5"/>
    </row>
    <row r="4679" spans="13:13" ht="15" customHeight="1" x14ac:dyDescent="0.3">
      <c r="M4679" s="5"/>
    </row>
    <row r="4680" spans="13:13" ht="15" customHeight="1" x14ac:dyDescent="0.3">
      <c r="M4680" s="5"/>
    </row>
    <row r="4681" spans="13:13" ht="15" customHeight="1" x14ac:dyDescent="0.3">
      <c r="M4681" s="5"/>
    </row>
    <row r="4682" spans="13:13" ht="15" customHeight="1" x14ac:dyDescent="0.3">
      <c r="M4682" s="5"/>
    </row>
    <row r="4683" spans="13:13" ht="15" customHeight="1" x14ac:dyDescent="0.3">
      <c r="M4683" s="5"/>
    </row>
    <row r="4684" spans="13:13" ht="15" customHeight="1" x14ac:dyDescent="0.3">
      <c r="M4684" s="5"/>
    </row>
    <row r="4685" spans="13:13" ht="15" customHeight="1" x14ac:dyDescent="0.3">
      <c r="M4685" s="5"/>
    </row>
    <row r="4686" spans="13:13" ht="15" customHeight="1" x14ac:dyDescent="0.3">
      <c r="M4686" s="5"/>
    </row>
    <row r="4687" spans="13:13" ht="15" customHeight="1" x14ac:dyDescent="0.3">
      <c r="M4687" s="5"/>
    </row>
    <row r="4688" spans="13:13" ht="15" customHeight="1" x14ac:dyDescent="0.3">
      <c r="M4688" s="5"/>
    </row>
    <row r="4689" spans="13:13" ht="15" customHeight="1" x14ac:dyDescent="0.3">
      <c r="M4689" s="5"/>
    </row>
    <row r="4690" spans="13:13" ht="15" customHeight="1" x14ac:dyDescent="0.3">
      <c r="M4690" s="5"/>
    </row>
    <row r="4691" spans="13:13" ht="15" customHeight="1" x14ac:dyDescent="0.3">
      <c r="M4691" s="5"/>
    </row>
    <row r="4692" spans="13:13" ht="15" customHeight="1" x14ac:dyDescent="0.3">
      <c r="M4692" s="5"/>
    </row>
    <row r="4693" spans="13:13" ht="15" customHeight="1" x14ac:dyDescent="0.3">
      <c r="M4693" s="5"/>
    </row>
    <row r="4694" spans="13:13" ht="15" customHeight="1" x14ac:dyDescent="0.3">
      <c r="M4694" s="5"/>
    </row>
    <row r="4695" spans="13:13" ht="15" customHeight="1" x14ac:dyDescent="0.3">
      <c r="M4695" s="5"/>
    </row>
    <row r="4696" spans="13:13" ht="15" customHeight="1" x14ac:dyDescent="0.3">
      <c r="M4696" s="5"/>
    </row>
    <row r="4697" spans="13:13" ht="15" customHeight="1" x14ac:dyDescent="0.3">
      <c r="M4697" s="5"/>
    </row>
    <row r="4698" spans="13:13" ht="15" customHeight="1" x14ac:dyDescent="0.3">
      <c r="M4698" s="5"/>
    </row>
    <row r="4699" spans="13:13" ht="15" customHeight="1" x14ac:dyDescent="0.3">
      <c r="M4699" s="5"/>
    </row>
    <row r="4700" spans="13:13" ht="15" customHeight="1" x14ac:dyDescent="0.3">
      <c r="M4700" s="5"/>
    </row>
    <row r="4701" spans="13:13" ht="15" customHeight="1" x14ac:dyDescent="0.3">
      <c r="M4701" s="5"/>
    </row>
    <row r="4702" spans="13:13" ht="15" customHeight="1" x14ac:dyDescent="0.3">
      <c r="M4702" s="5"/>
    </row>
    <row r="4703" spans="13:13" ht="15" customHeight="1" x14ac:dyDescent="0.3">
      <c r="M4703" s="5"/>
    </row>
    <row r="4704" spans="13:13" ht="15" customHeight="1" x14ac:dyDescent="0.3">
      <c r="M4704" s="5"/>
    </row>
    <row r="4705" spans="13:13" ht="15" customHeight="1" x14ac:dyDescent="0.3">
      <c r="M4705" s="5"/>
    </row>
    <row r="4706" spans="13:13" ht="15" customHeight="1" x14ac:dyDescent="0.3">
      <c r="M4706" s="5"/>
    </row>
    <row r="4707" spans="13:13" ht="15" customHeight="1" x14ac:dyDescent="0.3">
      <c r="M4707" s="5"/>
    </row>
    <row r="4708" spans="13:13" ht="15" customHeight="1" x14ac:dyDescent="0.3">
      <c r="M4708" s="5"/>
    </row>
    <row r="4709" spans="13:13" ht="15" customHeight="1" x14ac:dyDescent="0.3">
      <c r="M4709" s="5"/>
    </row>
    <row r="4710" spans="13:13" ht="15" customHeight="1" x14ac:dyDescent="0.3">
      <c r="M4710" s="5"/>
    </row>
    <row r="4711" spans="13:13" ht="15" customHeight="1" x14ac:dyDescent="0.3">
      <c r="M4711" s="5"/>
    </row>
    <row r="4712" spans="13:13" ht="15" customHeight="1" x14ac:dyDescent="0.3">
      <c r="M4712" s="5"/>
    </row>
    <row r="4713" spans="13:13" ht="15" customHeight="1" x14ac:dyDescent="0.3">
      <c r="M4713" s="5"/>
    </row>
    <row r="4714" spans="13:13" ht="15" customHeight="1" x14ac:dyDescent="0.3">
      <c r="M4714" s="5"/>
    </row>
    <row r="4715" spans="13:13" ht="15" customHeight="1" x14ac:dyDescent="0.3">
      <c r="M4715" s="5"/>
    </row>
    <row r="4716" spans="13:13" ht="15" customHeight="1" x14ac:dyDescent="0.3">
      <c r="M4716" s="5"/>
    </row>
    <row r="4717" spans="13:13" ht="15" customHeight="1" x14ac:dyDescent="0.3">
      <c r="M4717" s="5"/>
    </row>
    <row r="4718" spans="13:13" ht="15" customHeight="1" x14ac:dyDescent="0.3">
      <c r="M4718" s="5"/>
    </row>
    <row r="4719" spans="13:13" ht="15" customHeight="1" x14ac:dyDescent="0.3">
      <c r="M4719" s="5"/>
    </row>
    <row r="4720" spans="13:13" ht="15" customHeight="1" x14ac:dyDescent="0.3">
      <c r="M4720" s="5"/>
    </row>
    <row r="4721" spans="13:13" ht="15" customHeight="1" x14ac:dyDescent="0.3">
      <c r="M4721" s="5"/>
    </row>
    <row r="4722" spans="13:13" ht="15" customHeight="1" x14ac:dyDescent="0.3">
      <c r="M4722" s="5"/>
    </row>
    <row r="4723" spans="13:13" ht="15" customHeight="1" x14ac:dyDescent="0.3">
      <c r="M4723" s="5"/>
    </row>
    <row r="4724" spans="13:13" ht="15" customHeight="1" x14ac:dyDescent="0.3">
      <c r="M4724" s="5"/>
    </row>
    <row r="4725" spans="13:13" ht="15" customHeight="1" x14ac:dyDescent="0.3">
      <c r="M4725" s="5"/>
    </row>
    <row r="4726" spans="13:13" ht="15" customHeight="1" x14ac:dyDescent="0.3">
      <c r="M4726" s="5"/>
    </row>
    <row r="4727" spans="13:13" ht="15" customHeight="1" x14ac:dyDescent="0.3">
      <c r="M4727" s="5"/>
    </row>
    <row r="4728" spans="13:13" ht="15" customHeight="1" x14ac:dyDescent="0.3">
      <c r="M4728" s="5"/>
    </row>
    <row r="4729" spans="13:13" ht="15" customHeight="1" x14ac:dyDescent="0.3">
      <c r="M4729" s="5"/>
    </row>
    <row r="4730" spans="13:13" ht="15" customHeight="1" x14ac:dyDescent="0.3">
      <c r="M4730" s="5"/>
    </row>
    <row r="4731" spans="13:13" ht="15" customHeight="1" x14ac:dyDescent="0.3">
      <c r="M4731" s="5"/>
    </row>
    <row r="4732" spans="13:13" ht="15" customHeight="1" x14ac:dyDescent="0.3">
      <c r="M4732" s="5"/>
    </row>
    <row r="4733" spans="13:13" ht="15" customHeight="1" x14ac:dyDescent="0.3">
      <c r="M4733" s="5"/>
    </row>
    <row r="4734" spans="13:13" ht="15" customHeight="1" x14ac:dyDescent="0.3">
      <c r="M4734" s="5"/>
    </row>
    <row r="4735" spans="13:13" ht="15" customHeight="1" x14ac:dyDescent="0.3">
      <c r="M4735" s="5"/>
    </row>
    <row r="4736" spans="13:13" ht="15" customHeight="1" x14ac:dyDescent="0.3">
      <c r="M4736" s="5"/>
    </row>
    <row r="4737" spans="13:13" ht="15" customHeight="1" x14ac:dyDescent="0.3">
      <c r="M4737" s="5"/>
    </row>
    <row r="4738" spans="13:13" ht="15" customHeight="1" x14ac:dyDescent="0.3">
      <c r="M4738" s="5"/>
    </row>
    <row r="4739" spans="13:13" ht="15" customHeight="1" x14ac:dyDescent="0.3">
      <c r="M4739" s="5"/>
    </row>
    <row r="4740" spans="13:13" ht="15" customHeight="1" x14ac:dyDescent="0.3">
      <c r="M4740" s="5"/>
    </row>
    <row r="4741" spans="13:13" ht="15" customHeight="1" x14ac:dyDescent="0.3">
      <c r="M4741" s="5"/>
    </row>
    <row r="4742" spans="13:13" ht="15" customHeight="1" x14ac:dyDescent="0.3">
      <c r="M4742" s="5"/>
    </row>
    <row r="4743" spans="13:13" ht="15" customHeight="1" x14ac:dyDescent="0.3">
      <c r="M4743" s="5"/>
    </row>
    <row r="4744" spans="13:13" ht="15" customHeight="1" x14ac:dyDescent="0.3">
      <c r="M4744" s="5"/>
    </row>
    <row r="4745" spans="13:13" ht="15" customHeight="1" x14ac:dyDescent="0.3">
      <c r="M4745" s="5"/>
    </row>
    <row r="4746" spans="13:13" ht="15" customHeight="1" x14ac:dyDescent="0.3">
      <c r="M4746" s="5"/>
    </row>
    <row r="4747" spans="13:13" ht="15" customHeight="1" x14ac:dyDescent="0.3">
      <c r="M4747" s="5"/>
    </row>
    <row r="4748" spans="13:13" ht="15" customHeight="1" x14ac:dyDescent="0.3">
      <c r="M4748" s="5"/>
    </row>
    <row r="4749" spans="13:13" ht="15" customHeight="1" x14ac:dyDescent="0.3">
      <c r="M4749" s="5"/>
    </row>
    <row r="4750" spans="13:13" ht="15" customHeight="1" x14ac:dyDescent="0.3">
      <c r="M4750" s="5"/>
    </row>
    <row r="4751" spans="13:13" ht="15" customHeight="1" x14ac:dyDescent="0.3">
      <c r="M4751" s="5"/>
    </row>
    <row r="4752" spans="13:13" ht="15" customHeight="1" x14ac:dyDescent="0.3">
      <c r="M4752" s="5"/>
    </row>
    <row r="4753" spans="13:13" ht="15" customHeight="1" x14ac:dyDescent="0.3">
      <c r="M4753" s="5"/>
    </row>
    <row r="4754" spans="13:13" ht="15" customHeight="1" x14ac:dyDescent="0.3">
      <c r="M4754" s="5"/>
    </row>
    <row r="4755" spans="13:13" ht="15" customHeight="1" x14ac:dyDescent="0.3">
      <c r="M4755" s="5"/>
    </row>
    <row r="4756" spans="13:13" ht="15" customHeight="1" x14ac:dyDescent="0.3">
      <c r="M4756" s="5"/>
    </row>
    <row r="4757" spans="13:13" ht="15" customHeight="1" x14ac:dyDescent="0.3">
      <c r="M4757" s="5"/>
    </row>
    <row r="4758" spans="13:13" ht="15" customHeight="1" x14ac:dyDescent="0.3">
      <c r="M4758" s="5"/>
    </row>
    <row r="4759" spans="13:13" ht="15" customHeight="1" x14ac:dyDescent="0.3">
      <c r="M4759" s="5"/>
    </row>
    <row r="4760" spans="13:13" ht="15" customHeight="1" x14ac:dyDescent="0.3">
      <c r="M4760" s="5"/>
    </row>
    <row r="4761" spans="13:13" ht="15" customHeight="1" x14ac:dyDescent="0.3">
      <c r="M4761" s="5"/>
    </row>
    <row r="4762" spans="13:13" ht="15" customHeight="1" x14ac:dyDescent="0.3">
      <c r="M4762" s="5"/>
    </row>
    <row r="4763" spans="13:13" ht="15" customHeight="1" x14ac:dyDescent="0.3">
      <c r="M4763" s="5"/>
    </row>
    <row r="4764" spans="13:13" ht="15" customHeight="1" x14ac:dyDescent="0.3">
      <c r="M4764" s="5"/>
    </row>
    <row r="4765" spans="13:13" ht="15" customHeight="1" x14ac:dyDescent="0.3">
      <c r="M4765" s="5"/>
    </row>
    <row r="4766" spans="13:13" ht="15" customHeight="1" x14ac:dyDescent="0.3">
      <c r="M4766" s="5"/>
    </row>
    <row r="4767" spans="13:13" ht="15" customHeight="1" x14ac:dyDescent="0.3">
      <c r="M4767" s="5"/>
    </row>
    <row r="4768" spans="13:13" ht="15" customHeight="1" x14ac:dyDescent="0.3">
      <c r="M4768" s="5"/>
    </row>
    <row r="4769" spans="13:13" ht="15" customHeight="1" x14ac:dyDescent="0.3">
      <c r="M4769" s="5"/>
    </row>
    <row r="4770" spans="13:13" ht="15" customHeight="1" x14ac:dyDescent="0.3">
      <c r="M4770" s="5"/>
    </row>
    <row r="4771" spans="13:13" ht="15" customHeight="1" x14ac:dyDescent="0.3">
      <c r="M4771" s="5"/>
    </row>
    <row r="4772" spans="13:13" ht="15" customHeight="1" x14ac:dyDescent="0.3">
      <c r="M4772" s="5"/>
    </row>
    <row r="4773" spans="13:13" ht="15" customHeight="1" x14ac:dyDescent="0.3">
      <c r="M4773" s="5"/>
    </row>
    <row r="4774" spans="13:13" ht="15" customHeight="1" x14ac:dyDescent="0.3">
      <c r="M4774" s="5"/>
    </row>
    <row r="4775" spans="13:13" ht="15" customHeight="1" x14ac:dyDescent="0.3">
      <c r="M4775" s="5"/>
    </row>
    <row r="4776" spans="13:13" ht="15" customHeight="1" x14ac:dyDescent="0.3">
      <c r="M4776" s="5"/>
    </row>
    <row r="4777" spans="13:13" ht="15" customHeight="1" x14ac:dyDescent="0.3">
      <c r="M4777" s="5"/>
    </row>
    <row r="4778" spans="13:13" ht="15" customHeight="1" x14ac:dyDescent="0.3">
      <c r="M4778" s="5"/>
    </row>
    <row r="4779" spans="13:13" ht="15" customHeight="1" x14ac:dyDescent="0.3">
      <c r="M4779" s="5"/>
    </row>
    <row r="4780" spans="13:13" ht="15" customHeight="1" x14ac:dyDescent="0.3">
      <c r="M4780" s="5"/>
    </row>
    <row r="4781" spans="13:13" ht="15" customHeight="1" x14ac:dyDescent="0.3">
      <c r="M4781" s="5"/>
    </row>
    <row r="4782" spans="13:13" ht="15" customHeight="1" x14ac:dyDescent="0.3">
      <c r="M4782" s="5"/>
    </row>
    <row r="4783" spans="13:13" ht="15" customHeight="1" x14ac:dyDescent="0.3">
      <c r="M4783" s="5"/>
    </row>
    <row r="4784" spans="13:13" ht="15" customHeight="1" x14ac:dyDescent="0.3">
      <c r="M4784" s="5"/>
    </row>
    <row r="4785" spans="13:13" ht="15" customHeight="1" x14ac:dyDescent="0.3">
      <c r="M4785" s="5"/>
    </row>
    <row r="4786" spans="13:13" ht="15" customHeight="1" x14ac:dyDescent="0.3">
      <c r="M4786" s="5"/>
    </row>
    <row r="4787" spans="13:13" ht="15" customHeight="1" x14ac:dyDescent="0.3">
      <c r="M4787" s="5"/>
    </row>
    <row r="4788" spans="13:13" ht="15" customHeight="1" x14ac:dyDescent="0.3">
      <c r="M4788" s="5"/>
    </row>
    <row r="4789" spans="13:13" ht="15" customHeight="1" x14ac:dyDescent="0.3">
      <c r="M4789" s="5"/>
    </row>
    <row r="4790" spans="13:13" ht="15" customHeight="1" x14ac:dyDescent="0.3">
      <c r="M4790" s="5"/>
    </row>
    <row r="4791" spans="13:13" ht="15" customHeight="1" x14ac:dyDescent="0.3">
      <c r="M4791" s="5"/>
    </row>
    <row r="4792" spans="13:13" ht="15" customHeight="1" x14ac:dyDescent="0.3">
      <c r="M4792" s="5"/>
    </row>
    <row r="4793" spans="13:13" ht="15" customHeight="1" x14ac:dyDescent="0.3">
      <c r="M4793" s="5"/>
    </row>
    <row r="4794" spans="13:13" ht="15" customHeight="1" x14ac:dyDescent="0.3">
      <c r="M4794" s="5"/>
    </row>
    <row r="4795" spans="13:13" ht="15" customHeight="1" x14ac:dyDescent="0.3">
      <c r="M4795" s="5"/>
    </row>
    <row r="4796" spans="13:13" ht="15" customHeight="1" x14ac:dyDescent="0.3">
      <c r="M4796" s="5"/>
    </row>
    <row r="4797" spans="13:13" ht="15" customHeight="1" x14ac:dyDescent="0.3">
      <c r="M4797" s="5"/>
    </row>
    <row r="4798" spans="13:13" ht="15" customHeight="1" x14ac:dyDescent="0.3">
      <c r="M4798" s="5"/>
    </row>
    <row r="4799" spans="13:13" ht="15" customHeight="1" x14ac:dyDescent="0.3">
      <c r="M4799" s="5"/>
    </row>
    <row r="4800" spans="13:13" ht="15" customHeight="1" x14ac:dyDescent="0.3">
      <c r="M4800" s="5"/>
    </row>
    <row r="4801" spans="13:13" ht="15" customHeight="1" x14ac:dyDescent="0.3">
      <c r="M4801" s="5"/>
    </row>
    <row r="4802" spans="13:13" ht="15" customHeight="1" x14ac:dyDescent="0.3">
      <c r="M4802" s="5"/>
    </row>
    <row r="4803" spans="13:13" ht="15" customHeight="1" x14ac:dyDescent="0.3">
      <c r="M4803" s="5"/>
    </row>
    <row r="4804" spans="13:13" ht="15" customHeight="1" x14ac:dyDescent="0.3">
      <c r="M4804" s="5"/>
    </row>
    <row r="4805" spans="13:13" ht="15" customHeight="1" x14ac:dyDescent="0.3">
      <c r="M4805" s="5"/>
    </row>
    <row r="4806" spans="13:13" ht="15" customHeight="1" x14ac:dyDescent="0.3">
      <c r="M4806" s="5"/>
    </row>
    <row r="4807" spans="13:13" ht="15" customHeight="1" x14ac:dyDescent="0.3">
      <c r="M4807" s="5"/>
    </row>
    <row r="4808" spans="13:13" ht="15" customHeight="1" x14ac:dyDescent="0.3">
      <c r="M4808" s="5"/>
    </row>
    <row r="4809" spans="13:13" ht="15" customHeight="1" x14ac:dyDescent="0.3">
      <c r="M4809" s="5"/>
    </row>
    <row r="4810" spans="13:13" ht="15" customHeight="1" x14ac:dyDescent="0.3">
      <c r="M4810" s="5"/>
    </row>
    <row r="4811" spans="13:13" ht="15" customHeight="1" x14ac:dyDescent="0.3">
      <c r="M4811" s="5"/>
    </row>
    <row r="4812" spans="13:13" ht="15" customHeight="1" x14ac:dyDescent="0.3">
      <c r="M4812" s="5"/>
    </row>
    <row r="4813" spans="13:13" ht="15" customHeight="1" x14ac:dyDescent="0.3">
      <c r="M4813" s="5"/>
    </row>
    <row r="4814" spans="13:13" ht="15" customHeight="1" x14ac:dyDescent="0.3">
      <c r="M4814" s="5"/>
    </row>
    <row r="4815" spans="13:13" ht="15" customHeight="1" x14ac:dyDescent="0.3">
      <c r="M4815" s="5"/>
    </row>
    <row r="4816" spans="13:13" ht="15" customHeight="1" x14ac:dyDescent="0.3">
      <c r="M4816" s="5"/>
    </row>
    <row r="4817" spans="13:13" ht="15" customHeight="1" x14ac:dyDescent="0.3">
      <c r="M4817" s="5"/>
    </row>
    <row r="4818" spans="13:13" ht="15" customHeight="1" x14ac:dyDescent="0.3">
      <c r="M4818" s="5"/>
    </row>
    <row r="4819" spans="13:13" ht="15" customHeight="1" x14ac:dyDescent="0.3">
      <c r="M4819" s="5"/>
    </row>
    <row r="4820" spans="13:13" ht="15" customHeight="1" x14ac:dyDescent="0.3">
      <c r="M4820" s="5"/>
    </row>
    <row r="4821" spans="13:13" ht="15" customHeight="1" x14ac:dyDescent="0.3">
      <c r="M4821" s="5"/>
    </row>
    <row r="4822" spans="13:13" ht="15" customHeight="1" x14ac:dyDescent="0.3">
      <c r="M4822" s="5"/>
    </row>
    <row r="4823" spans="13:13" ht="15" customHeight="1" x14ac:dyDescent="0.3">
      <c r="M4823" s="5"/>
    </row>
    <row r="4824" spans="13:13" ht="15" customHeight="1" x14ac:dyDescent="0.3">
      <c r="M4824" s="5"/>
    </row>
    <row r="4825" spans="13:13" ht="15" customHeight="1" x14ac:dyDescent="0.3">
      <c r="M4825" s="5"/>
    </row>
    <row r="4826" spans="13:13" ht="15" customHeight="1" x14ac:dyDescent="0.3">
      <c r="M4826" s="5"/>
    </row>
    <row r="4827" spans="13:13" ht="15" customHeight="1" x14ac:dyDescent="0.3">
      <c r="M4827" s="5"/>
    </row>
    <row r="4828" spans="13:13" ht="15" customHeight="1" x14ac:dyDescent="0.3">
      <c r="M4828" s="5"/>
    </row>
    <row r="4829" spans="13:13" ht="15" customHeight="1" x14ac:dyDescent="0.3">
      <c r="M4829" s="5"/>
    </row>
    <row r="4830" spans="13:13" ht="15" customHeight="1" x14ac:dyDescent="0.3">
      <c r="M4830" s="5"/>
    </row>
    <row r="4831" spans="13:13" ht="15" customHeight="1" x14ac:dyDescent="0.3">
      <c r="M4831" s="5"/>
    </row>
    <row r="4832" spans="13:13" ht="15" customHeight="1" x14ac:dyDescent="0.3">
      <c r="M4832" s="5"/>
    </row>
    <row r="4833" spans="13:13" ht="15" customHeight="1" x14ac:dyDescent="0.3">
      <c r="M4833" s="5"/>
    </row>
    <row r="4834" spans="13:13" ht="15" customHeight="1" x14ac:dyDescent="0.3">
      <c r="M4834" s="5"/>
    </row>
    <row r="4835" spans="13:13" ht="15" customHeight="1" x14ac:dyDescent="0.3">
      <c r="M4835" s="5"/>
    </row>
    <row r="4836" spans="13:13" ht="15" customHeight="1" x14ac:dyDescent="0.3">
      <c r="M4836" s="5"/>
    </row>
    <row r="4837" spans="13:13" ht="15" customHeight="1" x14ac:dyDescent="0.3">
      <c r="M4837" s="5"/>
    </row>
    <row r="4838" spans="13:13" ht="15" customHeight="1" x14ac:dyDescent="0.3">
      <c r="M4838" s="5"/>
    </row>
    <row r="4839" spans="13:13" ht="15" customHeight="1" x14ac:dyDescent="0.3">
      <c r="M4839" s="5"/>
    </row>
    <row r="4840" spans="13:13" ht="15" customHeight="1" x14ac:dyDescent="0.3">
      <c r="M4840" s="5"/>
    </row>
    <row r="4841" spans="13:13" ht="15" customHeight="1" x14ac:dyDescent="0.3">
      <c r="M4841" s="5"/>
    </row>
    <row r="4842" spans="13:13" ht="15" customHeight="1" x14ac:dyDescent="0.3">
      <c r="M4842" s="5"/>
    </row>
    <row r="4843" spans="13:13" ht="15" customHeight="1" x14ac:dyDescent="0.3">
      <c r="M4843" s="5"/>
    </row>
    <row r="4844" spans="13:13" ht="15" customHeight="1" x14ac:dyDescent="0.3">
      <c r="M4844" s="5"/>
    </row>
    <row r="4845" spans="13:13" ht="15" customHeight="1" x14ac:dyDescent="0.3">
      <c r="M4845" s="5"/>
    </row>
    <row r="4846" spans="13:13" ht="15" customHeight="1" x14ac:dyDescent="0.3">
      <c r="M4846" s="5"/>
    </row>
    <row r="4847" spans="13:13" ht="15" customHeight="1" x14ac:dyDescent="0.3">
      <c r="M4847" s="5"/>
    </row>
    <row r="4848" spans="13:13" ht="15" customHeight="1" x14ac:dyDescent="0.3">
      <c r="M4848" s="5"/>
    </row>
    <row r="4849" spans="13:13" ht="15" customHeight="1" x14ac:dyDescent="0.3">
      <c r="M4849" s="5"/>
    </row>
    <row r="4850" spans="13:13" ht="15" customHeight="1" x14ac:dyDescent="0.3">
      <c r="M4850" s="5"/>
    </row>
    <row r="4851" spans="13:13" ht="15" customHeight="1" x14ac:dyDescent="0.3">
      <c r="M4851" s="5"/>
    </row>
    <row r="4852" spans="13:13" ht="15" customHeight="1" x14ac:dyDescent="0.3">
      <c r="M4852" s="5"/>
    </row>
    <row r="4853" spans="13:13" ht="15" customHeight="1" x14ac:dyDescent="0.3">
      <c r="M4853" s="5"/>
    </row>
    <row r="4854" spans="13:13" ht="15" customHeight="1" x14ac:dyDescent="0.3">
      <c r="M4854" s="5"/>
    </row>
    <row r="4855" spans="13:13" ht="15" customHeight="1" x14ac:dyDescent="0.3">
      <c r="M4855" s="5"/>
    </row>
    <row r="4856" spans="13:13" ht="15" customHeight="1" x14ac:dyDescent="0.3">
      <c r="M4856" s="5"/>
    </row>
    <row r="4857" spans="13:13" ht="15" customHeight="1" x14ac:dyDescent="0.3">
      <c r="M4857" s="5"/>
    </row>
    <row r="4858" spans="13:13" ht="15" customHeight="1" x14ac:dyDescent="0.3">
      <c r="M4858" s="5"/>
    </row>
    <row r="4859" spans="13:13" ht="15" customHeight="1" x14ac:dyDescent="0.3">
      <c r="M4859" s="5"/>
    </row>
    <row r="4860" spans="13:13" ht="15" customHeight="1" x14ac:dyDescent="0.3">
      <c r="M4860" s="5"/>
    </row>
    <row r="4861" spans="13:13" ht="15" customHeight="1" x14ac:dyDescent="0.3">
      <c r="M4861" s="5"/>
    </row>
    <row r="4862" spans="13:13" ht="15" customHeight="1" x14ac:dyDescent="0.3">
      <c r="M4862" s="5"/>
    </row>
    <row r="4863" spans="13:13" ht="15" customHeight="1" x14ac:dyDescent="0.3">
      <c r="M4863" s="5"/>
    </row>
    <row r="4864" spans="13:13" ht="15" customHeight="1" x14ac:dyDescent="0.3">
      <c r="M4864" s="5"/>
    </row>
    <row r="4865" spans="13:13" ht="15" customHeight="1" x14ac:dyDescent="0.3">
      <c r="M4865" s="5"/>
    </row>
    <row r="4866" spans="13:13" ht="15" customHeight="1" x14ac:dyDescent="0.3">
      <c r="M4866" s="5"/>
    </row>
    <row r="4867" spans="13:13" ht="15" customHeight="1" x14ac:dyDescent="0.3">
      <c r="M4867" s="5"/>
    </row>
    <row r="4868" spans="13:13" ht="15" customHeight="1" x14ac:dyDescent="0.3">
      <c r="M4868" s="5"/>
    </row>
    <row r="4869" spans="13:13" ht="15" customHeight="1" x14ac:dyDescent="0.3">
      <c r="M4869" s="5"/>
    </row>
    <row r="4870" spans="13:13" ht="15" customHeight="1" x14ac:dyDescent="0.3">
      <c r="M4870" s="5"/>
    </row>
    <row r="4871" spans="13:13" ht="15" customHeight="1" x14ac:dyDescent="0.3">
      <c r="M4871" s="5"/>
    </row>
    <row r="4872" spans="13:13" ht="15" customHeight="1" x14ac:dyDescent="0.3">
      <c r="M4872" s="5"/>
    </row>
    <row r="4873" spans="13:13" ht="15" customHeight="1" x14ac:dyDescent="0.3">
      <c r="M4873" s="5"/>
    </row>
    <row r="4874" spans="13:13" ht="15" customHeight="1" x14ac:dyDescent="0.3">
      <c r="M4874" s="5"/>
    </row>
    <row r="4875" spans="13:13" ht="15" customHeight="1" x14ac:dyDescent="0.3">
      <c r="M4875" s="5"/>
    </row>
    <row r="4876" spans="13:13" ht="15" customHeight="1" x14ac:dyDescent="0.3">
      <c r="M4876" s="5"/>
    </row>
    <row r="4877" spans="13:13" ht="15" customHeight="1" x14ac:dyDescent="0.3">
      <c r="M4877" s="5"/>
    </row>
    <row r="4878" spans="13:13" ht="15" customHeight="1" x14ac:dyDescent="0.3">
      <c r="M4878" s="5"/>
    </row>
    <row r="4879" spans="13:13" ht="15" customHeight="1" x14ac:dyDescent="0.3">
      <c r="M4879" s="5"/>
    </row>
    <row r="4880" spans="13:13" ht="15" customHeight="1" x14ac:dyDescent="0.3">
      <c r="M4880" s="5"/>
    </row>
    <row r="4881" spans="13:13" ht="15" customHeight="1" x14ac:dyDescent="0.3">
      <c r="M4881" s="5"/>
    </row>
    <row r="4882" spans="13:13" ht="15" customHeight="1" x14ac:dyDescent="0.3">
      <c r="M4882" s="5"/>
    </row>
    <row r="4883" spans="13:13" ht="15" customHeight="1" x14ac:dyDescent="0.3">
      <c r="M4883" s="5"/>
    </row>
    <row r="4884" spans="13:13" ht="15" customHeight="1" x14ac:dyDescent="0.3">
      <c r="M4884" s="5"/>
    </row>
    <row r="4885" spans="13:13" ht="15" customHeight="1" x14ac:dyDescent="0.3">
      <c r="M4885" s="5"/>
    </row>
    <row r="4886" spans="13:13" ht="15" customHeight="1" x14ac:dyDescent="0.3">
      <c r="M4886" s="5"/>
    </row>
    <row r="4887" spans="13:13" ht="15" customHeight="1" x14ac:dyDescent="0.3">
      <c r="M4887" s="5"/>
    </row>
    <row r="4888" spans="13:13" ht="15" customHeight="1" x14ac:dyDescent="0.3">
      <c r="M4888" s="5"/>
    </row>
    <row r="4889" spans="13:13" ht="15" customHeight="1" x14ac:dyDescent="0.3">
      <c r="M4889" s="5"/>
    </row>
    <row r="4890" spans="13:13" ht="15" customHeight="1" x14ac:dyDescent="0.3">
      <c r="M4890" s="5"/>
    </row>
    <row r="4891" spans="13:13" ht="15" customHeight="1" x14ac:dyDescent="0.3">
      <c r="M4891" s="5"/>
    </row>
    <row r="4892" spans="13:13" ht="15" customHeight="1" x14ac:dyDescent="0.3">
      <c r="M4892" s="5"/>
    </row>
    <row r="4893" spans="13:13" ht="15" customHeight="1" x14ac:dyDescent="0.3">
      <c r="M4893" s="5"/>
    </row>
    <row r="4894" spans="13:13" ht="15" customHeight="1" x14ac:dyDescent="0.3">
      <c r="M4894" s="5"/>
    </row>
    <row r="4895" spans="13:13" ht="15" customHeight="1" x14ac:dyDescent="0.3">
      <c r="M4895" s="5"/>
    </row>
    <row r="4896" spans="13:13" ht="15" customHeight="1" x14ac:dyDescent="0.3">
      <c r="M4896" s="5"/>
    </row>
    <row r="4897" spans="13:13" ht="15" customHeight="1" x14ac:dyDescent="0.3">
      <c r="M4897" s="5"/>
    </row>
    <row r="4898" spans="13:13" ht="15" customHeight="1" x14ac:dyDescent="0.3">
      <c r="M4898" s="5"/>
    </row>
    <row r="4899" spans="13:13" ht="15" customHeight="1" x14ac:dyDescent="0.3">
      <c r="M4899" s="5"/>
    </row>
    <row r="4900" spans="13:13" ht="15" customHeight="1" x14ac:dyDescent="0.3">
      <c r="M4900" s="5"/>
    </row>
    <row r="4901" spans="13:13" ht="15" customHeight="1" x14ac:dyDescent="0.3">
      <c r="M4901" s="5"/>
    </row>
    <row r="4902" spans="13:13" ht="15" customHeight="1" x14ac:dyDescent="0.3">
      <c r="M4902" s="5"/>
    </row>
    <row r="4903" spans="13:13" ht="15" customHeight="1" x14ac:dyDescent="0.3">
      <c r="M4903" s="5"/>
    </row>
    <row r="4904" spans="13:13" ht="15" customHeight="1" x14ac:dyDescent="0.3">
      <c r="M4904" s="5"/>
    </row>
    <row r="4905" spans="13:13" ht="15" customHeight="1" x14ac:dyDescent="0.3">
      <c r="M4905" s="5"/>
    </row>
    <row r="4906" spans="13:13" ht="15" customHeight="1" x14ac:dyDescent="0.3">
      <c r="M4906" s="5"/>
    </row>
    <row r="4907" spans="13:13" ht="15" customHeight="1" x14ac:dyDescent="0.3">
      <c r="M4907" s="5"/>
    </row>
    <row r="4908" spans="13:13" ht="15" customHeight="1" x14ac:dyDescent="0.3">
      <c r="M4908" s="5"/>
    </row>
    <row r="4909" spans="13:13" ht="15" customHeight="1" x14ac:dyDescent="0.3">
      <c r="M4909" s="5"/>
    </row>
    <row r="4910" spans="13:13" ht="15" customHeight="1" x14ac:dyDescent="0.3">
      <c r="M4910" s="5"/>
    </row>
    <row r="4911" spans="13:13" ht="15" customHeight="1" x14ac:dyDescent="0.3">
      <c r="M4911" s="5"/>
    </row>
    <row r="4912" spans="13:13" ht="15" customHeight="1" x14ac:dyDescent="0.3">
      <c r="M4912" s="5"/>
    </row>
    <row r="4913" spans="13:13" ht="15" customHeight="1" x14ac:dyDescent="0.3">
      <c r="M4913" s="5"/>
    </row>
    <row r="4914" spans="13:13" ht="15" customHeight="1" x14ac:dyDescent="0.3">
      <c r="M4914" s="5"/>
    </row>
    <row r="4915" spans="13:13" ht="15" customHeight="1" x14ac:dyDescent="0.3">
      <c r="M4915" s="5"/>
    </row>
    <row r="4916" spans="13:13" ht="15" customHeight="1" x14ac:dyDescent="0.3">
      <c r="M4916" s="5"/>
    </row>
    <row r="4917" spans="13:13" ht="15" customHeight="1" x14ac:dyDescent="0.3">
      <c r="M4917" s="5"/>
    </row>
    <row r="4918" spans="13:13" ht="15" customHeight="1" x14ac:dyDescent="0.3">
      <c r="M4918" s="5"/>
    </row>
    <row r="4919" spans="13:13" ht="15" customHeight="1" x14ac:dyDescent="0.3">
      <c r="M4919" s="5"/>
    </row>
    <row r="4920" spans="13:13" ht="15" customHeight="1" x14ac:dyDescent="0.3">
      <c r="M4920" s="5"/>
    </row>
    <row r="4921" spans="13:13" ht="15" customHeight="1" x14ac:dyDescent="0.3">
      <c r="M4921" s="5"/>
    </row>
    <row r="4922" spans="13:13" ht="15" customHeight="1" x14ac:dyDescent="0.3">
      <c r="M4922" s="5"/>
    </row>
    <row r="4923" spans="13:13" ht="15" customHeight="1" x14ac:dyDescent="0.3">
      <c r="M4923" s="5"/>
    </row>
    <row r="4924" spans="13:13" ht="15" customHeight="1" x14ac:dyDescent="0.3">
      <c r="M4924" s="5"/>
    </row>
    <row r="4925" spans="13:13" ht="15" customHeight="1" x14ac:dyDescent="0.3">
      <c r="M4925" s="5"/>
    </row>
    <row r="4926" spans="13:13" ht="15" customHeight="1" x14ac:dyDescent="0.3">
      <c r="M4926" s="5"/>
    </row>
    <row r="4927" spans="13:13" ht="15" customHeight="1" x14ac:dyDescent="0.3">
      <c r="M4927" s="5"/>
    </row>
    <row r="4928" spans="13:13" ht="15" customHeight="1" x14ac:dyDescent="0.3">
      <c r="M4928" s="5"/>
    </row>
    <row r="4929" spans="13:13" ht="15" customHeight="1" x14ac:dyDescent="0.3">
      <c r="M4929" s="5"/>
    </row>
    <row r="4930" spans="13:13" ht="15" customHeight="1" x14ac:dyDescent="0.3">
      <c r="M4930" s="5"/>
    </row>
    <row r="4931" spans="13:13" ht="15" customHeight="1" x14ac:dyDescent="0.3">
      <c r="M4931" s="5"/>
    </row>
    <row r="4932" spans="13:13" ht="15" customHeight="1" x14ac:dyDescent="0.3">
      <c r="M4932" s="5"/>
    </row>
    <row r="4933" spans="13:13" ht="15" customHeight="1" x14ac:dyDescent="0.3">
      <c r="M4933" s="5"/>
    </row>
    <row r="4934" spans="13:13" ht="15" customHeight="1" x14ac:dyDescent="0.3">
      <c r="M4934" s="5"/>
    </row>
    <row r="4935" spans="13:13" ht="15" customHeight="1" x14ac:dyDescent="0.3">
      <c r="M4935" s="5"/>
    </row>
    <row r="4936" spans="13:13" ht="15" customHeight="1" x14ac:dyDescent="0.3">
      <c r="M4936" s="5"/>
    </row>
    <row r="4937" spans="13:13" ht="15" customHeight="1" x14ac:dyDescent="0.3">
      <c r="M4937" s="5"/>
    </row>
    <row r="4938" spans="13:13" ht="15" customHeight="1" x14ac:dyDescent="0.3">
      <c r="M4938" s="5"/>
    </row>
    <row r="4939" spans="13:13" ht="15" customHeight="1" x14ac:dyDescent="0.3">
      <c r="M4939" s="5"/>
    </row>
    <row r="4940" spans="13:13" ht="15" customHeight="1" x14ac:dyDescent="0.3">
      <c r="M4940" s="5"/>
    </row>
    <row r="4941" spans="13:13" ht="15" customHeight="1" x14ac:dyDescent="0.3">
      <c r="M4941" s="5"/>
    </row>
    <row r="4942" spans="13:13" ht="15" customHeight="1" x14ac:dyDescent="0.3">
      <c r="M4942" s="5"/>
    </row>
    <row r="4943" spans="13:13" ht="15" customHeight="1" x14ac:dyDescent="0.3">
      <c r="M4943" s="5"/>
    </row>
    <row r="4944" spans="13:13" ht="15" customHeight="1" x14ac:dyDescent="0.3">
      <c r="M4944" s="5"/>
    </row>
    <row r="4945" spans="13:13" ht="15" customHeight="1" x14ac:dyDescent="0.3">
      <c r="M4945" s="5"/>
    </row>
    <row r="4946" spans="13:13" ht="15" customHeight="1" x14ac:dyDescent="0.3">
      <c r="M4946" s="5"/>
    </row>
    <row r="4947" spans="13:13" ht="15" customHeight="1" x14ac:dyDescent="0.3">
      <c r="M4947" s="5"/>
    </row>
    <row r="4948" spans="13:13" ht="15" customHeight="1" x14ac:dyDescent="0.3">
      <c r="M4948" s="5"/>
    </row>
    <row r="4949" spans="13:13" ht="15" customHeight="1" x14ac:dyDescent="0.3">
      <c r="M4949" s="5"/>
    </row>
    <row r="4950" spans="13:13" ht="15" customHeight="1" x14ac:dyDescent="0.3">
      <c r="M4950" s="5"/>
    </row>
    <row r="4951" spans="13:13" ht="15" customHeight="1" x14ac:dyDescent="0.3">
      <c r="M4951" s="5"/>
    </row>
    <row r="4952" spans="13:13" ht="15" customHeight="1" x14ac:dyDescent="0.3">
      <c r="M4952" s="5"/>
    </row>
    <row r="4953" spans="13:13" ht="15" customHeight="1" x14ac:dyDescent="0.3">
      <c r="M4953" s="5"/>
    </row>
    <row r="4954" spans="13:13" ht="15" customHeight="1" x14ac:dyDescent="0.3">
      <c r="M4954" s="5"/>
    </row>
    <row r="4955" spans="13:13" ht="15" customHeight="1" x14ac:dyDescent="0.3">
      <c r="M4955" s="5"/>
    </row>
    <row r="4956" spans="13:13" ht="15" customHeight="1" x14ac:dyDescent="0.3">
      <c r="M4956" s="5"/>
    </row>
    <row r="4957" spans="13:13" ht="15" customHeight="1" x14ac:dyDescent="0.3">
      <c r="M4957" s="5"/>
    </row>
    <row r="4958" spans="13:13" ht="15" customHeight="1" x14ac:dyDescent="0.3">
      <c r="M4958" s="5"/>
    </row>
    <row r="4959" spans="13:13" ht="15" customHeight="1" x14ac:dyDescent="0.3">
      <c r="M4959" s="5"/>
    </row>
    <row r="4960" spans="13:13" ht="15" customHeight="1" x14ac:dyDescent="0.3">
      <c r="M4960" s="5"/>
    </row>
    <row r="4961" spans="13:13" ht="15" customHeight="1" x14ac:dyDescent="0.3">
      <c r="M4961" s="5"/>
    </row>
    <row r="4962" spans="13:13" ht="15" customHeight="1" x14ac:dyDescent="0.3">
      <c r="M4962" s="5"/>
    </row>
    <row r="4963" spans="13:13" ht="15" customHeight="1" x14ac:dyDescent="0.3">
      <c r="M4963" s="5"/>
    </row>
    <row r="4964" spans="13:13" ht="15" customHeight="1" x14ac:dyDescent="0.3">
      <c r="M4964" s="5"/>
    </row>
    <row r="4965" spans="13:13" ht="15" customHeight="1" x14ac:dyDescent="0.3">
      <c r="M4965" s="5"/>
    </row>
    <row r="4966" spans="13:13" ht="15" customHeight="1" x14ac:dyDescent="0.3">
      <c r="M4966" s="5"/>
    </row>
    <row r="4967" spans="13:13" ht="15" customHeight="1" x14ac:dyDescent="0.3">
      <c r="M4967" s="5"/>
    </row>
    <row r="4968" spans="13:13" ht="15" customHeight="1" x14ac:dyDescent="0.3">
      <c r="M4968" s="5"/>
    </row>
    <row r="4969" spans="13:13" ht="15" customHeight="1" x14ac:dyDescent="0.3">
      <c r="M4969" s="5"/>
    </row>
    <row r="4970" spans="13:13" ht="15" customHeight="1" x14ac:dyDescent="0.3">
      <c r="M4970" s="5"/>
    </row>
    <row r="4971" spans="13:13" ht="15" customHeight="1" x14ac:dyDescent="0.3">
      <c r="M4971" s="5"/>
    </row>
    <row r="4972" spans="13:13" ht="15" customHeight="1" x14ac:dyDescent="0.3">
      <c r="M4972" s="5"/>
    </row>
    <row r="4973" spans="13:13" ht="15" customHeight="1" x14ac:dyDescent="0.3">
      <c r="M4973" s="5"/>
    </row>
    <row r="4974" spans="13:13" ht="15" customHeight="1" x14ac:dyDescent="0.3">
      <c r="M4974" s="5"/>
    </row>
    <row r="4975" spans="13:13" ht="15" customHeight="1" x14ac:dyDescent="0.3">
      <c r="M4975" s="5"/>
    </row>
    <row r="4976" spans="13:13" ht="15" customHeight="1" x14ac:dyDescent="0.3">
      <c r="M4976" s="5"/>
    </row>
    <row r="4977" spans="13:13" ht="15" customHeight="1" x14ac:dyDescent="0.3">
      <c r="M4977" s="5"/>
    </row>
    <row r="4978" spans="13:13" ht="15" customHeight="1" x14ac:dyDescent="0.3">
      <c r="M4978" s="5"/>
    </row>
    <row r="4979" spans="13:13" ht="15" customHeight="1" x14ac:dyDescent="0.3">
      <c r="M4979" s="5"/>
    </row>
    <row r="4980" spans="13:13" ht="15" customHeight="1" x14ac:dyDescent="0.3">
      <c r="M4980" s="5"/>
    </row>
    <row r="4981" spans="13:13" ht="15" customHeight="1" x14ac:dyDescent="0.3">
      <c r="M4981" s="5"/>
    </row>
    <row r="4982" spans="13:13" ht="15" customHeight="1" x14ac:dyDescent="0.3">
      <c r="M4982" s="5"/>
    </row>
    <row r="4983" spans="13:13" ht="15" customHeight="1" x14ac:dyDescent="0.3">
      <c r="M4983" s="5"/>
    </row>
    <row r="4984" spans="13:13" ht="15" customHeight="1" x14ac:dyDescent="0.3">
      <c r="M4984" s="5"/>
    </row>
    <row r="4985" spans="13:13" ht="15" customHeight="1" x14ac:dyDescent="0.3">
      <c r="M4985" s="5"/>
    </row>
    <row r="4986" spans="13:13" ht="15" customHeight="1" x14ac:dyDescent="0.3">
      <c r="M4986" s="5"/>
    </row>
    <row r="4987" spans="13:13" ht="15" customHeight="1" x14ac:dyDescent="0.3">
      <c r="M4987" s="5"/>
    </row>
    <row r="4988" spans="13:13" ht="15" customHeight="1" x14ac:dyDescent="0.3">
      <c r="M4988" s="5"/>
    </row>
    <row r="4989" spans="13:13" ht="15" customHeight="1" x14ac:dyDescent="0.3">
      <c r="M4989" s="5"/>
    </row>
    <row r="4990" spans="13:13" ht="15" customHeight="1" x14ac:dyDescent="0.3">
      <c r="M4990" s="5"/>
    </row>
    <row r="4991" spans="13:13" ht="15" customHeight="1" x14ac:dyDescent="0.3">
      <c r="M4991" s="5"/>
    </row>
    <row r="4992" spans="13:13" ht="15" customHeight="1" x14ac:dyDescent="0.3">
      <c r="M4992" s="5"/>
    </row>
    <row r="4993" spans="13:13" ht="15" customHeight="1" x14ac:dyDescent="0.3">
      <c r="M4993" s="5"/>
    </row>
    <row r="4994" spans="13:13" ht="15" customHeight="1" x14ac:dyDescent="0.3">
      <c r="M4994" s="5"/>
    </row>
    <row r="4995" spans="13:13" ht="15" customHeight="1" x14ac:dyDescent="0.3">
      <c r="M4995" s="5"/>
    </row>
    <row r="4996" spans="13:13" ht="15" customHeight="1" x14ac:dyDescent="0.3">
      <c r="M4996" s="5"/>
    </row>
    <row r="4997" spans="13:13" ht="15" customHeight="1" x14ac:dyDescent="0.3">
      <c r="M4997" s="5"/>
    </row>
    <row r="4998" spans="13:13" ht="15" customHeight="1" x14ac:dyDescent="0.3">
      <c r="M4998" s="5"/>
    </row>
    <row r="4999" spans="13:13" ht="15" customHeight="1" x14ac:dyDescent="0.3">
      <c r="M4999" s="5"/>
    </row>
    <row r="5000" spans="13:13" ht="15" customHeight="1" x14ac:dyDescent="0.3">
      <c r="M5000" s="5"/>
    </row>
    <row r="5001" spans="13:13" ht="15" customHeight="1" x14ac:dyDescent="0.3">
      <c r="M5001" s="5"/>
    </row>
    <row r="5002" spans="13:13" ht="15" customHeight="1" x14ac:dyDescent="0.3">
      <c r="M5002" s="5"/>
    </row>
    <row r="5003" spans="13:13" ht="15" customHeight="1" x14ac:dyDescent="0.3">
      <c r="M5003" s="5"/>
    </row>
    <row r="5004" spans="13:13" ht="15" customHeight="1" x14ac:dyDescent="0.3">
      <c r="M5004" s="5"/>
    </row>
    <row r="5005" spans="13:13" ht="15" customHeight="1" x14ac:dyDescent="0.3">
      <c r="M5005" s="5"/>
    </row>
    <row r="5006" spans="13:13" ht="15" customHeight="1" x14ac:dyDescent="0.3">
      <c r="M5006" s="5"/>
    </row>
    <row r="5007" spans="13:13" ht="15" customHeight="1" x14ac:dyDescent="0.3">
      <c r="M5007" s="5"/>
    </row>
    <row r="5008" spans="13:13" ht="15" customHeight="1" x14ac:dyDescent="0.3">
      <c r="M5008" s="5"/>
    </row>
    <row r="5009" spans="13:13" ht="15" customHeight="1" x14ac:dyDescent="0.3">
      <c r="M5009" s="5"/>
    </row>
    <row r="5010" spans="13:13" ht="15" customHeight="1" x14ac:dyDescent="0.3">
      <c r="M5010" s="5"/>
    </row>
    <row r="5011" spans="13:13" ht="15" customHeight="1" x14ac:dyDescent="0.3">
      <c r="M5011" s="5"/>
    </row>
    <row r="5012" spans="13:13" ht="15" customHeight="1" x14ac:dyDescent="0.3">
      <c r="M5012" s="5"/>
    </row>
    <row r="5013" spans="13:13" ht="15" customHeight="1" x14ac:dyDescent="0.3">
      <c r="M5013" s="5"/>
    </row>
    <row r="5014" spans="13:13" ht="15" customHeight="1" x14ac:dyDescent="0.3">
      <c r="M5014" s="5"/>
    </row>
    <row r="5015" spans="13:13" ht="15" customHeight="1" x14ac:dyDescent="0.3">
      <c r="M5015" s="5"/>
    </row>
    <row r="5016" spans="13:13" ht="15" customHeight="1" x14ac:dyDescent="0.3">
      <c r="M5016" s="5"/>
    </row>
    <row r="5017" spans="13:13" ht="15" customHeight="1" x14ac:dyDescent="0.3">
      <c r="M5017" s="5"/>
    </row>
    <row r="5018" spans="13:13" ht="15" customHeight="1" x14ac:dyDescent="0.3">
      <c r="M5018" s="5"/>
    </row>
    <row r="5019" spans="13:13" ht="15" customHeight="1" x14ac:dyDescent="0.3">
      <c r="M5019" s="5"/>
    </row>
    <row r="5020" spans="13:13" ht="15" customHeight="1" x14ac:dyDescent="0.3">
      <c r="M5020" s="5"/>
    </row>
    <row r="5021" spans="13:13" ht="15" customHeight="1" x14ac:dyDescent="0.3">
      <c r="M5021" s="5"/>
    </row>
    <row r="5022" spans="13:13" ht="15" customHeight="1" x14ac:dyDescent="0.3">
      <c r="M5022" s="5"/>
    </row>
    <row r="5023" spans="13:13" ht="15" customHeight="1" x14ac:dyDescent="0.3">
      <c r="M5023" s="5"/>
    </row>
    <row r="5024" spans="13:13" ht="15" customHeight="1" x14ac:dyDescent="0.3">
      <c r="M5024" s="5"/>
    </row>
    <row r="5025" spans="13:13" ht="15" customHeight="1" x14ac:dyDescent="0.3">
      <c r="M5025" s="5"/>
    </row>
    <row r="5026" spans="13:13" ht="15" customHeight="1" x14ac:dyDescent="0.3">
      <c r="M5026" s="5"/>
    </row>
    <row r="5027" spans="13:13" ht="15" customHeight="1" x14ac:dyDescent="0.3">
      <c r="M5027" s="5"/>
    </row>
    <row r="5028" spans="13:13" ht="15" customHeight="1" x14ac:dyDescent="0.3">
      <c r="M5028" s="5"/>
    </row>
    <row r="5029" spans="13:13" ht="15" customHeight="1" x14ac:dyDescent="0.3">
      <c r="M5029" s="5"/>
    </row>
    <row r="5030" spans="13:13" ht="15" customHeight="1" x14ac:dyDescent="0.3">
      <c r="M5030" s="5"/>
    </row>
    <row r="5031" spans="13:13" ht="15" customHeight="1" x14ac:dyDescent="0.3">
      <c r="M5031" s="5"/>
    </row>
    <row r="5032" spans="13:13" ht="15" customHeight="1" x14ac:dyDescent="0.3">
      <c r="M5032" s="5"/>
    </row>
    <row r="5033" spans="13:13" ht="15" customHeight="1" x14ac:dyDescent="0.3">
      <c r="M5033" s="5"/>
    </row>
    <row r="5034" spans="13:13" ht="15" customHeight="1" x14ac:dyDescent="0.3">
      <c r="M5034" s="5"/>
    </row>
    <row r="5035" spans="13:13" ht="15" customHeight="1" x14ac:dyDescent="0.3">
      <c r="M5035" s="5"/>
    </row>
    <row r="5036" spans="13:13" ht="15" customHeight="1" x14ac:dyDescent="0.3">
      <c r="M5036" s="5"/>
    </row>
    <row r="5037" spans="13:13" ht="15" customHeight="1" x14ac:dyDescent="0.3">
      <c r="M5037" s="5"/>
    </row>
    <row r="5038" spans="13:13" ht="15" customHeight="1" x14ac:dyDescent="0.3">
      <c r="M5038" s="5"/>
    </row>
    <row r="5039" spans="13:13" ht="15" customHeight="1" x14ac:dyDescent="0.3">
      <c r="M5039" s="5"/>
    </row>
    <row r="5040" spans="13:13" ht="15" customHeight="1" x14ac:dyDescent="0.3">
      <c r="M5040" s="5"/>
    </row>
    <row r="5041" spans="13:13" ht="15" customHeight="1" x14ac:dyDescent="0.3">
      <c r="M5041" s="5"/>
    </row>
    <row r="5042" spans="13:13" ht="15" customHeight="1" x14ac:dyDescent="0.3">
      <c r="M5042" s="5"/>
    </row>
    <row r="5043" spans="13:13" ht="15" customHeight="1" x14ac:dyDescent="0.3">
      <c r="M5043" s="5"/>
    </row>
    <row r="5044" spans="13:13" ht="15" customHeight="1" x14ac:dyDescent="0.3">
      <c r="M5044" s="5"/>
    </row>
    <row r="5045" spans="13:13" ht="15" customHeight="1" x14ac:dyDescent="0.3">
      <c r="M5045" s="5"/>
    </row>
    <row r="5046" spans="13:13" ht="15" customHeight="1" x14ac:dyDescent="0.3">
      <c r="M5046" s="5"/>
    </row>
    <row r="5047" spans="13:13" ht="15" customHeight="1" x14ac:dyDescent="0.3">
      <c r="M5047" s="5"/>
    </row>
    <row r="5048" spans="13:13" ht="15" customHeight="1" x14ac:dyDescent="0.3">
      <c r="M5048" s="5"/>
    </row>
    <row r="5049" spans="13:13" ht="15" customHeight="1" x14ac:dyDescent="0.3">
      <c r="M5049" s="5"/>
    </row>
    <row r="5050" spans="13:13" ht="15" customHeight="1" x14ac:dyDescent="0.3">
      <c r="M5050" s="5"/>
    </row>
    <row r="5051" spans="13:13" ht="15" customHeight="1" x14ac:dyDescent="0.3">
      <c r="M5051" s="5"/>
    </row>
    <row r="5052" spans="13:13" ht="15" customHeight="1" x14ac:dyDescent="0.3">
      <c r="M5052" s="5"/>
    </row>
    <row r="5053" spans="13:13" ht="15" customHeight="1" x14ac:dyDescent="0.3">
      <c r="M5053" s="5"/>
    </row>
    <row r="5054" spans="13:13" ht="15" customHeight="1" x14ac:dyDescent="0.3">
      <c r="M5054" s="5"/>
    </row>
    <row r="5055" spans="13:13" ht="15" customHeight="1" x14ac:dyDescent="0.3">
      <c r="M5055" s="5"/>
    </row>
    <row r="5056" spans="13:13" ht="15" customHeight="1" x14ac:dyDescent="0.3">
      <c r="M5056" s="5"/>
    </row>
    <row r="5057" spans="13:13" ht="15" customHeight="1" x14ac:dyDescent="0.3">
      <c r="M5057" s="5"/>
    </row>
    <row r="5058" spans="13:13" ht="15" customHeight="1" x14ac:dyDescent="0.3">
      <c r="M5058" s="5"/>
    </row>
    <row r="5059" spans="13:13" ht="15" customHeight="1" x14ac:dyDescent="0.3">
      <c r="M5059" s="5"/>
    </row>
    <row r="5060" spans="13:13" ht="15" customHeight="1" x14ac:dyDescent="0.3">
      <c r="M5060" s="5"/>
    </row>
    <row r="5061" spans="13:13" ht="15" customHeight="1" x14ac:dyDescent="0.3">
      <c r="M5061" s="5"/>
    </row>
    <row r="5062" spans="13:13" ht="15" customHeight="1" x14ac:dyDescent="0.3">
      <c r="M5062" s="5"/>
    </row>
    <row r="5063" spans="13:13" ht="15" customHeight="1" x14ac:dyDescent="0.3">
      <c r="M5063" s="5"/>
    </row>
    <row r="5064" spans="13:13" ht="15" customHeight="1" x14ac:dyDescent="0.3">
      <c r="M5064" s="5"/>
    </row>
    <row r="5065" spans="13:13" ht="15" customHeight="1" x14ac:dyDescent="0.3">
      <c r="M5065" s="5"/>
    </row>
    <row r="5066" spans="13:13" ht="15" customHeight="1" x14ac:dyDescent="0.3">
      <c r="M5066" s="5"/>
    </row>
    <row r="5067" spans="13:13" ht="15" customHeight="1" x14ac:dyDescent="0.3">
      <c r="M5067" s="5"/>
    </row>
    <row r="5068" spans="13:13" ht="15" customHeight="1" x14ac:dyDescent="0.3">
      <c r="M5068" s="5"/>
    </row>
    <row r="5069" spans="13:13" ht="15" customHeight="1" x14ac:dyDescent="0.3">
      <c r="M5069" s="5"/>
    </row>
    <row r="5070" spans="13:13" ht="15" customHeight="1" x14ac:dyDescent="0.3">
      <c r="M5070" s="5"/>
    </row>
    <row r="5071" spans="13:13" ht="15" customHeight="1" x14ac:dyDescent="0.3">
      <c r="M5071" s="5"/>
    </row>
    <row r="5072" spans="13:13" ht="15" customHeight="1" x14ac:dyDescent="0.3">
      <c r="M5072" s="5"/>
    </row>
    <row r="5073" spans="13:13" ht="15" customHeight="1" x14ac:dyDescent="0.3">
      <c r="M5073" s="5"/>
    </row>
    <row r="5074" spans="13:13" ht="15" customHeight="1" x14ac:dyDescent="0.3">
      <c r="M5074" s="5"/>
    </row>
    <row r="5075" spans="13:13" ht="15" customHeight="1" x14ac:dyDescent="0.3">
      <c r="M5075" s="5"/>
    </row>
    <row r="5076" spans="13:13" ht="15" customHeight="1" x14ac:dyDescent="0.3">
      <c r="M5076" s="5"/>
    </row>
    <row r="5077" spans="13:13" ht="15" customHeight="1" x14ac:dyDescent="0.3">
      <c r="M5077" s="5"/>
    </row>
    <row r="5078" spans="13:13" ht="15" customHeight="1" x14ac:dyDescent="0.3">
      <c r="M5078" s="5"/>
    </row>
    <row r="5079" spans="13:13" ht="15" customHeight="1" x14ac:dyDescent="0.3">
      <c r="M5079" s="5"/>
    </row>
    <row r="5080" spans="13:13" ht="15" customHeight="1" x14ac:dyDescent="0.3">
      <c r="M5080" s="5"/>
    </row>
    <row r="5081" spans="13:13" ht="15" customHeight="1" x14ac:dyDescent="0.3">
      <c r="M5081" s="5"/>
    </row>
    <row r="5082" spans="13:13" ht="15" customHeight="1" x14ac:dyDescent="0.3">
      <c r="M5082" s="5"/>
    </row>
    <row r="5083" spans="13:13" ht="15" customHeight="1" x14ac:dyDescent="0.3">
      <c r="M5083" s="5"/>
    </row>
    <row r="5084" spans="13:13" ht="15" customHeight="1" x14ac:dyDescent="0.3">
      <c r="M5084" s="5"/>
    </row>
    <row r="5085" spans="13:13" ht="15" customHeight="1" x14ac:dyDescent="0.3">
      <c r="M5085" s="5"/>
    </row>
    <row r="5086" spans="13:13" ht="15" customHeight="1" x14ac:dyDescent="0.3">
      <c r="M5086" s="5"/>
    </row>
    <row r="5087" spans="13:13" ht="15" customHeight="1" x14ac:dyDescent="0.3">
      <c r="M5087" s="5"/>
    </row>
    <row r="5088" spans="13:13" ht="15" customHeight="1" x14ac:dyDescent="0.3">
      <c r="M5088" s="5"/>
    </row>
    <row r="5089" spans="13:13" ht="15" customHeight="1" x14ac:dyDescent="0.3">
      <c r="M5089" s="5"/>
    </row>
    <row r="5090" spans="13:13" ht="15" customHeight="1" x14ac:dyDescent="0.3">
      <c r="M5090" s="5"/>
    </row>
    <row r="5091" spans="13:13" ht="15" customHeight="1" x14ac:dyDescent="0.3">
      <c r="M5091" s="5"/>
    </row>
    <row r="5092" spans="13:13" ht="15" customHeight="1" x14ac:dyDescent="0.3">
      <c r="M5092" s="5"/>
    </row>
    <row r="5093" spans="13:13" ht="15" customHeight="1" x14ac:dyDescent="0.3">
      <c r="M5093" s="5"/>
    </row>
    <row r="5094" spans="13:13" ht="15" customHeight="1" x14ac:dyDescent="0.3">
      <c r="M5094" s="5"/>
    </row>
    <row r="5095" spans="13:13" ht="15" customHeight="1" x14ac:dyDescent="0.3">
      <c r="M5095" s="5"/>
    </row>
    <row r="5096" spans="13:13" ht="15" customHeight="1" x14ac:dyDescent="0.3">
      <c r="M5096" s="5"/>
    </row>
    <row r="5097" spans="13:13" ht="15" customHeight="1" x14ac:dyDescent="0.3">
      <c r="M5097" s="5"/>
    </row>
    <row r="5098" spans="13:13" ht="15" customHeight="1" x14ac:dyDescent="0.3">
      <c r="M5098" s="5"/>
    </row>
    <row r="5099" spans="13:13" ht="15" customHeight="1" x14ac:dyDescent="0.3">
      <c r="M5099" s="5"/>
    </row>
    <row r="5100" spans="13:13" ht="15" customHeight="1" x14ac:dyDescent="0.3">
      <c r="M5100" s="5"/>
    </row>
    <row r="5101" spans="13:13" ht="15" customHeight="1" x14ac:dyDescent="0.3">
      <c r="M5101" s="5"/>
    </row>
    <row r="5102" spans="13:13" ht="15" customHeight="1" x14ac:dyDescent="0.3">
      <c r="M5102" s="5"/>
    </row>
    <row r="5103" spans="13:13" ht="15" customHeight="1" x14ac:dyDescent="0.3">
      <c r="M5103" s="5"/>
    </row>
    <row r="5104" spans="13:13" ht="15" customHeight="1" x14ac:dyDescent="0.3">
      <c r="M5104" s="5"/>
    </row>
    <row r="5105" spans="13:13" ht="15" customHeight="1" x14ac:dyDescent="0.3">
      <c r="M5105" s="5"/>
    </row>
    <row r="5106" spans="13:13" ht="15" customHeight="1" x14ac:dyDescent="0.3">
      <c r="M5106" s="5"/>
    </row>
    <row r="5107" spans="13:13" ht="15" customHeight="1" x14ac:dyDescent="0.3">
      <c r="M5107" s="5"/>
    </row>
    <row r="5108" spans="13:13" ht="15" customHeight="1" x14ac:dyDescent="0.3">
      <c r="M5108" s="5"/>
    </row>
    <row r="5109" spans="13:13" ht="15" customHeight="1" x14ac:dyDescent="0.3">
      <c r="M5109" s="5"/>
    </row>
    <row r="5110" spans="13:13" ht="15" customHeight="1" x14ac:dyDescent="0.3">
      <c r="M5110" s="5"/>
    </row>
    <row r="5111" spans="13:13" ht="15" customHeight="1" x14ac:dyDescent="0.3">
      <c r="M5111" s="5"/>
    </row>
    <row r="5112" spans="13:13" ht="15" customHeight="1" x14ac:dyDescent="0.3">
      <c r="M5112" s="5"/>
    </row>
    <row r="5113" spans="13:13" ht="15" customHeight="1" x14ac:dyDescent="0.3">
      <c r="M5113" s="5"/>
    </row>
    <row r="5114" spans="13:13" ht="15" customHeight="1" x14ac:dyDescent="0.3">
      <c r="M5114" s="5"/>
    </row>
    <row r="5115" spans="13:13" ht="15" customHeight="1" x14ac:dyDescent="0.3">
      <c r="M5115" s="5"/>
    </row>
    <row r="5116" spans="13:13" ht="15" customHeight="1" x14ac:dyDescent="0.3">
      <c r="M5116" s="5"/>
    </row>
    <row r="5117" spans="13:13" ht="15" customHeight="1" x14ac:dyDescent="0.3">
      <c r="M5117" s="5"/>
    </row>
    <row r="5118" spans="13:13" ht="15" customHeight="1" x14ac:dyDescent="0.3">
      <c r="M5118" s="5"/>
    </row>
    <row r="5119" spans="13:13" ht="15" customHeight="1" x14ac:dyDescent="0.3">
      <c r="M5119" s="5"/>
    </row>
    <row r="5120" spans="13:13" ht="15" customHeight="1" x14ac:dyDescent="0.3">
      <c r="M5120" s="5"/>
    </row>
    <row r="5121" spans="13:13" ht="15" customHeight="1" x14ac:dyDescent="0.3">
      <c r="M5121" s="5"/>
    </row>
    <row r="5122" spans="13:13" ht="15" customHeight="1" x14ac:dyDescent="0.3">
      <c r="M5122" s="5"/>
    </row>
    <row r="5123" spans="13:13" ht="15" customHeight="1" x14ac:dyDescent="0.3">
      <c r="M5123" s="5"/>
    </row>
    <row r="5124" spans="13:13" ht="15" customHeight="1" x14ac:dyDescent="0.3">
      <c r="M5124" s="5"/>
    </row>
    <row r="5125" spans="13:13" ht="15" customHeight="1" x14ac:dyDescent="0.3">
      <c r="M5125" s="5"/>
    </row>
    <row r="5126" spans="13:13" ht="15" customHeight="1" x14ac:dyDescent="0.3">
      <c r="M5126" s="5"/>
    </row>
    <row r="5127" spans="13:13" ht="15" customHeight="1" x14ac:dyDescent="0.3">
      <c r="M5127" s="5"/>
    </row>
    <row r="5128" spans="13:13" ht="15" customHeight="1" x14ac:dyDescent="0.3">
      <c r="M5128" s="5"/>
    </row>
    <row r="5129" spans="13:13" ht="15" customHeight="1" x14ac:dyDescent="0.3">
      <c r="M5129" s="5"/>
    </row>
    <row r="5130" spans="13:13" ht="15" customHeight="1" x14ac:dyDescent="0.3">
      <c r="M5130" s="5"/>
    </row>
    <row r="5131" spans="13:13" ht="15" customHeight="1" x14ac:dyDescent="0.3">
      <c r="M5131" s="5"/>
    </row>
    <row r="5132" spans="13:13" ht="15" customHeight="1" x14ac:dyDescent="0.3">
      <c r="M5132" s="5"/>
    </row>
    <row r="5133" spans="13:13" ht="15" customHeight="1" x14ac:dyDescent="0.3">
      <c r="M5133" s="5"/>
    </row>
    <row r="5134" spans="13:13" ht="15" customHeight="1" x14ac:dyDescent="0.3">
      <c r="M5134" s="5"/>
    </row>
    <row r="5135" spans="13:13" ht="15" customHeight="1" x14ac:dyDescent="0.3">
      <c r="M5135" s="5"/>
    </row>
    <row r="5136" spans="13:13" ht="15" customHeight="1" x14ac:dyDescent="0.3">
      <c r="M5136" s="5"/>
    </row>
    <row r="5137" spans="13:13" ht="15" customHeight="1" x14ac:dyDescent="0.3">
      <c r="M5137" s="5"/>
    </row>
    <row r="5138" spans="13:13" ht="15" customHeight="1" x14ac:dyDescent="0.3">
      <c r="M5138" s="5"/>
    </row>
    <row r="5139" spans="13:13" ht="15" customHeight="1" x14ac:dyDescent="0.3">
      <c r="M5139" s="5"/>
    </row>
    <row r="5140" spans="13:13" ht="15" customHeight="1" x14ac:dyDescent="0.3">
      <c r="M5140" s="5"/>
    </row>
    <row r="5141" spans="13:13" ht="15" customHeight="1" x14ac:dyDescent="0.3">
      <c r="M5141" s="5"/>
    </row>
    <row r="5142" spans="13:13" ht="15" customHeight="1" x14ac:dyDescent="0.3">
      <c r="M5142" s="5"/>
    </row>
    <row r="5143" spans="13:13" ht="15" customHeight="1" x14ac:dyDescent="0.3">
      <c r="M5143" s="5"/>
    </row>
    <row r="5144" spans="13:13" ht="15" customHeight="1" x14ac:dyDescent="0.3">
      <c r="M5144" s="5"/>
    </row>
    <row r="5145" spans="13:13" ht="15" customHeight="1" x14ac:dyDescent="0.3">
      <c r="M5145" s="5"/>
    </row>
    <row r="5146" spans="13:13" ht="15" customHeight="1" x14ac:dyDescent="0.3">
      <c r="M5146" s="5"/>
    </row>
    <row r="5147" spans="13:13" ht="15" customHeight="1" x14ac:dyDescent="0.3">
      <c r="M5147" s="5"/>
    </row>
    <row r="5148" spans="13:13" ht="15" customHeight="1" x14ac:dyDescent="0.3">
      <c r="M5148" s="5"/>
    </row>
    <row r="5149" spans="13:13" ht="15" customHeight="1" x14ac:dyDescent="0.3">
      <c r="M5149" s="5"/>
    </row>
    <row r="5150" spans="13:13" ht="15" customHeight="1" x14ac:dyDescent="0.3">
      <c r="M5150" s="5"/>
    </row>
    <row r="5151" spans="13:13" ht="15" customHeight="1" x14ac:dyDescent="0.3">
      <c r="M5151" s="5"/>
    </row>
    <row r="5152" spans="13:13" ht="15" customHeight="1" x14ac:dyDescent="0.3">
      <c r="M5152" s="5"/>
    </row>
    <row r="5153" spans="13:13" ht="15" customHeight="1" x14ac:dyDescent="0.3">
      <c r="M5153" s="5"/>
    </row>
    <row r="5154" spans="13:13" ht="15" customHeight="1" x14ac:dyDescent="0.3">
      <c r="M5154" s="5"/>
    </row>
    <row r="5155" spans="13:13" ht="15" customHeight="1" x14ac:dyDescent="0.3">
      <c r="M5155" s="5"/>
    </row>
    <row r="5156" spans="13:13" ht="15" customHeight="1" x14ac:dyDescent="0.3">
      <c r="M5156" s="5"/>
    </row>
    <row r="5157" spans="13:13" ht="15" customHeight="1" x14ac:dyDescent="0.3">
      <c r="M5157" s="5"/>
    </row>
    <row r="5158" spans="13:13" ht="15" customHeight="1" x14ac:dyDescent="0.3">
      <c r="M5158" s="5"/>
    </row>
    <row r="5159" spans="13:13" ht="15" customHeight="1" x14ac:dyDescent="0.3">
      <c r="M5159" s="5"/>
    </row>
    <row r="5160" spans="13:13" ht="15" customHeight="1" x14ac:dyDescent="0.3">
      <c r="M5160" s="5"/>
    </row>
    <row r="5161" spans="13:13" ht="15" customHeight="1" x14ac:dyDescent="0.3">
      <c r="M5161" s="5"/>
    </row>
    <row r="5162" spans="13:13" ht="15" customHeight="1" x14ac:dyDescent="0.3">
      <c r="M5162" s="5"/>
    </row>
    <row r="5163" spans="13:13" ht="15" customHeight="1" x14ac:dyDescent="0.3">
      <c r="M5163" s="5"/>
    </row>
    <row r="5164" spans="13:13" ht="15" customHeight="1" x14ac:dyDescent="0.3">
      <c r="M5164" s="5"/>
    </row>
    <row r="5165" spans="13:13" ht="15" customHeight="1" x14ac:dyDescent="0.3">
      <c r="M5165" s="5"/>
    </row>
    <row r="5166" spans="13:13" ht="15" customHeight="1" x14ac:dyDescent="0.3">
      <c r="M5166" s="5"/>
    </row>
    <row r="5167" spans="13:13" ht="15" customHeight="1" x14ac:dyDescent="0.3">
      <c r="M5167" s="5"/>
    </row>
    <row r="5168" spans="13:13" ht="15" customHeight="1" x14ac:dyDescent="0.3">
      <c r="M5168" s="5"/>
    </row>
    <row r="5169" spans="13:13" ht="15" customHeight="1" x14ac:dyDescent="0.3">
      <c r="M5169" s="5"/>
    </row>
    <row r="5170" spans="13:13" ht="15" customHeight="1" x14ac:dyDescent="0.3">
      <c r="M5170" s="5"/>
    </row>
    <row r="5171" spans="13:13" ht="15" customHeight="1" x14ac:dyDescent="0.3">
      <c r="M5171" s="5"/>
    </row>
    <row r="5172" spans="13:13" ht="15" customHeight="1" x14ac:dyDescent="0.3">
      <c r="M5172" s="5"/>
    </row>
    <row r="5173" spans="13:13" ht="15" customHeight="1" x14ac:dyDescent="0.3">
      <c r="M5173" s="5"/>
    </row>
    <row r="5174" spans="13:13" ht="15" customHeight="1" x14ac:dyDescent="0.3">
      <c r="M5174" s="5"/>
    </row>
    <row r="5175" spans="13:13" ht="15" customHeight="1" x14ac:dyDescent="0.3">
      <c r="M5175" s="5"/>
    </row>
    <row r="5176" spans="13:13" ht="15" customHeight="1" x14ac:dyDescent="0.3">
      <c r="M5176" s="5"/>
    </row>
    <row r="5177" spans="13:13" ht="15" customHeight="1" x14ac:dyDescent="0.3">
      <c r="M5177" s="5"/>
    </row>
    <row r="5178" spans="13:13" ht="15" customHeight="1" x14ac:dyDescent="0.3">
      <c r="M5178" s="5"/>
    </row>
    <row r="5179" spans="13:13" ht="15" customHeight="1" x14ac:dyDescent="0.3">
      <c r="M5179" s="5"/>
    </row>
    <row r="5180" spans="13:13" ht="15" customHeight="1" x14ac:dyDescent="0.3">
      <c r="M5180" s="5"/>
    </row>
    <row r="5181" spans="13:13" ht="15" customHeight="1" x14ac:dyDescent="0.3">
      <c r="M5181" s="5"/>
    </row>
    <row r="5182" spans="13:13" ht="15" customHeight="1" x14ac:dyDescent="0.3">
      <c r="M5182" s="5"/>
    </row>
    <row r="5183" spans="13:13" ht="15" customHeight="1" x14ac:dyDescent="0.3">
      <c r="M5183" s="5"/>
    </row>
    <row r="5184" spans="13:13" ht="15" customHeight="1" x14ac:dyDescent="0.3">
      <c r="M5184" s="5"/>
    </row>
    <row r="5185" spans="13:13" ht="15" customHeight="1" x14ac:dyDescent="0.3">
      <c r="M5185" s="5"/>
    </row>
    <row r="5186" spans="13:13" ht="15" customHeight="1" x14ac:dyDescent="0.3">
      <c r="M5186" s="5"/>
    </row>
    <row r="5187" spans="13:13" ht="15" customHeight="1" x14ac:dyDescent="0.3">
      <c r="M5187" s="5"/>
    </row>
    <row r="5188" spans="13:13" ht="15" customHeight="1" x14ac:dyDescent="0.3">
      <c r="M5188" s="5"/>
    </row>
    <row r="5189" spans="13:13" ht="15" customHeight="1" x14ac:dyDescent="0.3">
      <c r="M5189" s="5"/>
    </row>
    <row r="5190" spans="13:13" ht="15" customHeight="1" x14ac:dyDescent="0.3">
      <c r="M5190" s="5"/>
    </row>
    <row r="5191" spans="13:13" ht="15" customHeight="1" x14ac:dyDescent="0.3">
      <c r="M5191" s="5"/>
    </row>
    <row r="5192" spans="13:13" ht="15" customHeight="1" x14ac:dyDescent="0.3">
      <c r="M5192" s="5"/>
    </row>
    <row r="5193" spans="13:13" ht="15" customHeight="1" x14ac:dyDescent="0.3">
      <c r="M5193" s="5"/>
    </row>
    <row r="5194" spans="13:13" ht="15" customHeight="1" x14ac:dyDescent="0.3">
      <c r="M5194" s="5"/>
    </row>
    <row r="5195" spans="13:13" ht="15" customHeight="1" x14ac:dyDescent="0.3">
      <c r="M5195" s="5"/>
    </row>
    <row r="5196" spans="13:13" ht="15" customHeight="1" x14ac:dyDescent="0.3">
      <c r="M5196" s="5"/>
    </row>
    <row r="5197" spans="13:13" ht="15" customHeight="1" x14ac:dyDescent="0.3">
      <c r="M5197" s="5"/>
    </row>
    <row r="5198" spans="13:13" ht="15" customHeight="1" x14ac:dyDescent="0.3">
      <c r="M5198" s="5"/>
    </row>
    <row r="5199" spans="13:13" ht="15" customHeight="1" x14ac:dyDescent="0.3">
      <c r="M5199" s="5"/>
    </row>
    <row r="5200" spans="13:13" ht="15" customHeight="1" x14ac:dyDescent="0.3">
      <c r="M5200" s="5"/>
    </row>
    <row r="5201" spans="13:13" ht="15" customHeight="1" x14ac:dyDescent="0.3">
      <c r="M5201" s="5"/>
    </row>
    <row r="5202" spans="13:13" ht="15" customHeight="1" x14ac:dyDescent="0.3">
      <c r="M5202" s="5"/>
    </row>
    <row r="5203" spans="13:13" ht="15" customHeight="1" x14ac:dyDescent="0.3">
      <c r="M5203" s="5"/>
    </row>
    <row r="5204" spans="13:13" ht="15" customHeight="1" x14ac:dyDescent="0.3">
      <c r="M5204" s="5"/>
    </row>
    <row r="5205" spans="13:13" ht="15" customHeight="1" x14ac:dyDescent="0.3">
      <c r="M5205" s="5"/>
    </row>
    <row r="5206" spans="13:13" ht="15" customHeight="1" x14ac:dyDescent="0.3">
      <c r="M5206" s="5"/>
    </row>
    <row r="5207" spans="13:13" ht="15" customHeight="1" x14ac:dyDescent="0.3">
      <c r="M5207" s="5"/>
    </row>
    <row r="5208" spans="13:13" ht="15" customHeight="1" x14ac:dyDescent="0.3">
      <c r="M5208" s="5"/>
    </row>
    <row r="5209" spans="13:13" ht="15" customHeight="1" x14ac:dyDescent="0.3">
      <c r="M5209" s="5"/>
    </row>
    <row r="5210" spans="13:13" ht="15" customHeight="1" x14ac:dyDescent="0.3">
      <c r="M5210" s="5"/>
    </row>
    <row r="5211" spans="13:13" ht="15" customHeight="1" x14ac:dyDescent="0.3">
      <c r="M5211" s="5"/>
    </row>
    <row r="5212" spans="13:13" ht="15" customHeight="1" x14ac:dyDescent="0.3">
      <c r="M5212" s="5"/>
    </row>
    <row r="5213" spans="13:13" ht="15" customHeight="1" x14ac:dyDescent="0.3">
      <c r="M5213" s="5"/>
    </row>
    <row r="5214" spans="13:13" ht="15" customHeight="1" x14ac:dyDescent="0.3">
      <c r="M5214" s="5"/>
    </row>
    <row r="5215" spans="13:13" ht="15" customHeight="1" x14ac:dyDescent="0.3">
      <c r="M5215" s="5"/>
    </row>
    <row r="5216" spans="13:13" ht="15" customHeight="1" x14ac:dyDescent="0.3">
      <c r="M5216" s="5"/>
    </row>
    <row r="5217" spans="13:13" ht="15" customHeight="1" x14ac:dyDescent="0.3">
      <c r="M5217" s="5"/>
    </row>
    <row r="5218" spans="13:13" ht="15" customHeight="1" x14ac:dyDescent="0.3">
      <c r="M5218" s="5"/>
    </row>
    <row r="5219" spans="13:13" ht="15" customHeight="1" x14ac:dyDescent="0.3">
      <c r="M5219" s="5"/>
    </row>
    <row r="5220" spans="13:13" ht="15" customHeight="1" x14ac:dyDescent="0.3">
      <c r="M5220" s="5"/>
    </row>
    <row r="5221" spans="13:13" ht="15" customHeight="1" x14ac:dyDescent="0.3">
      <c r="M5221" s="5"/>
    </row>
    <row r="5222" spans="13:13" ht="15" customHeight="1" x14ac:dyDescent="0.3">
      <c r="M5222" s="5"/>
    </row>
    <row r="5223" spans="13:13" ht="15" customHeight="1" x14ac:dyDescent="0.3">
      <c r="M5223" s="5"/>
    </row>
    <row r="5224" spans="13:13" ht="15" customHeight="1" x14ac:dyDescent="0.3">
      <c r="M5224" s="5"/>
    </row>
    <row r="5225" spans="13:13" ht="15" customHeight="1" x14ac:dyDescent="0.3">
      <c r="M5225" s="5"/>
    </row>
    <row r="5226" spans="13:13" ht="15" customHeight="1" x14ac:dyDescent="0.3">
      <c r="M5226" s="5"/>
    </row>
    <row r="5227" spans="13:13" ht="15" customHeight="1" x14ac:dyDescent="0.3">
      <c r="M5227" s="5"/>
    </row>
    <row r="5228" spans="13:13" ht="15" customHeight="1" x14ac:dyDescent="0.3">
      <c r="M5228" s="5"/>
    </row>
    <row r="5229" spans="13:13" ht="15" customHeight="1" x14ac:dyDescent="0.3">
      <c r="M5229" s="5"/>
    </row>
    <row r="5230" spans="13:13" ht="15" customHeight="1" x14ac:dyDescent="0.3">
      <c r="M5230" s="5"/>
    </row>
    <row r="5231" spans="13:13" ht="15" customHeight="1" x14ac:dyDescent="0.3">
      <c r="M5231" s="5"/>
    </row>
    <row r="5232" spans="13:13" ht="15" customHeight="1" x14ac:dyDescent="0.3">
      <c r="M5232" s="5"/>
    </row>
    <row r="5233" spans="13:13" ht="15" customHeight="1" x14ac:dyDescent="0.3">
      <c r="M5233" s="5"/>
    </row>
    <row r="5234" spans="13:13" ht="15" customHeight="1" x14ac:dyDescent="0.3">
      <c r="M5234" s="5"/>
    </row>
    <row r="5235" spans="13:13" ht="15" customHeight="1" x14ac:dyDescent="0.3">
      <c r="M5235" s="5"/>
    </row>
    <row r="5236" spans="13:13" ht="15" customHeight="1" x14ac:dyDescent="0.3">
      <c r="M5236" s="5"/>
    </row>
    <row r="5237" spans="13:13" ht="15" customHeight="1" x14ac:dyDescent="0.3">
      <c r="M5237" s="5"/>
    </row>
    <row r="5238" spans="13:13" ht="15" customHeight="1" x14ac:dyDescent="0.3">
      <c r="M5238" s="5"/>
    </row>
    <row r="5239" spans="13:13" ht="15" customHeight="1" x14ac:dyDescent="0.3">
      <c r="M5239" s="5"/>
    </row>
    <row r="5240" spans="13:13" ht="15" customHeight="1" x14ac:dyDescent="0.3">
      <c r="M5240" s="5"/>
    </row>
    <row r="5241" spans="13:13" ht="15" customHeight="1" x14ac:dyDescent="0.3">
      <c r="M5241" s="5"/>
    </row>
    <row r="5242" spans="13:13" ht="15" customHeight="1" x14ac:dyDescent="0.3">
      <c r="M5242" s="5"/>
    </row>
    <row r="5243" spans="13:13" ht="15" customHeight="1" x14ac:dyDescent="0.3">
      <c r="M5243" s="5"/>
    </row>
    <row r="5244" spans="13:13" ht="15" customHeight="1" x14ac:dyDescent="0.3">
      <c r="M5244" s="5"/>
    </row>
    <row r="5245" spans="13:13" ht="15" customHeight="1" x14ac:dyDescent="0.3">
      <c r="M5245" s="5"/>
    </row>
    <row r="5246" spans="13:13" ht="15" customHeight="1" x14ac:dyDescent="0.3">
      <c r="M5246" s="5"/>
    </row>
    <row r="5247" spans="13:13" ht="15" customHeight="1" x14ac:dyDescent="0.3">
      <c r="M5247" s="5"/>
    </row>
    <row r="5248" spans="13:13" ht="15" customHeight="1" x14ac:dyDescent="0.3">
      <c r="M5248" s="5"/>
    </row>
    <row r="5249" spans="13:13" ht="15" customHeight="1" x14ac:dyDescent="0.3">
      <c r="M5249" s="5"/>
    </row>
    <row r="5250" spans="13:13" ht="15" customHeight="1" x14ac:dyDescent="0.3">
      <c r="M5250" s="5"/>
    </row>
    <row r="5251" spans="13:13" ht="15" customHeight="1" x14ac:dyDescent="0.3">
      <c r="M5251" s="5"/>
    </row>
    <row r="5252" spans="13:13" ht="15" customHeight="1" x14ac:dyDescent="0.3">
      <c r="M5252" s="5"/>
    </row>
    <row r="5253" spans="13:13" ht="15" customHeight="1" x14ac:dyDescent="0.3">
      <c r="M5253" s="5"/>
    </row>
    <row r="5254" spans="13:13" ht="15" customHeight="1" x14ac:dyDescent="0.3">
      <c r="M5254" s="5"/>
    </row>
    <row r="5255" spans="13:13" ht="15" customHeight="1" x14ac:dyDescent="0.3">
      <c r="M5255" s="5"/>
    </row>
    <row r="5256" spans="13:13" ht="15" customHeight="1" x14ac:dyDescent="0.3">
      <c r="M5256" s="5"/>
    </row>
    <row r="5257" spans="13:13" ht="15" customHeight="1" x14ac:dyDescent="0.3">
      <c r="M5257" s="5"/>
    </row>
    <row r="5258" spans="13:13" ht="15" customHeight="1" x14ac:dyDescent="0.3">
      <c r="M5258" s="5"/>
    </row>
    <row r="5259" spans="13:13" ht="15" customHeight="1" x14ac:dyDescent="0.3">
      <c r="M5259" s="5"/>
    </row>
    <row r="5260" spans="13:13" ht="15" customHeight="1" x14ac:dyDescent="0.3">
      <c r="M5260" s="5"/>
    </row>
    <row r="5261" spans="13:13" ht="15" customHeight="1" x14ac:dyDescent="0.3">
      <c r="M5261" s="5"/>
    </row>
    <row r="5262" spans="13:13" ht="15" customHeight="1" x14ac:dyDescent="0.3">
      <c r="M5262" s="5"/>
    </row>
    <row r="5263" spans="13:13" ht="15" customHeight="1" x14ac:dyDescent="0.3">
      <c r="M5263" s="5"/>
    </row>
    <row r="5264" spans="13:13" ht="15" customHeight="1" x14ac:dyDescent="0.3">
      <c r="M5264" s="5"/>
    </row>
    <row r="5265" spans="13:13" ht="15" customHeight="1" x14ac:dyDescent="0.3">
      <c r="M5265" s="5"/>
    </row>
    <row r="5266" spans="13:13" ht="15" customHeight="1" x14ac:dyDescent="0.3">
      <c r="M5266" s="5"/>
    </row>
    <row r="5267" spans="13:13" ht="15" customHeight="1" x14ac:dyDescent="0.3">
      <c r="M5267" s="5"/>
    </row>
    <row r="5268" spans="13:13" ht="15" customHeight="1" x14ac:dyDescent="0.3">
      <c r="M5268" s="5"/>
    </row>
    <row r="5269" spans="13:13" ht="15" customHeight="1" x14ac:dyDescent="0.3">
      <c r="M5269" s="5"/>
    </row>
    <row r="5270" spans="13:13" ht="15" customHeight="1" x14ac:dyDescent="0.3">
      <c r="M5270" s="5"/>
    </row>
    <row r="5271" spans="13:13" ht="15" customHeight="1" x14ac:dyDescent="0.3">
      <c r="M5271" s="5"/>
    </row>
    <row r="5272" spans="13:13" ht="15" customHeight="1" x14ac:dyDescent="0.3">
      <c r="M5272" s="5"/>
    </row>
    <row r="5273" spans="13:13" ht="15" customHeight="1" x14ac:dyDescent="0.3">
      <c r="M5273" s="5"/>
    </row>
    <row r="5274" spans="13:13" ht="15" customHeight="1" x14ac:dyDescent="0.3">
      <c r="M5274" s="5"/>
    </row>
    <row r="5275" spans="13:13" ht="15" customHeight="1" x14ac:dyDescent="0.3">
      <c r="M5275" s="5"/>
    </row>
    <row r="5276" spans="13:13" ht="15" customHeight="1" x14ac:dyDescent="0.3">
      <c r="M5276" s="5"/>
    </row>
    <row r="5277" spans="13:13" ht="15" customHeight="1" x14ac:dyDescent="0.3">
      <c r="M5277" s="5"/>
    </row>
    <row r="5278" spans="13:13" ht="15" customHeight="1" x14ac:dyDescent="0.3">
      <c r="M5278" s="5"/>
    </row>
    <row r="5279" spans="13:13" ht="15" customHeight="1" x14ac:dyDescent="0.3">
      <c r="M5279" s="5"/>
    </row>
    <row r="5280" spans="13:13" ht="15" customHeight="1" x14ac:dyDescent="0.3">
      <c r="M5280" s="5"/>
    </row>
    <row r="5281" spans="13:13" ht="15" customHeight="1" x14ac:dyDescent="0.3">
      <c r="M5281" s="5"/>
    </row>
    <row r="5282" spans="13:13" ht="15" customHeight="1" x14ac:dyDescent="0.3">
      <c r="M5282" s="5"/>
    </row>
    <row r="5283" spans="13:13" ht="15" customHeight="1" x14ac:dyDescent="0.3">
      <c r="M5283" s="5"/>
    </row>
    <row r="5284" spans="13:13" ht="15" customHeight="1" x14ac:dyDescent="0.3">
      <c r="M5284" s="5"/>
    </row>
    <row r="5285" spans="13:13" ht="15" customHeight="1" x14ac:dyDescent="0.3">
      <c r="M5285" s="5"/>
    </row>
    <row r="5286" spans="13:13" ht="15" customHeight="1" x14ac:dyDescent="0.3">
      <c r="M5286" s="5"/>
    </row>
    <row r="5287" spans="13:13" ht="15" customHeight="1" x14ac:dyDescent="0.3">
      <c r="M5287" s="5"/>
    </row>
    <row r="5288" spans="13:13" ht="15" customHeight="1" x14ac:dyDescent="0.3">
      <c r="M5288" s="5"/>
    </row>
    <row r="5289" spans="13:13" ht="15" customHeight="1" x14ac:dyDescent="0.3">
      <c r="M5289" s="5"/>
    </row>
    <row r="5290" spans="13:13" ht="15" customHeight="1" x14ac:dyDescent="0.3">
      <c r="M5290" s="5"/>
    </row>
    <row r="5291" spans="13:13" ht="15" customHeight="1" x14ac:dyDescent="0.3">
      <c r="M5291" s="5"/>
    </row>
    <row r="5292" spans="13:13" ht="15" customHeight="1" x14ac:dyDescent="0.3">
      <c r="M5292" s="5"/>
    </row>
    <row r="5293" spans="13:13" ht="15" customHeight="1" x14ac:dyDescent="0.3">
      <c r="M5293" s="5"/>
    </row>
    <row r="5294" spans="13:13" ht="15" customHeight="1" x14ac:dyDescent="0.3">
      <c r="M5294" s="5"/>
    </row>
    <row r="5295" spans="13:13" ht="15" customHeight="1" x14ac:dyDescent="0.3">
      <c r="M5295" s="5"/>
    </row>
    <row r="5296" spans="13:13" ht="15" customHeight="1" x14ac:dyDescent="0.3">
      <c r="M5296" s="5"/>
    </row>
    <row r="5297" spans="13:13" ht="15" customHeight="1" x14ac:dyDescent="0.3">
      <c r="M5297" s="5"/>
    </row>
    <row r="5298" spans="13:13" ht="15" customHeight="1" x14ac:dyDescent="0.3">
      <c r="M5298" s="5"/>
    </row>
    <row r="5299" spans="13:13" ht="15" customHeight="1" x14ac:dyDescent="0.3">
      <c r="M5299" s="5"/>
    </row>
    <row r="5300" spans="13:13" ht="15" customHeight="1" x14ac:dyDescent="0.3">
      <c r="M5300" s="5"/>
    </row>
    <row r="5301" spans="13:13" ht="15" customHeight="1" x14ac:dyDescent="0.3">
      <c r="M5301" s="5"/>
    </row>
    <row r="5302" spans="13:13" ht="15" customHeight="1" x14ac:dyDescent="0.3">
      <c r="M5302" s="5"/>
    </row>
    <row r="5303" spans="13:13" ht="15" customHeight="1" x14ac:dyDescent="0.3">
      <c r="M5303" s="5"/>
    </row>
    <row r="5304" spans="13:13" ht="15" customHeight="1" x14ac:dyDescent="0.3">
      <c r="M5304" s="5"/>
    </row>
    <row r="5305" spans="13:13" ht="15" customHeight="1" x14ac:dyDescent="0.3">
      <c r="M5305" s="5"/>
    </row>
    <row r="5306" spans="13:13" ht="15" customHeight="1" x14ac:dyDescent="0.3">
      <c r="M5306" s="5"/>
    </row>
    <row r="5307" spans="13:13" ht="15" customHeight="1" x14ac:dyDescent="0.3">
      <c r="M5307" s="5"/>
    </row>
    <row r="5308" spans="13:13" ht="15" customHeight="1" x14ac:dyDescent="0.3">
      <c r="M5308" s="5"/>
    </row>
    <row r="5309" spans="13:13" ht="15" customHeight="1" x14ac:dyDescent="0.3">
      <c r="M5309" s="5"/>
    </row>
    <row r="5310" spans="13:13" ht="15" customHeight="1" x14ac:dyDescent="0.3">
      <c r="M5310" s="5"/>
    </row>
    <row r="5311" spans="13:13" ht="15" customHeight="1" x14ac:dyDescent="0.3">
      <c r="M5311" s="5"/>
    </row>
    <row r="5312" spans="13:13" ht="15" customHeight="1" x14ac:dyDescent="0.3">
      <c r="M5312" s="5"/>
    </row>
    <row r="5313" spans="13:13" ht="15" customHeight="1" x14ac:dyDescent="0.3">
      <c r="M5313" s="5"/>
    </row>
    <row r="5314" spans="13:13" ht="15" customHeight="1" x14ac:dyDescent="0.3">
      <c r="M5314" s="5"/>
    </row>
    <row r="5315" spans="13:13" ht="15" customHeight="1" x14ac:dyDescent="0.3">
      <c r="M5315" s="5"/>
    </row>
    <row r="5316" spans="13:13" ht="15" customHeight="1" x14ac:dyDescent="0.3">
      <c r="M5316" s="5"/>
    </row>
    <row r="5317" spans="13:13" ht="15" customHeight="1" x14ac:dyDescent="0.3">
      <c r="M5317" s="5"/>
    </row>
    <row r="5318" spans="13:13" ht="15" customHeight="1" x14ac:dyDescent="0.3">
      <c r="M5318" s="5"/>
    </row>
    <row r="5319" spans="13:13" ht="15" customHeight="1" x14ac:dyDescent="0.3">
      <c r="M5319" s="5"/>
    </row>
    <row r="5320" spans="13:13" ht="15" customHeight="1" x14ac:dyDescent="0.3">
      <c r="M5320" s="5"/>
    </row>
    <row r="5321" spans="13:13" ht="15" customHeight="1" x14ac:dyDescent="0.3">
      <c r="M5321" s="5"/>
    </row>
    <row r="5322" spans="13:13" ht="15" customHeight="1" x14ac:dyDescent="0.3">
      <c r="M5322" s="5"/>
    </row>
    <row r="5323" spans="13:13" ht="15" customHeight="1" x14ac:dyDescent="0.3">
      <c r="M5323" s="5"/>
    </row>
    <row r="5324" spans="13:13" ht="15" customHeight="1" x14ac:dyDescent="0.3">
      <c r="M5324" s="5"/>
    </row>
    <row r="5325" spans="13:13" ht="15" customHeight="1" x14ac:dyDescent="0.3">
      <c r="M5325" s="5"/>
    </row>
    <row r="5326" spans="13:13" ht="15" customHeight="1" x14ac:dyDescent="0.3">
      <c r="M5326" s="5"/>
    </row>
    <row r="5327" spans="13:13" ht="15" customHeight="1" x14ac:dyDescent="0.3">
      <c r="M5327" s="5"/>
    </row>
    <row r="5328" spans="13:13" ht="15" customHeight="1" x14ac:dyDescent="0.3">
      <c r="M5328" s="5"/>
    </row>
    <row r="5329" spans="13:13" ht="15" customHeight="1" x14ac:dyDescent="0.3">
      <c r="M5329" s="5"/>
    </row>
    <row r="5330" spans="13:13" ht="15" customHeight="1" x14ac:dyDescent="0.3">
      <c r="M5330" s="5"/>
    </row>
    <row r="5331" spans="13:13" ht="15" customHeight="1" x14ac:dyDescent="0.3">
      <c r="M5331" s="5"/>
    </row>
    <row r="5332" spans="13:13" ht="15" customHeight="1" x14ac:dyDescent="0.3">
      <c r="M5332" s="5"/>
    </row>
    <row r="5333" spans="13:13" ht="15" customHeight="1" x14ac:dyDescent="0.3">
      <c r="M5333" s="5"/>
    </row>
    <row r="5334" spans="13:13" ht="15" customHeight="1" x14ac:dyDescent="0.3">
      <c r="M5334" s="5"/>
    </row>
    <row r="5335" spans="13:13" ht="15" customHeight="1" x14ac:dyDescent="0.3">
      <c r="M5335" s="5"/>
    </row>
    <row r="5336" spans="13:13" ht="15" customHeight="1" x14ac:dyDescent="0.3">
      <c r="M5336" s="5"/>
    </row>
    <row r="5337" spans="13:13" ht="15" customHeight="1" x14ac:dyDescent="0.3">
      <c r="M5337" s="5"/>
    </row>
    <row r="5338" spans="13:13" ht="15" customHeight="1" x14ac:dyDescent="0.3">
      <c r="M5338" s="5"/>
    </row>
    <row r="5339" spans="13:13" ht="15" customHeight="1" x14ac:dyDescent="0.3">
      <c r="M5339" s="5"/>
    </row>
    <row r="5340" spans="13:13" ht="15" customHeight="1" x14ac:dyDescent="0.3">
      <c r="M5340" s="5"/>
    </row>
    <row r="5341" spans="13:13" ht="15" customHeight="1" x14ac:dyDescent="0.3">
      <c r="M5341" s="5"/>
    </row>
    <row r="5342" spans="13:13" ht="15" customHeight="1" x14ac:dyDescent="0.3">
      <c r="M5342" s="5"/>
    </row>
    <row r="5343" spans="13:13" ht="15" customHeight="1" x14ac:dyDescent="0.3">
      <c r="M5343" s="5"/>
    </row>
    <row r="5344" spans="13:13" ht="15" customHeight="1" x14ac:dyDescent="0.3">
      <c r="M5344" s="5"/>
    </row>
    <row r="5345" spans="13:13" ht="15" customHeight="1" x14ac:dyDescent="0.3">
      <c r="M5345" s="5"/>
    </row>
    <row r="5346" spans="13:13" ht="15" customHeight="1" x14ac:dyDescent="0.3">
      <c r="M5346" s="5"/>
    </row>
    <row r="5347" spans="13:13" ht="15" customHeight="1" x14ac:dyDescent="0.3">
      <c r="M5347" s="5"/>
    </row>
    <row r="5348" spans="13:13" ht="15" customHeight="1" x14ac:dyDescent="0.3">
      <c r="M5348" s="5"/>
    </row>
    <row r="5349" spans="13:13" ht="15" customHeight="1" x14ac:dyDescent="0.3">
      <c r="M5349" s="5"/>
    </row>
    <row r="5350" spans="13:13" ht="15" customHeight="1" x14ac:dyDescent="0.3">
      <c r="M5350" s="5"/>
    </row>
    <row r="5351" spans="13:13" ht="15" customHeight="1" x14ac:dyDescent="0.3">
      <c r="M5351" s="5"/>
    </row>
    <row r="5352" spans="13:13" ht="15" customHeight="1" x14ac:dyDescent="0.3">
      <c r="M5352" s="5"/>
    </row>
    <row r="5353" spans="13:13" ht="15" customHeight="1" x14ac:dyDescent="0.3">
      <c r="M5353" s="5"/>
    </row>
    <row r="5354" spans="13:13" ht="15" customHeight="1" x14ac:dyDescent="0.3">
      <c r="M5354" s="5"/>
    </row>
    <row r="5355" spans="13:13" ht="15" customHeight="1" x14ac:dyDescent="0.3">
      <c r="M5355" s="5"/>
    </row>
    <row r="5356" spans="13:13" ht="15" customHeight="1" x14ac:dyDescent="0.3">
      <c r="M5356" s="5"/>
    </row>
    <row r="5357" spans="13:13" ht="15" customHeight="1" x14ac:dyDescent="0.3">
      <c r="M5357" s="5"/>
    </row>
    <row r="5358" spans="13:13" ht="15" customHeight="1" x14ac:dyDescent="0.3">
      <c r="M5358" s="5"/>
    </row>
    <row r="5359" spans="13:13" ht="15" customHeight="1" x14ac:dyDescent="0.3">
      <c r="M5359" s="5"/>
    </row>
    <row r="5360" spans="13:13" ht="15" customHeight="1" x14ac:dyDescent="0.3">
      <c r="M5360" s="5"/>
    </row>
    <row r="5361" spans="13:13" ht="15" customHeight="1" x14ac:dyDescent="0.3">
      <c r="M5361" s="5"/>
    </row>
    <row r="5362" spans="13:13" ht="15" customHeight="1" x14ac:dyDescent="0.3">
      <c r="M5362" s="5"/>
    </row>
    <row r="5363" spans="13:13" ht="15" customHeight="1" x14ac:dyDescent="0.3">
      <c r="M5363" s="5"/>
    </row>
    <row r="5364" spans="13:13" ht="15" customHeight="1" x14ac:dyDescent="0.3">
      <c r="M5364" s="5"/>
    </row>
    <row r="5365" spans="13:13" ht="15" customHeight="1" x14ac:dyDescent="0.3">
      <c r="M5365" s="5"/>
    </row>
    <row r="5366" spans="13:13" ht="15" customHeight="1" x14ac:dyDescent="0.3">
      <c r="M5366" s="5"/>
    </row>
    <row r="5367" spans="13:13" ht="15" customHeight="1" x14ac:dyDescent="0.3">
      <c r="M5367" s="5"/>
    </row>
    <row r="5368" spans="13:13" ht="15" customHeight="1" x14ac:dyDescent="0.3">
      <c r="M5368" s="5"/>
    </row>
    <row r="5369" spans="13:13" ht="15" customHeight="1" x14ac:dyDescent="0.3">
      <c r="M5369" s="5"/>
    </row>
    <row r="5370" spans="13:13" ht="15" customHeight="1" x14ac:dyDescent="0.3">
      <c r="M5370" s="5"/>
    </row>
    <row r="5371" spans="13:13" ht="15" customHeight="1" x14ac:dyDescent="0.3">
      <c r="M5371" s="5"/>
    </row>
    <row r="5372" spans="13:13" ht="15" customHeight="1" x14ac:dyDescent="0.3">
      <c r="M5372" s="5"/>
    </row>
    <row r="5373" spans="13:13" ht="15" customHeight="1" x14ac:dyDescent="0.3">
      <c r="M5373" s="5"/>
    </row>
    <row r="5374" spans="13:13" ht="15" customHeight="1" x14ac:dyDescent="0.3">
      <c r="M5374" s="5"/>
    </row>
    <row r="5375" spans="13:13" ht="15" customHeight="1" x14ac:dyDescent="0.3">
      <c r="M5375" s="5"/>
    </row>
    <row r="5376" spans="13:13" ht="15" customHeight="1" x14ac:dyDescent="0.3">
      <c r="M5376" s="5"/>
    </row>
    <row r="5377" spans="13:13" ht="15" customHeight="1" x14ac:dyDescent="0.3">
      <c r="M5377" s="5"/>
    </row>
    <row r="5378" spans="13:13" ht="15" customHeight="1" x14ac:dyDescent="0.3">
      <c r="M5378" s="5"/>
    </row>
    <row r="5379" spans="13:13" ht="15" customHeight="1" x14ac:dyDescent="0.3">
      <c r="M5379" s="5"/>
    </row>
    <row r="5380" spans="13:13" ht="15" customHeight="1" x14ac:dyDescent="0.3">
      <c r="M5380" s="5"/>
    </row>
    <row r="5381" spans="13:13" ht="15" customHeight="1" x14ac:dyDescent="0.3">
      <c r="M5381" s="5"/>
    </row>
    <row r="5382" spans="13:13" ht="15" customHeight="1" x14ac:dyDescent="0.3">
      <c r="M5382" s="5"/>
    </row>
    <row r="5383" spans="13:13" ht="15" customHeight="1" x14ac:dyDescent="0.3">
      <c r="M5383" s="5"/>
    </row>
    <row r="5384" spans="13:13" ht="15" customHeight="1" x14ac:dyDescent="0.3">
      <c r="M5384" s="5"/>
    </row>
    <row r="5385" spans="13:13" ht="15" customHeight="1" x14ac:dyDescent="0.3">
      <c r="M5385" s="5"/>
    </row>
    <row r="5386" spans="13:13" ht="15" customHeight="1" x14ac:dyDescent="0.3">
      <c r="M5386" s="5"/>
    </row>
    <row r="5387" spans="13:13" ht="15" customHeight="1" x14ac:dyDescent="0.3">
      <c r="M5387" s="5"/>
    </row>
    <row r="5388" spans="13:13" ht="15" customHeight="1" x14ac:dyDescent="0.3">
      <c r="M5388" s="5"/>
    </row>
    <row r="5389" spans="13:13" ht="15" customHeight="1" x14ac:dyDescent="0.3">
      <c r="M5389" s="5"/>
    </row>
    <row r="5390" spans="13:13" ht="15" customHeight="1" x14ac:dyDescent="0.3">
      <c r="M5390" s="5"/>
    </row>
    <row r="5391" spans="13:13" ht="15" customHeight="1" x14ac:dyDescent="0.3">
      <c r="M5391" s="5"/>
    </row>
    <row r="5392" spans="13:13" ht="15" customHeight="1" x14ac:dyDescent="0.3">
      <c r="M5392" s="5"/>
    </row>
    <row r="5393" spans="13:13" ht="15" customHeight="1" x14ac:dyDescent="0.3">
      <c r="M5393" s="5"/>
    </row>
    <row r="5394" spans="13:13" ht="15" customHeight="1" x14ac:dyDescent="0.3">
      <c r="M5394" s="5"/>
    </row>
    <row r="5395" spans="13:13" ht="15" customHeight="1" x14ac:dyDescent="0.3">
      <c r="M5395" s="5"/>
    </row>
    <row r="5396" spans="13:13" ht="15" customHeight="1" x14ac:dyDescent="0.3">
      <c r="M5396" s="5"/>
    </row>
    <row r="5397" spans="13:13" ht="15" customHeight="1" x14ac:dyDescent="0.3">
      <c r="M5397" s="5"/>
    </row>
    <row r="5398" spans="13:13" ht="15" customHeight="1" x14ac:dyDescent="0.3">
      <c r="M5398" s="5"/>
    </row>
    <row r="5399" spans="13:13" ht="15" customHeight="1" x14ac:dyDescent="0.3">
      <c r="M5399" s="5"/>
    </row>
    <row r="5400" spans="13:13" ht="15" customHeight="1" x14ac:dyDescent="0.3">
      <c r="M5400" s="5"/>
    </row>
    <row r="5401" spans="13:13" ht="15" customHeight="1" x14ac:dyDescent="0.3">
      <c r="M5401" s="5"/>
    </row>
    <row r="5402" spans="13:13" ht="15" customHeight="1" x14ac:dyDescent="0.3">
      <c r="M5402" s="5"/>
    </row>
    <row r="5403" spans="13:13" ht="15" customHeight="1" x14ac:dyDescent="0.3">
      <c r="M5403" s="5"/>
    </row>
    <row r="5404" spans="13:13" ht="15" customHeight="1" x14ac:dyDescent="0.3">
      <c r="M5404" s="5"/>
    </row>
    <row r="5405" spans="13:13" ht="15" customHeight="1" x14ac:dyDescent="0.3">
      <c r="M5405" s="5"/>
    </row>
    <row r="5406" spans="13:13" ht="15" customHeight="1" x14ac:dyDescent="0.3">
      <c r="M5406" s="5"/>
    </row>
    <row r="5407" spans="13:13" ht="15" customHeight="1" x14ac:dyDescent="0.3">
      <c r="M5407" s="5"/>
    </row>
    <row r="5408" spans="13:13" ht="15" customHeight="1" x14ac:dyDescent="0.3">
      <c r="M5408" s="5"/>
    </row>
    <row r="5409" spans="13:13" ht="15" customHeight="1" x14ac:dyDescent="0.3">
      <c r="M5409" s="5"/>
    </row>
    <row r="5410" spans="13:13" ht="15" customHeight="1" x14ac:dyDescent="0.3">
      <c r="M5410" s="5"/>
    </row>
    <row r="5411" spans="13:13" ht="15" customHeight="1" x14ac:dyDescent="0.3">
      <c r="M5411" s="5"/>
    </row>
    <row r="5412" spans="13:13" ht="15" customHeight="1" x14ac:dyDescent="0.3">
      <c r="M5412" s="5"/>
    </row>
    <row r="5413" spans="13:13" ht="15" customHeight="1" x14ac:dyDescent="0.3">
      <c r="M5413" s="5"/>
    </row>
    <row r="5414" spans="13:13" ht="15" customHeight="1" x14ac:dyDescent="0.3">
      <c r="M5414" s="5"/>
    </row>
    <row r="5415" spans="13:13" ht="15" customHeight="1" x14ac:dyDescent="0.3">
      <c r="M5415" s="5"/>
    </row>
    <row r="5416" spans="13:13" ht="15" customHeight="1" x14ac:dyDescent="0.3">
      <c r="M5416" s="5"/>
    </row>
    <row r="5417" spans="13:13" ht="15" customHeight="1" x14ac:dyDescent="0.3">
      <c r="M5417" s="5"/>
    </row>
    <row r="5418" spans="13:13" ht="15" customHeight="1" x14ac:dyDescent="0.3">
      <c r="M5418" s="5"/>
    </row>
    <row r="5419" spans="13:13" ht="15" customHeight="1" x14ac:dyDescent="0.3">
      <c r="M5419" s="5"/>
    </row>
    <row r="5420" spans="13:13" ht="15" customHeight="1" x14ac:dyDescent="0.3">
      <c r="M5420" s="5"/>
    </row>
    <row r="5421" spans="13:13" ht="15" customHeight="1" x14ac:dyDescent="0.3">
      <c r="M5421" s="5"/>
    </row>
    <row r="5422" spans="13:13" ht="15" customHeight="1" x14ac:dyDescent="0.3">
      <c r="M5422" s="5"/>
    </row>
    <row r="5423" spans="13:13" ht="15" customHeight="1" x14ac:dyDescent="0.3">
      <c r="M5423" s="5"/>
    </row>
    <row r="5424" spans="13:13" ht="15" customHeight="1" x14ac:dyDescent="0.3">
      <c r="M5424" s="5"/>
    </row>
    <row r="5425" spans="13:13" ht="15" customHeight="1" x14ac:dyDescent="0.3">
      <c r="M5425" s="5"/>
    </row>
    <row r="5426" spans="13:13" ht="15" customHeight="1" x14ac:dyDescent="0.3">
      <c r="M5426" s="5"/>
    </row>
    <row r="5427" spans="13:13" ht="15" customHeight="1" x14ac:dyDescent="0.3">
      <c r="M5427" s="5"/>
    </row>
    <row r="5428" spans="13:13" ht="15" customHeight="1" x14ac:dyDescent="0.3">
      <c r="M5428" s="5"/>
    </row>
    <row r="5429" spans="13:13" ht="15" customHeight="1" x14ac:dyDescent="0.3">
      <c r="M5429" s="5"/>
    </row>
    <row r="5430" spans="13:13" ht="15" customHeight="1" x14ac:dyDescent="0.3">
      <c r="M5430" s="5"/>
    </row>
    <row r="5431" spans="13:13" ht="15" customHeight="1" x14ac:dyDescent="0.3">
      <c r="M5431" s="5"/>
    </row>
    <row r="5432" spans="13:13" ht="15" customHeight="1" x14ac:dyDescent="0.3">
      <c r="M5432" s="5"/>
    </row>
    <row r="5433" spans="13:13" ht="15" customHeight="1" x14ac:dyDescent="0.3">
      <c r="M5433" s="5"/>
    </row>
    <row r="5434" spans="13:13" ht="15" customHeight="1" x14ac:dyDescent="0.3">
      <c r="M5434" s="5"/>
    </row>
    <row r="5435" spans="13:13" ht="15" customHeight="1" x14ac:dyDescent="0.3">
      <c r="M5435" s="5"/>
    </row>
    <row r="5436" spans="13:13" ht="15" customHeight="1" x14ac:dyDescent="0.3">
      <c r="M5436" s="5"/>
    </row>
    <row r="5437" spans="13:13" ht="15" customHeight="1" x14ac:dyDescent="0.3">
      <c r="M5437" s="5"/>
    </row>
    <row r="5438" spans="13:13" ht="15" customHeight="1" x14ac:dyDescent="0.3">
      <c r="M5438" s="5"/>
    </row>
    <row r="5439" spans="13:13" ht="15" customHeight="1" x14ac:dyDescent="0.3">
      <c r="M5439" s="5"/>
    </row>
    <row r="5440" spans="13:13" ht="15" customHeight="1" x14ac:dyDescent="0.3">
      <c r="M5440" s="5"/>
    </row>
    <row r="5441" spans="13:13" ht="15" customHeight="1" x14ac:dyDescent="0.3">
      <c r="M5441" s="5"/>
    </row>
    <row r="5442" spans="13:13" ht="15" customHeight="1" x14ac:dyDescent="0.3">
      <c r="M5442" s="5"/>
    </row>
    <row r="5443" spans="13:13" ht="15" customHeight="1" x14ac:dyDescent="0.3">
      <c r="M5443" s="5"/>
    </row>
    <row r="5444" spans="13:13" ht="15" customHeight="1" x14ac:dyDescent="0.3">
      <c r="M5444" s="5"/>
    </row>
    <row r="5445" spans="13:13" ht="15" customHeight="1" x14ac:dyDescent="0.3">
      <c r="M5445" s="5"/>
    </row>
    <row r="5446" spans="13:13" ht="15" customHeight="1" x14ac:dyDescent="0.3">
      <c r="M5446" s="5"/>
    </row>
    <row r="5447" spans="13:13" ht="15" customHeight="1" x14ac:dyDescent="0.3">
      <c r="M5447" s="5"/>
    </row>
    <row r="5448" spans="13:13" ht="15" customHeight="1" x14ac:dyDescent="0.3">
      <c r="M5448" s="5"/>
    </row>
    <row r="5449" spans="13:13" ht="15" customHeight="1" x14ac:dyDescent="0.3">
      <c r="M5449" s="5"/>
    </row>
    <row r="5450" spans="13:13" ht="15" customHeight="1" x14ac:dyDescent="0.3">
      <c r="M5450" s="5"/>
    </row>
    <row r="5451" spans="13:13" ht="15" customHeight="1" x14ac:dyDescent="0.3">
      <c r="M5451" s="5"/>
    </row>
    <row r="5452" spans="13:13" ht="15" customHeight="1" x14ac:dyDescent="0.3">
      <c r="M5452" s="5"/>
    </row>
    <row r="5453" spans="13:13" ht="15" customHeight="1" x14ac:dyDescent="0.3">
      <c r="M5453" s="5"/>
    </row>
    <row r="5454" spans="13:13" ht="15" customHeight="1" x14ac:dyDescent="0.3">
      <c r="M5454" s="5"/>
    </row>
    <row r="5455" spans="13:13" ht="15" customHeight="1" x14ac:dyDescent="0.3">
      <c r="M5455" s="5"/>
    </row>
    <row r="5456" spans="13:13" ht="15" customHeight="1" x14ac:dyDescent="0.3">
      <c r="M5456" s="5"/>
    </row>
    <row r="5457" spans="13:13" ht="15" customHeight="1" x14ac:dyDescent="0.3">
      <c r="M5457" s="5"/>
    </row>
    <row r="5458" spans="13:13" ht="15" customHeight="1" x14ac:dyDescent="0.3">
      <c r="M5458" s="5"/>
    </row>
    <row r="5459" spans="13:13" ht="15" customHeight="1" x14ac:dyDescent="0.3">
      <c r="M5459" s="5"/>
    </row>
    <row r="5460" spans="13:13" ht="15" customHeight="1" x14ac:dyDescent="0.3">
      <c r="M5460" s="5"/>
    </row>
    <row r="5461" spans="13:13" ht="15" customHeight="1" x14ac:dyDescent="0.3">
      <c r="M5461" s="5"/>
    </row>
    <row r="5462" spans="13:13" ht="15" customHeight="1" x14ac:dyDescent="0.3">
      <c r="M5462" s="5"/>
    </row>
    <row r="5463" spans="13:13" ht="15" customHeight="1" x14ac:dyDescent="0.3">
      <c r="M5463" s="5"/>
    </row>
    <row r="5464" spans="13:13" ht="15" customHeight="1" x14ac:dyDescent="0.3">
      <c r="M5464" s="5"/>
    </row>
    <row r="5465" spans="13:13" ht="15" customHeight="1" x14ac:dyDescent="0.3">
      <c r="M5465" s="5"/>
    </row>
    <row r="5466" spans="13:13" ht="15" customHeight="1" x14ac:dyDescent="0.3">
      <c r="M5466" s="5"/>
    </row>
    <row r="5467" spans="13:13" ht="15" customHeight="1" x14ac:dyDescent="0.3">
      <c r="M5467" s="5"/>
    </row>
    <row r="5468" spans="13:13" ht="15" customHeight="1" x14ac:dyDescent="0.3">
      <c r="M5468" s="5"/>
    </row>
    <row r="5469" spans="13:13" ht="15" customHeight="1" x14ac:dyDescent="0.3">
      <c r="M5469" s="5"/>
    </row>
    <row r="5470" spans="13:13" ht="15" customHeight="1" x14ac:dyDescent="0.3">
      <c r="M5470" s="5"/>
    </row>
    <row r="5471" spans="13:13" ht="15" customHeight="1" x14ac:dyDescent="0.3">
      <c r="M5471" s="5"/>
    </row>
    <row r="5472" spans="13:13" ht="15" customHeight="1" x14ac:dyDescent="0.3">
      <c r="M5472" s="5"/>
    </row>
    <row r="5473" spans="13:13" ht="15" customHeight="1" x14ac:dyDescent="0.3">
      <c r="M5473" s="5"/>
    </row>
    <row r="5474" spans="13:13" ht="15" customHeight="1" x14ac:dyDescent="0.3">
      <c r="M5474" s="5"/>
    </row>
    <row r="5475" spans="13:13" ht="15" customHeight="1" x14ac:dyDescent="0.3">
      <c r="M5475" s="5"/>
    </row>
    <row r="5476" spans="13:13" ht="15" customHeight="1" x14ac:dyDescent="0.3">
      <c r="M5476" s="5"/>
    </row>
    <row r="5477" spans="13:13" ht="15" customHeight="1" x14ac:dyDescent="0.3">
      <c r="M5477" s="5"/>
    </row>
    <row r="5478" spans="13:13" ht="15" customHeight="1" x14ac:dyDescent="0.3">
      <c r="M5478" s="5"/>
    </row>
    <row r="5479" spans="13:13" ht="15" customHeight="1" x14ac:dyDescent="0.3">
      <c r="M5479" s="5"/>
    </row>
    <row r="5480" spans="13:13" ht="15" customHeight="1" x14ac:dyDescent="0.3">
      <c r="M5480" s="5"/>
    </row>
    <row r="5481" spans="13:13" ht="15" customHeight="1" x14ac:dyDescent="0.3">
      <c r="M5481" s="5"/>
    </row>
    <row r="5482" spans="13:13" ht="15" customHeight="1" x14ac:dyDescent="0.3">
      <c r="M5482" s="5"/>
    </row>
    <row r="5483" spans="13:13" ht="15" customHeight="1" x14ac:dyDescent="0.3">
      <c r="M5483" s="5"/>
    </row>
    <row r="5484" spans="13:13" ht="15" customHeight="1" x14ac:dyDescent="0.3">
      <c r="M5484" s="5"/>
    </row>
    <row r="5485" spans="13:13" ht="15" customHeight="1" x14ac:dyDescent="0.3">
      <c r="M5485" s="5"/>
    </row>
    <row r="5486" spans="13:13" ht="15" customHeight="1" x14ac:dyDescent="0.3">
      <c r="M5486" s="5"/>
    </row>
    <row r="5487" spans="13:13" ht="15" customHeight="1" x14ac:dyDescent="0.3">
      <c r="M5487" s="5"/>
    </row>
    <row r="5488" spans="13:13" ht="15" customHeight="1" x14ac:dyDescent="0.3">
      <c r="M5488" s="5"/>
    </row>
    <row r="5489" spans="13:13" ht="15" customHeight="1" x14ac:dyDescent="0.3">
      <c r="M5489" s="5"/>
    </row>
    <row r="5490" spans="13:13" ht="15" customHeight="1" x14ac:dyDescent="0.3">
      <c r="M5490" s="5"/>
    </row>
    <row r="5491" spans="13:13" ht="15" customHeight="1" x14ac:dyDescent="0.3">
      <c r="M5491" s="5"/>
    </row>
    <row r="5492" spans="13:13" ht="15" customHeight="1" x14ac:dyDescent="0.3">
      <c r="M5492" s="5"/>
    </row>
    <row r="5493" spans="13:13" ht="15" customHeight="1" x14ac:dyDescent="0.3">
      <c r="M5493" s="5"/>
    </row>
    <row r="5494" spans="13:13" ht="15" customHeight="1" x14ac:dyDescent="0.3">
      <c r="M5494" s="5"/>
    </row>
    <row r="5495" spans="13:13" ht="15" customHeight="1" x14ac:dyDescent="0.3">
      <c r="M5495" s="5"/>
    </row>
    <row r="5496" spans="13:13" ht="15" customHeight="1" x14ac:dyDescent="0.3">
      <c r="M5496" s="5"/>
    </row>
    <row r="5497" spans="13:13" ht="15" customHeight="1" x14ac:dyDescent="0.3">
      <c r="M5497" s="5"/>
    </row>
    <row r="5498" spans="13:13" ht="15" customHeight="1" x14ac:dyDescent="0.3">
      <c r="M5498" s="5"/>
    </row>
    <row r="5499" spans="13:13" ht="15" customHeight="1" x14ac:dyDescent="0.3">
      <c r="M5499" s="5"/>
    </row>
    <row r="5500" spans="13:13" ht="15" customHeight="1" x14ac:dyDescent="0.3">
      <c r="M5500" s="5"/>
    </row>
    <row r="5501" spans="13:13" ht="15" customHeight="1" x14ac:dyDescent="0.3">
      <c r="M5501" s="5"/>
    </row>
    <row r="5502" spans="13:13" ht="15" customHeight="1" x14ac:dyDescent="0.3">
      <c r="M5502" s="5"/>
    </row>
    <row r="5503" spans="13:13" ht="15" customHeight="1" x14ac:dyDescent="0.3">
      <c r="M5503" s="5"/>
    </row>
    <row r="5504" spans="13:13" ht="15" customHeight="1" x14ac:dyDescent="0.3">
      <c r="M5504" s="5"/>
    </row>
    <row r="5505" spans="13:13" ht="15" customHeight="1" x14ac:dyDescent="0.3">
      <c r="M5505" s="5"/>
    </row>
    <row r="5506" spans="13:13" ht="15" customHeight="1" x14ac:dyDescent="0.3">
      <c r="M5506" s="5"/>
    </row>
    <row r="5507" spans="13:13" ht="15" customHeight="1" x14ac:dyDescent="0.3">
      <c r="M5507" s="5"/>
    </row>
    <row r="5508" spans="13:13" ht="15" customHeight="1" x14ac:dyDescent="0.3">
      <c r="M5508" s="5"/>
    </row>
    <row r="5509" spans="13:13" ht="15" customHeight="1" x14ac:dyDescent="0.3">
      <c r="M5509" s="5"/>
    </row>
    <row r="5510" spans="13:13" ht="15" customHeight="1" x14ac:dyDescent="0.3">
      <c r="M5510" s="5"/>
    </row>
    <row r="5511" spans="13:13" ht="15" customHeight="1" x14ac:dyDescent="0.3">
      <c r="M5511" s="5"/>
    </row>
    <row r="5512" spans="13:13" ht="15" customHeight="1" x14ac:dyDescent="0.3">
      <c r="M5512" s="5"/>
    </row>
    <row r="5513" spans="13:13" ht="15" customHeight="1" x14ac:dyDescent="0.3">
      <c r="M5513" s="5"/>
    </row>
    <row r="5514" spans="13:13" ht="15" customHeight="1" x14ac:dyDescent="0.3">
      <c r="M5514" s="5"/>
    </row>
    <row r="5515" spans="13:13" ht="15" customHeight="1" x14ac:dyDescent="0.3">
      <c r="M5515" s="5"/>
    </row>
    <row r="5516" spans="13:13" ht="15" customHeight="1" x14ac:dyDescent="0.3">
      <c r="M5516" s="5"/>
    </row>
    <row r="5517" spans="13:13" ht="15" customHeight="1" x14ac:dyDescent="0.3">
      <c r="M5517" s="5"/>
    </row>
    <row r="5518" spans="13:13" ht="15" customHeight="1" x14ac:dyDescent="0.3">
      <c r="M5518" s="5"/>
    </row>
    <row r="5519" spans="13:13" ht="15" customHeight="1" x14ac:dyDescent="0.3">
      <c r="M5519" s="5"/>
    </row>
    <row r="5520" spans="13:13" ht="15" customHeight="1" x14ac:dyDescent="0.3">
      <c r="M5520" s="5"/>
    </row>
    <row r="5521" spans="13:13" ht="15" customHeight="1" x14ac:dyDescent="0.3">
      <c r="M5521" s="5"/>
    </row>
    <row r="5522" spans="13:13" ht="15" customHeight="1" x14ac:dyDescent="0.3">
      <c r="M5522" s="5"/>
    </row>
    <row r="5523" spans="13:13" ht="15" customHeight="1" x14ac:dyDescent="0.3">
      <c r="M5523" s="5"/>
    </row>
    <row r="5524" spans="13:13" ht="15" customHeight="1" x14ac:dyDescent="0.3">
      <c r="M5524" s="5"/>
    </row>
    <row r="5525" spans="13:13" ht="15" customHeight="1" x14ac:dyDescent="0.3">
      <c r="M5525" s="5"/>
    </row>
    <row r="5526" spans="13:13" ht="15" customHeight="1" x14ac:dyDescent="0.3">
      <c r="M5526" s="5"/>
    </row>
    <row r="5527" spans="13:13" ht="15" customHeight="1" x14ac:dyDescent="0.3">
      <c r="M5527" s="5"/>
    </row>
    <row r="5528" spans="13:13" ht="15" customHeight="1" x14ac:dyDescent="0.3">
      <c r="M5528" s="5"/>
    </row>
    <row r="5529" spans="13:13" ht="15" customHeight="1" x14ac:dyDescent="0.3">
      <c r="M5529" s="5"/>
    </row>
    <row r="5530" spans="13:13" ht="15" customHeight="1" x14ac:dyDescent="0.3">
      <c r="M5530" s="5"/>
    </row>
    <row r="5531" spans="13:13" ht="15" customHeight="1" x14ac:dyDescent="0.3">
      <c r="M5531" s="5"/>
    </row>
    <row r="5532" spans="13:13" ht="15" customHeight="1" x14ac:dyDescent="0.3">
      <c r="M5532" s="5"/>
    </row>
    <row r="5533" spans="13:13" ht="15" customHeight="1" x14ac:dyDescent="0.3">
      <c r="M5533" s="5"/>
    </row>
    <row r="5534" spans="13:13" ht="15" customHeight="1" x14ac:dyDescent="0.3">
      <c r="M5534" s="5"/>
    </row>
    <row r="5535" spans="13:13" ht="15" customHeight="1" x14ac:dyDescent="0.3">
      <c r="M5535" s="5"/>
    </row>
    <row r="5536" spans="13:13" ht="15" customHeight="1" x14ac:dyDescent="0.3">
      <c r="M5536" s="5"/>
    </row>
    <row r="5537" spans="13:13" ht="15" customHeight="1" x14ac:dyDescent="0.3">
      <c r="M5537" s="5"/>
    </row>
    <row r="5538" spans="13:13" ht="15" customHeight="1" x14ac:dyDescent="0.3">
      <c r="M5538" s="5"/>
    </row>
    <row r="5539" spans="13:13" ht="15" customHeight="1" x14ac:dyDescent="0.3">
      <c r="M5539" s="5"/>
    </row>
    <row r="5540" spans="13:13" ht="15" customHeight="1" x14ac:dyDescent="0.3">
      <c r="M5540" s="5"/>
    </row>
    <row r="5541" spans="13:13" ht="15" customHeight="1" x14ac:dyDescent="0.3">
      <c r="M5541" s="5"/>
    </row>
    <row r="5542" spans="13:13" ht="15" customHeight="1" x14ac:dyDescent="0.3">
      <c r="M5542" s="5"/>
    </row>
    <row r="5543" spans="13:13" ht="15" customHeight="1" x14ac:dyDescent="0.3">
      <c r="M5543" s="5"/>
    </row>
    <row r="5544" spans="13:13" ht="15" customHeight="1" x14ac:dyDescent="0.3">
      <c r="M5544" s="5"/>
    </row>
    <row r="5545" spans="13:13" ht="15" customHeight="1" x14ac:dyDescent="0.3">
      <c r="M5545" s="5"/>
    </row>
    <row r="5546" spans="13:13" ht="15" customHeight="1" x14ac:dyDescent="0.3">
      <c r="M5546" s="5"/>
    </row>
    <row r="5547" spans="13:13" ht="15" customHeight="1" x14ac:dyDescent="0.3">
      <c r="M5547" s="5"/>
    </row>
    <row r="5548" spans="13:13" ht="15" customHeight="1" x14ac:dyDescent="0.3">
      <c r="M5548" s="5"/>
    </row>
    <row r="5549" spans="13:13" ht="15" customHeight="1" x14ac:dyDescent="0.3">
      <c r="M5549" s="5"/>
    </row>
    <row r="5550" spans="13:13" ht="15" customHeight="1" x14ac:dyDescent="0.3">
      <c r="M5550" s="5"/>
    </row>
    <row r="5551" spans="13:13" ht="15" customHeight="1" x14ac:dyDescent="0.3">
      <c r="M5551" s="5"/>
    </row>
    <row r="5552" spans="13:13" ht="15" customHeight="1" x14ac:dyDescent="0.3">
      <c r="M5552" s="5"/>
    </row>
    <row r="5553" spans="13:13" ht="15" customHeight="1" x14ac:dyDescent="0.3">
      <c r="M5553" s="5"/>
    </row>
    <row r="5554" spans="13:13" ht="15" customHeight="1" x14ac:dyDescent="0.3">
      <c r="M5554" s="5"/>
    </row>
    <row r="5555" spans="13:13" ht="15" customHeight="1" x14ac:dyDescent="0.3">
      <c r="M5555" s="5"/>
    </row>
    <row r="5556" spans="13:13" ht="15" customHeight="1" x14ac:dyDescent="0.3">
      <c r="M5556" s="5"/>
    </row>
    <row r="5557" spans="13:13" ht="15" customHeight="1" x14ac:dyDescent="0.3">
      <c r="M5557" s="5"/>
    </row>
    <row r="5558" spans="13:13" ht="15" customHeight="1" x14ac:dyDescent="0.3">
      <c r="M5558" s="5"/>
    </row>
    <row r="5559" spans="13:13" ht="15" customHeight="1" x14ac:dyDescent="0.3">
      <c r="M5559" s="5"/>
    </row>
    <row r="5560" spans="13:13" ht="15" customHeight="1" x14ac:dyDescent="0.3">
      <c r="M5560" s="5"/>
    </row>
    <row r="5561" spans="13:13" ht="15" customHeight="1" x14ac:dyDescent="0.3">
      <c r="M5561" s="5"/>
    </row>
    <row r="5562" spans="13:13" ht="15" customHeight="1" x14ac:dyDescent="0.3">
      <c r="M5562" s="5"/>
    </row>
    <row r="5563" spans="13:13" ht="15" customHeight="1" x14ac:dyDescent="0.3">
      <c r="M5563" s="5"/>
    </row>
    <row r="5564" spans="13:13" ht="15" customHeight="1" x14ac:dyDescent="0.3">
      <c r="M5564" s="5"/>
    </row>
    <row r="5565" spans="13:13" ht="15" customHeight="1" x14ac:dyDescent="0.3">
      <c r="M5565" s="5"/>
    </row>
    <row r="5566" spans="13:13" ht="15" customHeight="1" x14ac:dyDescent="0.3">
      <c r="M5566" s="5"/>
    </row>
    <row r="5567" spans="13:13" ht="15" customHeight="1" x14ac:dyDescent="0.3">
      <c r="M5567" s="5"/>
    </row>
    <row r="5568" spans="13:13" ht="15" customHeight="1" x14ac:dyDescent="0.3">
      <c r="M5568" s="5"/>
    </row>
    <row r="5569" spans="13:13" ht="15" customHeight="1" x14ac:dyDescent="0.3">
      <c r="M5569" s="5"/>
    </row>
    <row r="5570" spans="13:13" ht="15" customHeight="1" x14ac:dyDescent="0.3">
      <c r="M5570" s="5"/>
    </row>
    <row r="5571" spans="13:13" ht="15" customHeight="1" x14ac:dyDescent="0.3">
      <c r="M5571" s="5"/>
    </row>
    <row r="5572" spans="13:13" ht="15" customHeight="1" x14ac:dyDescent="0.3">
      <c r="M5572" s="5"/>
    </row>
    <row r="5573" spans="13:13" ht="15" customHeight="1" x14ac:dyDescent="0.3">
      <c r="M5573" s="5"/>
    </row>
    <row r="5574" spans="13:13" ht="15" customHeight="1" x14ac:dyDescent="0.3">
      <c r="M5574" s="5"/>
    </row>
    <row r="5575" spans="13:13" ht="15" customHeight="1" x14ac:dyDescent="0.3">
      <c r="M5575" s="5"/>
    </row>
    <row r="5576" spans="13:13" ht="15" customHeight="1" x14ac:dyDescent="0.3">
      <c r="M5576" s="5"/>
    </row>
    <row r="5577" spans="13:13" ht="15" customHeight="1" x14ac:dyDescent="0.3">
      <c r="M5577" s="5"/>
    </row>
    <row r="5578" spans="13:13" ht="15" customHeight="1" x14ac:dyDescent="0.3">
      <c r="M5578" s="5"/>
    </row>
    <row r="5579" spans="13:13" ht="15" customHeight="1" x14ac:dyDescent="0.3">
      <c r="M5579" s="5"/>
    </row>
    <row r="5580" spans="13:13" ht="15" customHeight="1" x14ac:dyDescent="0.3">
      <c r="M5580" s="5"/>
    </row>
    <row r="5581" spans="13:13" ht="15" customHeight="1" x14ac:dyDescent="0.3">
      <c r="M5581" s="5"/>
    </row>
    <row r="5582" spans="13:13" ht="15" customHeight="1" x14ac:dyDescent="0.3">
      <c r="M5582" s="5"/>
    </row>
    <row r="5583" spans="13:13" ht="15" customHeight="1" x14ac:dyDescent="0.3">
      <c r="M5583" s="5"/>
    </row>
    <row r="5584" spans="13:13" ht="15" customHeight="1" x14ac:dyDescent="0.3">
      <c r="M5584" s="5"/>
    </row>
    <row r="5585" spans="13:13" ht="15" customHeight="1" x14ac:dyDescent="0.3">
      <c r="M5585" s="5"/>
    </row>
    <row r="5586" spans="13:13" ht="15" customHeight="1" x14ac:dyDescent="0.3">
      <c r="M5586" s="5"/>
    </row>
    <row r="5587" spans="13:13" ht="15" customHeight="1" x14ac:dyDescent="0.3">
      <c r="M5587" s="5"/>
    </row>
    <row r="5588" spans="13:13" ht="15" customHeight="1" x14ac:dyDescent="0.3">
      <c r="M5588" s="5"/>
    </row>
    <row r="5589" spans="13:13" ht="15" customHeight="1" x14ac:dyDescent="0.3">
      <c r="M5589" s="5"/>
    </row>
    <row r="5590" spans="13:13" ht="15" customHeight="1" x14ac:dyDescent="0.3">
      <c r="M5590" s="5"/>
    </row>
    <row r="5591" spans="13:13" ht="15" customHeight="1" x14ac:dyDescent="0.3">
      <c r="M5591" s="5"/>
    </row>
    <row r="5592" spans="13:13" ht="15" customHeight="1" x14ac:dyDescent="0.3">
      <c r="M5592" s="5"/>
    </row>
    <row r="5593" spans="13:13" ht="15" customHeight="1" x14ac:dyDescent="0.3">
      <c r="M5593" s="5"/>
    </row>
    <row r="5594" spans="13:13" ht="15" customHeight="1" x14ac:dyDescent="0.3">
      <c r="M5594" s="5"/>
    </row>
    <row r="5595" spans="13:13" ht="15" customHeight="1" x14ac:dyDescent="0.3">
      <c r="M5595" s="5"/>
    </row>
    <row r="5596" spans="13:13" ht="15" customHeight="1" x14ac:dyDescent="0.3">
      <c r="M5596" s="5"/>
    </row>
    <row r="5597" spans="13:13" ht="15" customHeight="1" x14ac:dyDescent="0.3">
      <c r="M5597" s="5"/>
    </row>
    <row r="5598" spans="13:13" ht="15" customHeight="1" x14ac:dyDescent="0.3">
      <c r="M5598" s="5"/>
    </row>
    <row r="5599" spans="13:13" ht="15" customHeight="1" x14ac:dyDescent="0.3">
      <c r="M5599" s="5"/>
    </row>
    <row r="5600" spans="13:13" ht="15" customHeight="1" x14ac:dyDescent="0.3">
      <c r="M5600" s="5"/>
    </row>
    <row r="5601" spans="13:13" ht="15" customHeight="1" x14ac:dyDescent="0.3">
      <c r="M5601" s="5"/>
    </row>
    <row r="5602" spans="13:13" ht="15" customHeight="1" x14ac:dyDescent="0.3">
      <c r="M5602" s="5"/>
    </row>
    <row r="5603" spans="13:13" ht="15" customHeight="1" x14ac:dyDescent="0.3">
      <c r="M5603" s="5"/>
    </row>
    <row r="5604" spans="13:13" ht="15" customHeight="1" x14ac:dyDescent="0.3">
      <c r="M5604" s="5"/>
    </row>
    <row r="5605" spans="13:13" ht="15" customHeight="1" x14ac:dyDescent="0.3">
      <c r="M5605" s="5"/>
    </row>
    <row r="5606" spans="13:13" ht="15" customHeight="1" x14ac:dyDescent="0.3">
      <c r="M5606" s="5"/>
    </row>
    <row r="5607" spans="13:13" ht="15" customHeight="1" x14ac:dyDescent="0.3">
      <c r="M5607" s="5"/>
    </row>
    <row r="5608" spans="13:13" ht="15" customHeight="1" x14ac:dyDescent="0.3">
      <c r="M5608" s="5"/>
    </row>
    <row r="5609" spans="13:13" ht="15" customHeight="1" x14ac:dyDescent="0.3">
      <c r="M5609" s="5"/>
    </row>
    <row r="5610" spans="13:13" ht="15" customHeight="1" x14ac:dyDescent="0.3">
      <c r="M5610" s="5"/>
    </row>
    <row r="5611" spans="13:13" ht="15" customHeight="1" x14ac:dyDescent="0.3">
      <c r="M5611" s="5"/>
    </row>
    <row r="5612" spans="13:13" ht="15" customHeight="1" x14ac:dyDescent="0.3">
      <c r="M5612" s="5"/>
    </row>
    <row r="5613" spans="13:13" ht="15" customHeight="1" x14ac:dyDescent="0.3">
      <c r="M5613" s="5"/>
    </row>
    <row r="5614" spans="13:13" ht="15" customHeight="1" x14ac:dyDescent="0.3">
      <c r="M5614" s="5"/>
    </row>
    <row r="5615" spans="13:13" ht="15" customHeight="1" x14ac:dyDescent="0.3">
      <c r="M5615" s="5"/>
    </row>
    <row r="5616" spans="13:13" ht="15" customHeight="1" x14ac:dyDescent="0.3">
      <c r="M5616" s="5"/>
    </row>
    <row r="5617" spans="13:13" ht="15" customHeight="1" x14ac:dyDescent="0.3">
      <c r="M5617" s="5"/>
    </row>
    <row r="5618" spans="13:13" ht="15" customHeight="1" x14ac:dyDescent="0.3">
      <c r="M5618" s="5"/>
    </row>
    <row r="5619" spans="13:13" ht="15" customHeight="1" x14ac:dyDescent="0.3">
      <c r="M5619" s="5"/>
    </row>
    <row r="5620" spans="13:13" ht="15" customHeight="1" x14ac:dyDescent="0.3">
      <c r="M5620" s="5"/>
    </row>
    <row r="5621" spans="13:13" ht="15" customHeight="1" x14ac:dyDescent="0.3">
      <c r="M5621" s="5"/>
    </row>
    <row r="5622" spans="13:13" ht="15" customHeight="1" x14ac:dyDescent="0.3">
      <c r="M5622" s="5"/>
    </row>
    <row r="5623" spans="13:13" ht="15" customHeight="1" x14ac:dyDescent="0.3">
      <c r="M5623" s="5"/>
    </row>
    <row r="5624" spans="13:13" ht="15" customHeight="1" x14ac:dyDescent="0.3">
      <c r="M5624" s="5"/>
    </row>
    <row r="5625" spans="13:13" ht="15" customHeight="1" x14ac:dyDescent="0.3">
      <c r="M5625" s="5"/>
    </row>
    <row r="5626" spans="13:13" ht="15" customHeight="1" x14ac:dyDescent="0.3">
      <c r="M5626" s="5"/>
    </row>
    <row r="5627" spans="13:13" ht="15" customHeight="1" x14ac:dyDescent="0.3">
      <c r="M5627" s="5"/>
    </row>
    <row r="5628" spans="13:13" ht="15" customHeight="1" x14ac:dyDescent="0.3">
      <c r="M5628" s="5"/>
    </row>
    <row r="5629" spans="13:13" ht="15" customHeight="1" x14ac:dyDescent="0.3">
      <c r="M5629" s="5"/>
    </row>
    <row r="5630" spans="13:13" ht="15" customHeight="1" x14ac:dyDescent="0.3">
      <c r="M5630" s="5"/>
    </row>
    <row r="5631" spans="13:13" ht="15" customHeight="1" x14ac:dyDescent="0.3">
      <c r="M5631" s="5"/>
    </row>
    <row r="5632" spans="13:13" ht="15" customHeight="1" x14ac:dyDescent="0.3">
      <c r="M5632" s="5"/>
    </row>
    <row r="5633" spans="13:13" ht="15" customHeight="1" x14ac:dyDescent="0.3">
      <c r="M5633" s="5"/>
    </row>
    <row r="5634" spans="13:13" ht="15" customHeight="1" x14ac:dyDescent="0.3">
      <c r="M5634" s="5"/>
    </row>
    <row r="5635" spans="13:13" ht="15" customHeight="1" x14ac:dyDescent="0.3">
      <c r="M5635" s="5"/>
    </row>
    <row r="5636" spans="13:13" ht="15" customHeight="1" x14ac:dyDescent="0.3">
      <c r="M5636" s="5"/>
    </row>
    <row r="5637" spans="13:13" ht="15" customHeight="1" x14ac:dyDescent="0.3">
      <c r="M5637" s="5"/>
    </row>
    <row r="5638" spans="13:13" ht="15" customHeight="1" x14ac:dyDescent="0.3">
      <c r="M5638" s="5"/>
    </row>
    <row r="5639" spans="13:13" ht="15" customHeight="1" x14ac:dyDescent="0.3">
      <c r="M5639" s="5"/>
    </row>
    <row r="5640" spans="13:13" ht="15" customHeight="1" x14ac:dyDescent="0.3">
      <c r="M5640" s="5"/>
    </row>
    <row r="5641" spans="13:13" ht="15" customHeight="1" x14ac:dyDescent="0.3">
      <c r="M5641" s="5"/>
    </row>
    <row r="5642" spans="13:13" ht="15" customHeight="1" x14ac:dyDescent="0.3">
      <c r="M5642" s="5"/>
    </row>
    <row r="5643" spans="13:13" ht="15" customHeight="1" x14ac:dyDescent="0.3">
      <c r="M5643" s="5"/>
    </row>
    <row r="5644" spans="13:13" ht="15" customHeight="1" x14ac:dyDescent="0.3">
      <c r="M5644" s="5"/>
    </row>
    <row r="5645" spans="13:13" ht="15" customHeight="1" x14ac:dyDescent="0.3">
      <c r="M5645" s="5"/>
    </row>
    <row r="5646" spans="13:13" ht="15" customHeight="1" x14ac:dyDescent="0.3">
      <c r="M5646" s="5"/>
    </row>
    <row r="5647" spans="13:13" ht="15" customHeight="1" x14ac:dyDescent="0.3">
      <c r="M5647" s="5"/>
    </row>
    <row r="5648" spans="13:13" ht="15" customHeight="1" x14ac:dyDescent="0.3">
      <c r="M5648" s="5"/>
    </row>
    <row r="5649" spans="13:13" ht="15" customHeight="1" x14ac:dyDescent="0.3">
      <c r="M5649" s="5"/>
    </row>
    <row r="5650" spans="13:13" ht="15" customHeight="1" x14ac:dyDescent="0.3">
      <c r="M5650" s="5"/>
    </row>
    <row r="5651" spans="13:13" ht="15" customHeight="1" x14ac:dyDescent="0.3">
      <c r="M5651" s="5"/>
    </row>
    <row r="5652" spans="13:13" ht="15" customHeight="1" x14ac:dyDescent="0.3">
      <c r="M5652" s="5"/>
    </row>
    <row r="5653" spans="13:13" ht="15" customHeight="1" x14ac:dyDescent="0.3">
      <c r="M5653" s="5"/>
    </row>
    <row r="5654" spans="13:13" ht="15" customHeight="1" x14ac:dyDescent="0.3">
      <c r="M5654" s="5"/>
    </row>
    <row r="5655" spans="13:13" ht="15" customHeight="1" x14ac:dyDescent="0.3">
      <c r="M5655" s="5"/>
    </row>
    <row r="5656" spans="13:13" ht="15" customHeight="1" x14ac:dyDescent="0.3">
      <c r="M5656" s="5"/>
    </row>
    <row r="5657" spans="13:13" ht="15" customHeight="1" x14ac:dyDescent="0.3">
      <c r="M5657" s="5"/>
    </row>
    <row r="5658" spans="13:13" ht="15" customHeight="1" x14ac:dyDescent="0.3">
      <c r="M5658" s="5"/>
    </row>
    <row r="5659" spans="13:13" ht="15" customHeight="1" x14ac:dyDescent="0.3">
      <c r="M5659" s="5"/>
    </row>
    <row r="5660" spans="13:13" ht="15" customHeight="1" x14ac:dyDescent="0.3">
      <c r="M5660" s="5"/>
    </row>
    <row r="5661" spans="13:13" ht="15" customHeight="1" x14ac:dyDescent="0.3">
      <c r="M5661" s="5"/>
    </row>
    <row r="5662" spans="13:13" ht="15" customHeight="1" x14ac:dyDescent="0.3">
      <c r="M5662" s="5"/>
    </row>
    <row r="5663" spans="13:13" ht="15" customHeight="1" x14ac:dyDescent="0.3">
      <c r="M5663" s="5"/>
    </row>
    <row r="5664" spans="13:13" ht="15" customHeight="1" x14ac:dyDescent="0.3">
      <c r="M5664" s="5"/>
    </row>
    <row r="5665" spans="13:13" ht="15" customHeight="1" x14ac:dyDescent="0.3">
      <c r="M5665" s="5"/>
    </row>
    <row r="5666" spans="13:13" ht="15" customHeight="1" x14ac:dyDescent="0.3">
      <c r="M5666" s="5"/>
    </row>
    <row r="5667" spans="13:13" ht="15" customHeight="1" x14ac:dyDescent="0.3">
      <c r="M5667" s="5"/>
    </row>
    <row r="5668" spans="13:13" ht="15" customHeight="1" x14ac:dyDescent="0.3">
      <c r="M5668" s="5"/>
    </row>
    <row r="5669" spans="13:13" ht="15" customHeight="1" x14ac:dyDescent="0.3">
      <c r="M5669" s="5"/>
    </row>
    <row r="5670" spans="13:13" ht="15" customHeight="1" x14ac:dyDescent="0.3">
      <c r="M5670" s="5"/>
    </row>
    <row r="5671" spans="13:13" ht="15" customHeight="1" x14ac:dyDescent="0.3">
      <c r="M5671" s="5"/>
    </row>
    <row r="5672" spans="13:13" ht="15" customHeight="1" x14ac:dyDescent="0.3">
      <c r="M5672" s="5"/>
    </row>
    <row r="5673" spans="13:13" ht="15" customHeight="1" x14ac:dyDescent="0.3">
      <c r="M5673" s="5"/>
    </row>
    <row r="5674" spans="13:13" ht="15" customHeight="1" x14ac:dyDescent="0.3">
      <c r="M5674" s="5"/>
    </row>
    <row r="5675" spans="13:13" ht="15" customHeight="1" x14ac:dyDescent="0.3">
      <c r="M5675" s="5"/>
    </row>
    <row r="5676" spans="13:13" ht="15" customHeight="1" x14ac:dyDescent="0.3">
      <c r="M5676" s="5"/>
    </row>
    <row r="5677" spans="13:13" ht="15" customHeight="1" x14ac:dyDescent="0.3">
      <c r="M5677" s="5"/>
    </row>
    <row r="5678" spans="13:13" ht="15" customHeight="1" x14ac:dyDescent="0.3">
      <c r="M5678" s="5"/>
    </row>
    <row r="5679" spans="13:13" ht="15" customHeight="1" x14ac:dyDescent="0.3">
      <c r="M5679" s="5"/>
    </row>
    <row r="5680" spans="13:13" ht="15" customHeight="1" x14ac:dyDescent="0.3">
      <c r="M5680" s="5"/>
    </row>
    <row r="5681" spans="13:13" ht="15" customHeight="1" x14ac:dyDescent="0.3">
      <c r="M5681" s="5"/>
    </row>
    <row r="5682" spans="13:13" ht="15" customHeight="1" x14ac:dyDescent="0.3">
      <c r="M5682" s="5"/>
    </row>
    <row r="5683" spans="13:13" ht="15" customHeight="1" x14ac:dyDescent="0.3">
      <c r="M5683" s="5"/>
    </row>
    <row r="5684" spans="13:13" ht="15" customHeight="1" x14ac:dyDescent="0.3">
      <c r="M5684" s="5"/>
    </row>
    <row r="5685" spans="13:13" ht="15" customHeight="1" x14ac:dyDescent="0.3">
      <c r="M5685" s="5"/>
    </row>
    <row r="5686" spans="13:13" ht="15" customHeight="1" x14ac:dyDescent="0.3">
      <c r="M5686" s="5"/>
    </row>
    <row r="5687" spans="13:13" ht="15" customHeight="1" x14ac:dyDescent="0.3">
      <c r="M5687" s="5"/>
    </row>
    <row r="5688" spans="13:13" ht="15" customHeight="1" x14ac:dyDescent="0.3">
      <c r="M5688" s="5"/>
    </row>
    <row r="5689" spans="13:13" ht="15" customHeight="1" x14ac:dyDescent="0.3">
      <c r="M5689" s="5"/>
    </row>
    <row r="5690" spans="13:13" ht="15" customHeight="1" x14ac:dyDescent="0.3">
      <c r="M5690" s="5"/>
    </row>
    <row r="5691" spans="13:13" ht="15" customHeight="1" x14ac:dyDescent="0.3">
      <c r="M5691" s="5"/>
    </row>
    <row r="5692" spans="13:13" ht="15" customHeight="1" x14ac:dyDescent="0.3">
      <c r="M5692" s="5"/>
    </row>
    <row r="5693" spans="13:13" ht="15" customHeight="1" x14ac:dyDescent="0.3">
      <c r="M5693" s="5"/>
    </row>
    <row r="5694" spans="13:13" ht="15" customHeight="1" x14ac:dyDescent="0.3">
      <c r="M5694" s="5"/>
    </row>
    <row r="5695" spans="13:13" ht="15" customHeight="1" x14ac:dyDescent="0.3">
      <c r="M5695" s="5"/>
    </row>
    <row r="5696" spans="13:13" ht="15" customHeight="1" x14ac:dyDescent="0.3">
      <c r="M5696" s="5"/>
    </row>
    <row r="5697" spans="13:13" ht="15" customHeight="1" x14ac:dyDescent="0.3">
      <c r="M5697" s="5"/>
    </row>
    <row r="5698" spans="13:13" ht="15" customHeight="1" x14ac:dyDescent="0.3">
      <c r="M5698" s="5"/>
    </row>
    <row r="5699" spans="13:13" ht="15" customHeight="1" x14ac:dyDescent="0.3">
      <c r="M5699" s="5"/>
    </row>
    <row r="5700" spans="13:13" ht="15" customHeight="1" x14ac:dyDescent="0.3">
      <c r="M5700" s="5"/>
    </row>
    <row r="5701" spans="13:13" ht="15" customHeight="1" x14ac:dyDescent="0.3">
      <c r="M5701" s="5"/>
    </row>
    <row r="5702" spans="13:13" ht="15" customHeight="1" x14ac:dyDescent="0.3">
      <c r="M5702" s="5"/>
    </row>
    <row r="5703" spans="13:13" ht="15" customHeight="1" x14ac:dyDescent="0.3">
      <c r="M5703" s="5"/>
    </row>
    <row r="5704" spans="13:13" ht="15" customHeight="1" x14ac:dyDescent="0.3">
      <c r="M5704" s="5"/>
    </row>
    <row r="5705" spans="13:13" ht="15" customHeight="1" x14ac:dyDescent="0.3">
      <c r="M5705" s="5"/>
    </row>
    <row r="5706" spans="13:13" ht="15" customHeight="1" x14ac:dyDescent="0.3">
      <c r="M5706" s="5"/>
    </row>
    <row r="5707" spans="13:13" ht="15" customHeight="1" x14ac:dyDescent="0.3">
      <c r="M5707" s="5"/>
    </row>
    <row r="5708" spans="13:13" ht="15" customHeight="1" x14ac:dyDescent="0.3">
      <c r="M5708" s="5"/>
    </row>
    <row r="5709" spans="13:13" ht="15" customHeight="1" x14ac:dyDescent="0.3">
      <c r="M5709" s="5"/>
    </row>
    <row r="5710" spans="13:13" ht="15" customHeight="1" x14ac:dyDescent="0.3">
      <c r="M5710" s="5"/>
    </row>
    <row r="5711" spans="13:13" ht="15" customHeight="1" x14ac:dyDescent="0.3">
      <c r="M5711" s="5"/>
    </row>
    <row r="5712" spans="13:13" ht="15" customHeight="1" x14ac:dyDescent="0.3">
      <c r="M5712" s="5"/>
    </row>
    <row r="5713" spans="13:13" ht="15" customHeight="1" x14ac:dyDescent="0.3">
      <c r="M5713" s="5"/>
    </row>
    <row r="5714" spans="13:13" ht="15" customHeight="1" x14ac:dyDescent="0.3">
      <c r="M5714" s="5"/>
    </row>
    <row r="5715" spans="13:13" ht="15" customHeight="1" x14ac:dyDescent="0.3">
      <c r="M5715" s="5"/>
    </row>
    <row r="5716" spans="13:13" ht="15" customHeight="1" x14ac:dyDescent="0.3">
      <c r="M5716" s="5"/>
    </row>
    <row r="5717" spans="13:13" ht="15" customHeight="1" x14ac:dyDescent="0.3">
      <c r="M5717" s="5"/>
    </row>
    <row r="5718" spans="13:13" ht="15" customHeight="1" x14ac:dyDescent="0.3">
      <c r="M5718" s="5"/>
    </row>
    <row r="5719" spans="13:13" ht="15" customHeight="1" x14ac:dyDescent="0.3">
      <c r="M5719" s="5"/>
    </row>
    <row r="5720" spans="13:13" ht="15" customHeight="1" x14ac:dyDescent="0.3">
      <c r="M5720" s="5"/>
    </row>
    <row r="5721" spans="13:13" ht="15" customHeight="1" x14ac:dyDescent="0.3">
      <c r="M5721" s="5"/>
    </row>
    <row r="5722" spans="13:13" ht="15" customHeight="1" x14ac:dyDescent="0.3">
      <c r="M5722" s="5"/>
    </row>
    <row r="5723" spans="13:13" ht="15" customHeight="1" x14ac:dyDescent="0.3">
      <c r="M5723" s="5"/>
    </row>
    <row r="5724" spans="13:13" ht="15" customHeight="1" x14ac:dyDescent="0.3">
      <c r="M5724" s="5"/>
    </row>
    <row r="5725" spans="13:13" ht="15" customHeight="1" x14ac:dyDescent="0.3">
      <c r="M5725" s="5"/>
    </row>
    <row r="5726" spans="13:13" ht="15" customHeight="1" x14ac:dyDescent="0.3">
      <c r="M5726" s="5"/>
    </row>
    <row r="5727" spans="13:13" ht="15" customHeight="1" x14ac:dyDescent="0.3">
      <c r="M5727" s="5"/>
    </row>
    <row r="5728" spans="13:13" ht="15" customHeight="1" x14ac:dyDescent="0.3">
      <c r="M5728" s="5"/>
    </row>
    <row r="5729" spans="13:13" ht="15" customHeight="1" x14ac:dyDescent="0.3">
      <c r="M5729" s="5"/>
    </row>
    <row r="5730" spans="13:13" ht="15" customHeight="1" x14ac:dyDescent="0.3">
      <c r="M5730" s="5"/>
    </row>
    <row r="5731" spans="13:13" ht="15" customHeight="1" x14ac:dyDescent="0.3">
      <c r="M5731" s="5"/>
    </row>
    <row r="5732" spans="13:13" ht="15" customHeight="1" x14ac:dyDescent="0.3">
      <c r="M5732" s="5"/>
    </row>
    <row r="5733" spans="13:13" ht="15" customHeight="1" x14ac:dyDescent="0.3">
      <c r="M5733" s="5"/>
    </row>
    <row r="5734" spans="13:13" ht="15" customHeight="1" x14ac:dyDescent="0.3">
      <c r="M5734" s="5"/>
    </row>
    <row r="5735" spans="13:13" ht="15" customHeight="1" x14ac:dyDescent="0.3">
      <c r="M5735" s="5"/>
    </row>
    <row r="5736" spans="13:13" ht="15" customHeight="1" x14ac:dyDescent="0.3">
      <c r="M5736" s="5"/>
    </row>
    <row r="5737" spans="13:13" ht="15" customHeight="1" x14ac:dyDescent="0.3">
      <c r="M5737" s="5"/>
    </row>
    <row r="5738" spans="13:13" ht="15" customHeight="1" x14ac:dyDescent="0.3">
      <c r="M5738" s="5"/>
    </row>
    <row r="5739" spans="13:13" ht="15" customHeight="1" x14ac:dyDescent="0.3">
      <c r="M5739" s="5"/>
    </row>
    <row r="5740" spans="13:13" ht="15" customHeight="1" x14ac:dyDescent="0.3">
      <c r="M5740" s="5"/>
    </row>
    <row r="5741" spans="13:13" ht="15" customHeight="1" x14ac:dyDescent="0.3">
      <c r="M5741" s="5"/>
    </row>
    <row r="5742" spans="13:13" ht="15" customHeight="1" x14ac:dyDescent="0.3">
      <c r="M5742" s="5"/>
    </row>
    <row r="5743" spans="13:13" ht="15" customHeight="1" x14ac:dyDescent="0.3">
      <c r="M5743" s="5"/>
    </row>
    <row r="5744" spans="13:13" ht="15" customHeight="1" x14ac:dyDescent="0.3">
      <c r="M5744" s="5"/>
    </row>
    <row r="5745" spans="13:13" ht="15" customHeight="1" x14ac:dyDescent="0.3">
      <c r="M5745" s="5"/>
    </row>
    <row r="5746" spans="13:13" ht="15" customHeight="1" x14ac:dyDescent="0.3">
      <c r="M5746" s="5"/>
    </row>
    <row r="5747" spans="13:13" ht="15" customHeight="1" x14ac:dyDescent="0.3">
      <c r="M5747" s="5"/>
    </row>
    <row r="5748" spans="13:13" ht="15" customHeight="1" x14ac:dyDescent="0.3">
      <c r="M5748" s="5"/>
    </row>
    <row r="5749" spans="13:13" ht="15" customHeight="1" x14ac:dyDescent="0.3">
      <c r="M5749" s="5"/>
    </row>
    <row r="5750" spans="13:13" ht="15" customHeight="1" x14ac:dyDescent="0.3">
      <c r="M5750" s="5"/>
    </row>
    <row r="5751" spans="13:13" ht="15" customHeight="1" x14ac:dyDescent="0.3">
      <c r="M5751" s="5"/>
    </row>
    <row r="5752" spans="13:13" ht="15" customHeight="1" x14ac:dyDescent="0.3">
      <c r="M5752" s="5"/>
    </row>
    <row r="5753" spans="13:13" ht="15" customHeight="1" x14ac:dyDescent="0.3">
      <c r="M5753" s="5"/>
    </row>
    <row r="5754" spans="13:13" ht="15" customHeight="1" x14ac:dyDescent="0.3">
      <c r="M5754" s="5"/>
    </row>
    <row r="5755" spans="13:13" ht="15" customHeight="1" x14ac:dyDescent="0.3">
      <c r="M5755" s="5"/>
    </row>
    <row r="5756" spans="13:13" ht="15" customHeight="1" x14ac:dyDescent="0.3">
      <c r="M5756" s="5"/>
    </row>
    <row r="5757" spans="13:13" ht="15" customHeight="1" x14ac:dyDescent="0.3">
      <c r="M5757" s="5"/>
    </row>
    <row r="5758" spans="13:13" ht="15" customHeight="1" x14ac:dyDescent="0.3">
      <c r="M5758" s="5"/>
    </row>
    <row r="5759" spans="13:13" ht="15" customHeight="1" x14ac:dyDescent="0.3">
      <c r="M5759" s="5"/>
    </row>
    <row r="5760" spans="13:13" ht="15" customHeight="1" x14ac:dyDescent="0.3">
      <c r="M5760" s="5"/>
    </row>
    <row r="5761" spans="13:13" ht="15" customHeight="1" x14ac:dyDescent="0.3">
      <c r="M5761" s="5"/>
    </row>
    <row r="5762" spans="13:13" ht="15" customHeight="1" x14ac:dyDescent="0.3">
      <c r="M5762" s="5"/>
    </row>
    <row r="5763" spans="13:13" ht="15" customHeight="1" x14ac:dyDescent="0.3">
      <c r="M5763" s="5"/>
    </row>
    <row r="5764" spans="13:13" ht="15" customHeight="1" x14ac:dyDescent="0.3">
      <c r="M5764" s="5"/>
    </row>
    <row r="5765" spans="13:13" ht="15" customHeight="1" x14ac:dyDescent="0.3">
      <c r="M5765" s="5"/>
    </row>
    <row r="5766" spans="13:13" ht="15" customHeight="1" x14ac:dyDescent="0.3">
      <c r="M5766" s="5"/>
    </row>
    <row r="5767" spans="13:13" ht="15" customHeight="1" x14ac:dyDescent="0.3">
      <c r="M5767" s="5"/>
    </row>
    <row r="5768" spans="13:13" ht="15" customHeight="1" x14ac:dyDescent="0.3">
      <c r="M5768" s="5"/>
    </row>
    <row r="5769" spans="13:13" ht="15" customHeight="1" x14ac:dyDescent="0.3">
      <c r="M5769" s="5"/>
    </row>
    <row r="5770" spans="13:13" ht="15" customHeight="1" x14ac:dyDescent="0.3">
      <c r="M5770" s="5"/>
    </row>
    <row r="5771" spans="13:13" ht="15" customHeight="1" x14ac:dyDescent="0.3">
      <c r="M5771" s="5"/>
    </row>
    <row r="5772" spans="13:13" ht="15" customHeight="1" x14ac:dyDescent="0.3">
      <c r="M5772" s="5"/>
    </row>
    <row r="5773" spans="13:13" ht="15" customHeight="1" x14ac:dyDescent="0.3">
      <c r="M5773" s="5"/>
    </row>
    <row r="5774" spans="13:13" ht="15" customHeight="1" x14ac:dyDescent="0.3">
      <c r="M5774" s="5"/>
    </row>
    <row r="5775" spans="13:13" ht="15" customHeight="1" x14ac:dyDescent="0.3">
      <c r="M5775" s="5"/>
    </row>
    <row r="5776" spans="13:13" ht="15" customHeight="1" x14ac:dyDescent="0.3">
      <c r="M5776" s="5"/>
    </row>
    <row r="5777" spans="13:13" ht="15" customHeight="1" x14ac:dyDescent="0.3">
      <c r="M5777" s="5"/>
    </row>
    <row r="5778" spans="13:13" ht="15" customHeight="1" x14ac:dyDescent="0.3">
      <c r="M5778" s="5"/>
    </row>
    <row r="5779" spans="13:13" ht="15" customHeight="1" x14ac:dyDescent="0.3">
      <c r="M5779" s="5"/>
    </row>
    <row r="5780" spans="13:13" ht="15" customHeight="1" x14ac:dyDescent="0.3">
      <c r="M5780" s="5"/>
    </row>
    <row r="5781" spans="13:13" ht="15" customHeight="1" x14ac:dyDescent="0.3">
      <c r="M5781" s="5"/>
    </row>
    <row r="5782" spans="13:13" ht="15" customHeight="1" x14ac:dyDescent="0.3">
      <c r="M5782" s="5"/>
    </row>
    <row r="5783" spans="13:13" ht="15" customHeight="1" x14ac:dyDescent="0.3">
      <c r="M5783" s="5"/>
    </row>
    <row r="5784" spans="13:13" ht="15" customHeight="1" x14ac:dyDescent="0.3">
      <c r="M5784" s="5"/>
    </row>
    <row r="5785" spans="13:13" ht="15" customHeight="1" x14ac:dyDescent="0.3">
      <c r="M5785" s="5"/>
    </row>
    <row r="5786" spans="13:13" ht="15" customHeight="1" x14ac:dyDescent="0.3">
      <c r="M5786" s="5"/>
    </row>
    <row r="5787" spans="13:13" ht="15" customHeight="1" x14ac:dyDescent="0.3">
      <c r="M5787" s="5"/>
    </row>
    <row r="5788" spans="13:13" ht="15" customHeight="1" x14ac:dyDescent="0.3">
      <c r="M5788" s="5"/>
    </row>
    <row r="5789" spans="13:13" ht="15" customHeight="1" x14ac:dyDescent="0.3">
      <c r="M5789" s="5"/>
    </row>
    <row r="5790" spans="13:13" ht="15" customHeight="1" x14ac:dyDescent="0.3">
      <c r="M5790" s="5"/>
    </row>
    <row r="5791" spans="13:13" ht="15" customHeight="1" x14ac:dyDescent="0.3">
      <c r="M5791" s="5"/>
    </row>
    <row r="5792" spans="13:13" ht="15" customHeight="1" x14ac:dyDescent="0.3">
      <c r="M5792" s="5"/>
    </row>
    <row r="5793" spans="13:13" ht="15" customHeight="1" x14ac:dyDescent="0.3">
      <c r="M5793" s="5"/>
    </row>
    <row r="5794" spans="13:13" ht="15" customHeight="1" x14ac:dyDescent="0.3">
      <c r="M5794" s="5"/>
    </row>
    <row r="5795" spans="13:13" ht="15" customHeight="1" x14ac:dyDescent="0.3">
      <c r="M5795" s="5"/>
    </row>
    <row r="5796" spans="13:13" ht="15" customHeight="1" x14ac:dyDescent="0.3">
      <c r="M5796" s="5"/>
    </row>
    <row r="5797" spans="13:13" ht="15" customHeight="1" x14ac:dyDescent="0.3">
      <c r="M5797" s="5"/>
    </row>
    <row r="5798" spans="13:13" ht="15" customHeight="1" x14ac:dyDescent="0.3">
      <c r="M5798" s="5"/>
    </row>
    <row r="5799" spans="13:13" ht="15" customHeight="1" x14ac:dyDescent="0.3">
      <c r="M5799" s="5"/>
    </row>
    <row r="5800" spans="13:13" ht="15" customHeight="1" x14ac:dyDescent="0.3">
      <c r="M5800" s="5"/>
    </row>
    <row r="5801" spans="13:13" ht="15" customHeight="1" x14ac:dyDescent="0.3">
      <c r="M5801" s="5"/>
    </row>
    <row r="5802" spans="13:13" ht="15" customHeight="1" x14ac:dyDescent="0.3">
      <c r="M5802" s="5"/>
    </row>
    <row r="5803" spans="13:13" ht="15" customHeight="1" x14ac:dyDescent="0.3">
      <c r="M5803" s="5"/>
    </row>
    <row r="5804" spans="13:13" ht="15" customHeight="1" x14ac:dyDescent="0.3">
      <c r="M5804" s="5"/>
    </row>
    <row r="5805" spans="13:13" ht="15" customHeight="1" x14ac:dyDescent="0.3">
      <c r="M5805" s="5"/>
    </row>
    <row r="5806" spans="13:13" ht="15" customHeight="1" x14ac:dyDescent="0.3">
      <c r="M5806" s="5"/>
    </row>
    <row r="5807" spans="13:13" ht="15" customHeight="1" x14ac:dyDescent="0.3">
      <c r="M5807" s="5"/>
    </row>
    <row r="5808" spans="13:13" ht="15" customHeight="1" x14ac:dyDescent="0.3">
      <c r="M5808" s="5"/>
    </row>
    <row r="5809" spans="13:13" ht="15" customHeight="1" x14ac:dyDescent="0.3">
      <c r="M5809" s="5"/>
    </row>
    <row r="5810" spans="13:13" ht="15" customHeight="1" x14ac:dyDescent="0.3">
      <c r="M5810" s="5"/>
    </row>
    <row r="5811" spans="13:13" ht="15" customHeight="1" x14ac:dyDescent="0.3">
      <c r="M5811" s="5"/>
    </row>
    <row r="5812" spans="13:13" ht="15" customHeight="1" x14ac:dyDescent="0.3">
      <c r="M5812" s="5"/>
    </row>
    <row r="5813" spans="13:13" ht="15" customHeight="1" x14ac:dyDescent="0.3">
      <c r="M5813" s="5"/>
    </row>
    <row r="5814" spans="13:13" ht="15" customHeight="1" x14ac:dyDescent="0.3">
      <c r="M5814" s="5"/>
    </row>
    <row r="5815" spans="13:13" ht="15" customHeight="1" x14ac:dyDescent="0.3">
      <c r="M5815" s="5"/>
    </row>
    <row r="5816" spans="13:13" ht="15" customHeight="1" x14ac:dyDescent="0.3">
      <c r="M5816" s="5"/>
    </row>
    <row r="5817" spans="13:13" ht="15" customHeight="1" x14ac:dyDescent="0.3">
      <c r="M5817" s="5"/>
    </row>
    <row r="5818" spans="13:13" ht="15" customHeight="1" x14ac:dyDescent="0.3">
      <c r="M5818" s="5"/>
    </row>
    <row r="5819" spans="13:13" ht="15" customHeight="1" x14ac:dyDescent="0.3">
      <c r="M5819" s="5"/>
    </row>
    <row r="5820" spans="13:13" ht="15" customHeight="1" x14ac:dyDescent="0.3">
      <c r="M5820" s="5"/>
    </row>
    <row r="5821" spans="13:13" ht="15" customHeight="1" x14ac:dyDescent="0.3">
      <c r="M5821" s="5"/>
    </row>
    <row r="5822" spans="13:13" ht="15" customHeight="1" x14ac:dyDescent="0.3">
      <c r="M5822" s="5"/>
    </row>
    <row r="5823" spans="13:13" ht="15" customHeight="1" x14ac:dyDescent="0.3">
      <c r="M5823" s="5"/>
    </row>
    <row r="5824" spans="13:13" ht="15" customHeight="1" x14ac:dyDescent="0.3">
      <c r="M5824" s="5"/>
    </row>
    <row r="5825" spans="13:13" ht="15" customHeight="1" x14ac:dyDescent="0.3">
      <c r="M5825" s="5"/>
    </row>
    <row r="5826" spans="13:13" ht="15" customHeight="1" x14ac:dyDescent="0.3">
      <c r="M5826" s="5"/>
    </row>
    <row r="5827" spans="13:13" ht="15" customHeight="1" x14ac:dyDescent="0.3">
      <c r="M5827" s="5"/>
    </row>
    <row r="5828" spans="13:13" ht="15" customHeight="1" x14ac:dyDescent="0.3">
      <c r="M5828" s="5"/>
    </row>
    <row r="5829" spans="13:13" ht="15" customHeight="1" x14ac:dyDescent="0.3">
      <c r="M5829" s="5"/>
    </row>
    <row r="5830" spans="13:13" ht="15" customHeight="1" x14ac:dyDescent="0.3">
      <c r="M5830" s="5"/>
    </row>
    <row r="5831" spans="13:13" ht="15" customHeight="1" x14ac:dyDescent="0.3">
      <c r="M5831" s="5"/>
    </row>
    <row r="5832" spans="13:13" ht="15" customHeight="1" x14ac:dyDescent="0.3">
      <c r="M5832" s="5"/>
    </row>
    <row r="5833" spans="13:13" ht="15" customHeight="1" x14ac:dyDescent="0.3">
      <c r="M5833" s="5"/>
    </row>
    <row r="5834" spans="13:13" ht="15" customHeight="1" x14ac:dyDescent="0.3">
      <c r="M5834" s="5"/>
    </row>
    <row r="5835" spans="13:13" ht="15" customHeight="1" x14ac:dyDescent="0.3">
      <c r="M5835" s="5"/>
    </row>
    <row r="5836" spans="13:13" ht="15" customHeight="1" x14ac:dyDescent="0.3">
      <c r="M5836" s="5"/>
    </row>
    <row r="5837" spans="13:13" ht="15" customHeight="1" x14ac:dyDescent="0.3">
      <c r="M5837" s="5"/>
    </row>
    <row r="5838" spans="13:13" ht="15" customHeight="1" x14ac:dyDescent="0.3">
      <c r="M5838" s="5"/>
    </row>
    <row r="5839" spans="13:13" ht="15" customHeight="1" x14ac:dyDescent="0.3">
      <c r="M5839" s="5"/>
    </row>
    <row r="5840" spans="13:13" ht="15" customHeight="1" x14ac:dyDescent="0.3">
      <c r="M5840" s="5"/>
    </row>
    <row r="5841" spans="13:13" ht="15" customHeight="1" x14ac:dyDescent="0.3">
      <c r="M5841" s="5"/>
    </row>
    <row r="5842" spans="13:13" ht="15" customHeight="1" x14ac:dyDescent="0.3">
      <c r="M5842" s="5"/>
    </row>
    <row r="5843" spans="13:13" ht="15" customHeight="1" x14ac:dyDescent="0.3">
      <c r="M5843" s="5"/>
    </row>
    <row r="5844" spans="13:13" ht="15" customHeight="1" x14ac:dyDescent="0.3">
      <c r="M5844" s="5"/>
    </row>
    <row r="5845" spans="13:13" ht="15" customHeight="1" x14ac:dyDescent="0.3">
      <c r="M5845" s="5"/>
    </row>
    <row r="5846" spans="13:13" ht="15" customHeight="1" x14ac:dyDescent="0.3">
      <c r="M5846" s="5"/>
    </row>
    <row r="5847" spans="13:13" ht="15" customHeight="1" x14ac:dyDescent="0.3">
      <c r="M5847" s="5"/>
    </row>
    <row r="5848" spans="13:13" ht="15" customHeight="1" x14ac:dyDescent="0.3">
      <c r="M5848" s="5"/>
    </row>
    <row r="5849" spans="13:13" ht="15" customHeight="1" x14ac:dyDescent="0.3">
      <c r="M5849" s="5"/>
    </row>
    <row r="5850" spans="13:13" ht="15" customHeight="1" x14ac:dyDescent="0.3">
      <c r="M5850" s="5"/>
    </row>
    <row r="5851" spans="13:13" ht="15" customHeight="1" x14ac:dyDescent="0.3">
      <c r="M5851" s="5"/>
    </row>
    <row r="5852" spans="13:13" ht="15" customHeight="1" x14ac:dyDescent="0.3">
      <c r="M5852" s="5"/>
    </row>
    <row r="5853" spans="13:13" ht="15" customHeight="1" x14ac:dyDescent="0.3">
      <c r="M5853" s="5"/>
    </row>
    <row r="5854" spans="13:13" ht="15" customHeight="1" x14ac:dyDescent="0.3">
      <c r="M5854" s="5"/>
    </row>
    <row r="5855" spans="13:13" ht="15" customHeight="1" x14ac:dyDescent="0.3">
      <c r="M5855" s="5"/>
    </row>
    <row r="5856" spans="13:13" ht="15" customHeight="1" x14ac:dyDescent="0.3">
      <c r="M5856" s="5"/>
    </row>
    <row r="5857" spans="13:13" ht="15" customHeight="1" x14ac:dyDescent="0.3">
      <c r="M5857" s="5"/>
    </row>
    <row r="5858" spans="13:13" ht="15" customHeight="1" x14ac:dyDescent="0.3">
      <c r="M5858" s="5"/>
    </row>
    <row r="5859" spans="13:13" ht="15" customHeight="1" x14ac:dyDescent="0.3">
      <c r="M5859" s="5"/>
    </row>
    <row r="5860" spans="13:13" ht="15" customHeight="1" x14ac:dyDescent="0.3">
      <c r="M5860" s="5"/>
    </row>
    <row r="5861" spans="13:13" ht="15" customHeight="1" x14ac:dyDescent="0.3">
      <c r="M5861" s="5"/>
    </row>
    <row r="5862" spans="13:13" ht="15" customHeight="1" x14ac:dyDescent="0.3">
      <c r="M5862" s="5"/>
    </row>
    <row r="5863" spans="13:13" ht="15" customHeight="1" x14ac:dyDescent="0.3">
      <c r="M5863" s="5"/>
    </row>
    <row r="5864" spans="13:13" ht="15" customHeight="1" x14ac:dyDescent="0.3">
      <c r="M5864" s="5"/>
    </row>
    <row r="5865" spans="13:13" ht="15" customHeight="1" x14ac:dyDescent="0.3">
      <c r="M5865" s="5"/>
    </row>
    <row r="5866" spans="13:13" ht="15" customHeight="1" x14ac:dyDescent="0.3">
      <c r="M5866" s="5"/>
    </row>
    <row r="5867" spans="13:13" ht="15" customHeight="1" x14ac:dyDescent="0.3">
      <c r="M5867" s="5"/>
    </row>
    <row r="5868" spans="13:13" ht="15" customHeight="1" x14ac:dyDescent="0.3">
      <c r="M5868" s="5"/>
    </row>
    <row r="5869" spans="13:13" ht="15" customHeight="1" x14ac:dyDescent="0.3">
      <c r="M5869" s="5"/>
    </row>
    <row r="5870" spans="13:13" ht="15" customHeight="1" x14ac:dyDescent="0.3">
      <c r="M5870" s="5"/>
    </row>
    <row r="5871" spans="13:13" ht="15" customHeight="1" x14ac:dyDescent="0.3">
      <c r="M5871" s="5"/>
    </row>
    <row r="5872" spans="13:13" ht="15" customHeight="1" x14ac:dyDescent="0.3">
      <c r="M5872" s="5"/>
    </row>
    <row r="5873" spans="13:13" ht="15" customHeight="1" x14ac:dyDescent="0.3">
      <c r="M5873" s="5"/>
    </row>
    <row r="5874" spans="13:13" ht="15" customHeight="1" x14ac:dyDescent="0.3">
      <c r="M5874" s="5"/>
    </row>
    <row r="5875" spans="13:13" ht="15" customHeight="1" x14ac:dyDescent="0.3">
      <c r="M5875" s="5"/>
    </row>
    <row r="5876" spans="13:13" ht="15" customHeight="1" x14ac:dyDescent="0.3">
      <c r="M5876" s="5"/>
    </row>
    <row r="5877" spans="13:13" ht="15" customHeight="1" x14ac:dyDescent="0.3">
      <c r="M5877" s="5"/>
    </row>
    <row r="5878" spans="13:13" ht="15" customHeight="1" x14ac:dyDescent="0.3">
      <c r="M5878" s="5"/>
    </row>
    <row r="5879" spans="13:13" ht="15" customHeight="1" x14ac:dyDescent="0.3">
      <c r="M5879" s="5"/>
    </row>
    <row r="5880" spans="13:13" ht="15" customHeight="1" x14ac:dyDescent="0.3">
      <c r="M5880" s="5"/>
    </row>
    <row r="5881" spans="13:13" ht="15" customHeight="1" x14ac:dyDescent="0.3">
      <c r="M5881" s="5"/>
    </row>
    <row r="5882" spans="13:13" ht="15" customHeight="1" x14ac:dyDescent="0.3">
      <c r="M5882" s="5"/>
    </row>
    <row r="5883" spans="13:13" ht="15" customHeight="1" x14ac:dyDescent="0.3">
      <c r="M5883" s="5"/>
    </row>
    <row r="5884" spans="13:13" ht="15" customHeight="1" x14ac:dyDescent="0.3">
      <c r="M5884" s="5"/>
    </row>
    <row r="5885" spans="13:13" ht="15" customHeight="1" x14ac:dyDescent="0.3">
      <c r="M5885" s="5"/>
    </row>
    <row r="5886" spans="13:13" ht="15" customHeight="1" x14ac:dyDescent="0.3">
      <c r="M5886" s="5"/>
    </row>
    <row r="5887" spans="13:13" ht="15" customHeight="1" x14ac:dyDescent="0.3">
      <c r="M5887" s="5"/>
    </row>
    <row r="5888" spans="13:13" ht="15" customHeight="1" x14ac:dyDescent="0.3">
      <c r="M5888" s="5"/>
    </row>
    <row r="5889" spans="13:13" ht="15" customHeight="1" x14ac:dyDescent="0.3">
      <c r="M5889" s="5"/>
    </row>
    <row r="5890" spans="13:13" ht="15" customHeight="1" x14ac:dyDescent="0.3">
      <c r="M5890" s="5"/>
    </row>
    <row r="5891" spans="13:13" ht="15" customHeight="1" x14ac:dyDescent="0.3">
      <c r="M5891" s="5"/>
    </row>
    <row r="5892" spans="13:13" ht="15" customHeight="1" x14ac:dyDescent="0.3">
      <c r="M5892" s="5"/>
    </row>
    <row r="5893" spans="13:13" ht="15" customHeight="1" x14ac:dyDescent="0.3">
      <c r="M5893" s="5"/>
    </row>
    <row r="5894" spans="13:13" ht="15" customHeight="1" x14ac:dyDescent="0.3">
      <c r="M5894" s="5"/>
    </row>
    <row r="5895" spans="13:13" ht="15" customHeight="1" x14ac:dyDescent="0.3">
      <c r="M5895" s="5"/>
    </row>
    <row r="5896" spans="13:13" ht="15" customHeight="1" x14ac:dyDescent="0.3">
      <c r="M5896" s="5"/>
    </row>
    <row r="5897" spans="13:13" ht="15" customHeight="1" x14ac:dyDescent="0.3">
      <c r="M5897" s="5"/>
    </row>
    <row r="5898" spans="13:13" ht="15" customHeight="1" x14ac:dyDescent="0.3">
      <c r="M5898" s="5"/>
    </row>
    <row r="5899" spans="13:13" ht="15" customHeight="1" x14ac:dyDescent="0.3">
      <c r="M5899" s="5"/>
    </row>
    <row r="5900" spans="13:13" ht="15" customHeight="1" x14ac:dyDescent="0.3">
      <c r="M5900" s="5"/>
    </row>
    <row r="5901" spans="13:13" ht="15" customHeight="1" x14ac:dyDescent="0.3">
      <c r="M5901" s="5"/>
    </row>
    <row r="5902" spans="13:13" ht="15" customHeight="1" x14ac:dyDescent="0.3">
      <c r="M5902" s="5"/>
    </row>
    <row r="5903" spans="13:13" ht="15" customHeight="1" x14ac:dyDescent="0.3">
      <c r="M5903" s="5"/>
    </row>
    <row r="5904" spans="13:13" ht="15" customHeight="1" x14ac:dyDescent="0.3">
      <c r="M5904" s="5"/>
    </row>
    <row r="5905" spans="13:13" ht="15" customHeight="1" x14ac:dyDescent="0.3">
      <c r="M5905" s="5"/>
    </row>
    <row r="5906" spans="13:13" ht="15" customHeight="1" x14ac:dyDescent="0.3">
      <c r="M5906" s="5"/>
    </row>
    <row r="5907" spans="13:13" ht="15" customHeight="1" x14ac:dyDescent="0.3">
      <c r="M5907" s="5"/>
    </row>
    <row r="5908" spans="13:13" ht="15" customHeight="1" x14ac:dyDescent="0.3">
      <c r="M5908" s="5"/>
    </row>
    <row r="5909" spans="13:13" ht="15" customHeight="1" x14ac:dyDescent="0.3">
      <c r="M5909" s="5"/>
    </row>
    <row r="5910" spans="13:13" ht="15" customHeight="1" x14ac:dyDescent="0.3">
      <c r="M5910" s="5"/>
    </row>
    <row r="5911" spans="13:13" ht="15" customHeight="1" x14ac:dyDescent="0.3">
      <c r="M5911" s="5"/>
    </row>
    <row r="5912" spans="13:13" ht="15" customHeight="1" x14ac:dyDescent="0.3">
      <c r="M5912" s="5"/>
    </row>
    <row r="5913" spans="13:13" ht="15" customHeight="1" x14ac:dyDescent="0.3">
      <c r="M5913" s="5"/>
    </row>
    <row r="5914" spans="13:13" ht="15" customHeight="1" x14ac:dyDescent="0.3">
      <c r="M5914" s="5"/>
    </row>
    <row r="5915" spans="13:13" ht="15" customHeight="1" x14ac:dyDescent="0.3">
      <c r="M5915" s="5"/>
    </row>
    <row r="5916" spans="13:13" ht="15" customHeight="1" x14ac:dyDescent="0.3">
      <c r="M5916" s="5"/>
    </row>
    <row r="5917" spans="13:13" ht="15" customHeight="1" x14ac:dyDescent="0.3">
      <c r="M5917" s="5"/>
    </row>
    <row r="5918" spans="13:13" ht="15" customHeight="1" x14ac:dyDescent="0.3">
      <c r="M5918" s="5"/>
    </row>
    <row r="5919" spans="13:13" ht="15" customHeight="1" x14ac:dyDescent="0.3">
      <c r="M5919" s="5"/>
    </row>
    <row r="5920" spans="13:13" ht="15" customHeight="1" x14ac:dyDescent="0.3">
      <c r="M5920" s="5"/>
    </row>
    <row r="5921" spans="13:13" ht="15" customHeight="1" x14ac:dyDescent="0.3">
      <c r="M5921" s="5"/>
    </row>
    <row r="5922" spans="13:13" ht="15" customHeight="1" x14ac:dyDescent="0.3">
      <c r="M5922" s="5"/>
    </row>
    <row r="5923" spans="13:13" ht="15" customHeight="1" x14ac:dyDescent="0.3">
      <c r="M5923" s="5"/>
    </row>
    <row r="5924" spans="13:13" ht="15" customHeight="1" x14ac:dyDescent="0.3">
      <c r="M5924" s="5"/>
    </row>
    <row r="5925" spans="13:13" ht="15" customHeight="1" x14ac:dyDescent="0.3">
      <c r="M5925" s="5"/>
    </row>
    <row r="5926" spans="13:13" ht="15" customHeight="1" x14ac:dyDescent="0.3">
      <c r="M5926" s="5"/>
    </row>
    <row r="5927" spans="13:13" ht="15" customHeight="1" x14ac:dyDescent="0.3">
      <c r="M5927" s="5"/>
    </row>
    <row r="5928" spans="13:13" ht="15" customHeight="1" x14ac:dyDescent="0.3">
      <c r="M5928" s="5"/>
    </row>
    <row r="5929" spans="13:13" ht="15" customHeight="1" x14ac:dyDescent="0.3">
      <c r="M5929" s="5"/>
    </row>
    <row r="5930" spans="13:13" ht="15" customHeight="1" x14ac:dyDescent="0.3">
      <c r="M5930" s="5"/>
    </row>
    <row r="5931" spans="13:13" ht="15" customHeight="1" x14ac:dyDescent="0.3">
      <c r="M5931" s="5"/>
    </row>
    <row r="5932" spans="13:13" ht="15" customHeight="1" x14ac:dyDescent="0.3">
      <c r="M5932" s="5"/>
    </row>
    <row r="5933" spans="13:13" ht="15" customHeight="1" x14ac:dyDescent="0.3">
      <c r="M5933" s="5"/>
    </row>
    <row r="5934" spans="13:13" ht="15" customHeight="1" x14ac:dyDescent="0.3">
      <c r="M5934" s="5"/>
    </row>
    <row r="5935" spans="13:13" ht="15" customHeight="1" x14ac:dyDescent="0.3">
      <c r="M5935" s="5"/>
    </row>
    <row r="5936" spans="13:13" ht="15" customHeight="1" x14ac:dyDescent="0.3">
      <c r="M5936" s="5"/>
    </row>
    <row r="5937" spans="13:13" ht="15" customHeight="1" x14ac:dyDescent="0.3">
      <c r="M5937" s="5"/>
    </row>
    <row r="5938" spans="13:13" ht="15" customHeight="1" x14ac:dyDescent="0.3">
      <c r="M5938" s="5"/>
    </row>
    <row r="5939" spans="13:13" ht="15" customHeight="1" x14ac:dyDescent="0.3">
      <c r="M5939" s="5"/>
    </row>
    <row r="5940" spans="13:13" ht="15" customHeight="1" x14ac:dyDescent="0.3">
      <c r="M5940" s="5"/>
    </row>
    <row r="5941" spans="13:13" ht="15" customHeight="1" x14ac:dyDescent="0.3">
      <c r="M5941" s="5"/>
    </row>
    <row r="5942" spans="13:13" ht="15" customHeight="1" x14ac:dyDescent="0.3">
      <c r="M5942" s="5"/>
    </row>
    <row r="5943" spans="13:13" ht="15" customHeight="1" x14ac:dyDescent="0.3">
      <c r="M5943" s="5"/>
    </row>
    <row r="5944" spans="13:13" ht="15" customHeight="1" x14ac:dyDescent="0.3">
      <c r="M5944" s="5"/>
    </row>
    <row r="5945" spans="13:13" ht="15" customHeight="1" x14ac:dyDescent="0.3">
      <c r="M5945" s="5"/>
    </row>
    <row r="5946" spans="13:13" ht="15" customHeight="1" x14ac:dyDescent="0.3">
      <c r="M5946" s="5"/>
    </row>
    <row r="5947" spans="13:13" ht="15" customHeight="1" x14ac:dyDescent="0.3">
      <c r="M5947" s="5"/>
    </row>
    <row r="5948" spans="13:13" ht="15" customHeight="1" x14ac:dyDescent="0.3">
      <c r="M5948" s="5"/>
    </row>
    <row r="5949" spans="13:13" ht="15" customHeight="1" x14ac:dyDescent="0.3">
      <c r="M5949" s="5"/>
    </row>
    <row r="5950" spans="13:13" ht="15" customHeight="1" x14ac:dyDescent="0.3">
      <c r="M5950" s="5"/>
    </row>
    <row r="5951" spans="13:13" ht="15" customHeight="1" x14ac:dyDescent="0.3">
      <c r="M5951" s="5"/>
    </row>
    <row r="5952" spans="13:13" ht="15" customHeight="1" x14ac:dyDescent="0.3">
      <c r="M5952" s="5"/>
    </row>
    <row r="5953" spans="13:13" ht="15" customHeight="1" x14ac:dyDescent="0.3">
      <c r="M5953" s="5"/>
    </row>
    <row r="5954" spans="13:13" ht="15" customHeight="1" x14ac:dyDescent="0.3">
      <c r="M5954" s="5"/>
    </row>
    <row r="5955" spans="13:13" ht="15" customHeight="1" x14ac:dyDescent="0.3">
      <c r="M5955" s="5"/>
    </row>
    <row r="5956" spans="13:13" ht="15" customHeight="1" x14ac:dyDescent="0.3">
      <c r="M5956" s="5"/>
    </row>
    <row r="5957" spans="13:13" ht="15" customHeight="1" x14ac:dyDescent="0.3">
      <c r="M5957" s="5"/>
    </row>
    <row r="5958" spans="13:13" ht="15" customHeight="1" x14ac:dyDescent="0.3">
      <c r="M5958" s="5"/>
    </row>
    <row r="5959" spans="13:13" ht="15" customHeight="1" x14ac:dyDescent="0.3">
      <c r="M5959" s="5"/>
    </row>
    <row r="5960" spans="13:13" ht="15" customHeight="1" x14ac:dyDescent="0.3">
      <c r="M5960" s="5"/>
    </row>
    <row r="5961" spans="13:13" ht="15" customHeight="1" x14ac:dyDescent="0.3">
      <c r="M5961" s="5"/>
    </row>
    <row r="5962" spans="13:13" ht="15" customHeight="1" x14ac:dyDescent="0.3">
      <c r="M5962" s="5"/>
    </row>
    <row r="5963" spans="13:13" ht="15" customHeight="1" x14ac:dyDescent="0.3">
      <c r="M5963" s="5"/>
    </row>
    <row r="5964" spans="13:13" ht="15" customHeight="1" x14ac:dyDescent="0.3">
      <c r="M5964" s="5"/>
    </row>
    <row r="5965" spans="13:13" ht="15" customHeight="1" x14ac:dyDescent="0.3">
      <c r="M5965" s="5"/>
    </row>
    <row r="5966" spans="13:13" ht="15" customHeight="1" x14ac:dyDescent="0.3">
      <c r="M5966" s="5"/>
    </row>
    <row r="5967" spans="13:13" ht="15" customHeight="1" x14ac:dyDescent="0.3">
      <c r="M5967" s="5"/>
    </row>
    <row r="5968" spans="13:13" ht="15" customHeight="1" x14ac:dyDescent="0.3">
      <c r="M5968" s="5"/>
    </row>
    <row r="5969" spans="13:13" ht="15" customHeight="1" x14ac:dyDescent="0.3">
      <c r="M5969" s="5"/>
    </row>
    <row r="5970" spans="13:13" ht="15" customHeight="1" x14ac:dyDescent="0.3">
      <c r="M5970" s="5"/>
    </row>
    <row r="5971" spans="13:13" ht="15" customHeight="1" x14ac:dyDescent="0.3">
      <c r="M5971" s="5"/>
    </row>
    <row r="5972" spans="13:13" ht="15" customHeight="1" x14ac:dyDescent="0.3">
      <c r="M5972" s="5"/>
    </row>
    <row r="5973" spans="13:13" ht="15" customHeight="1" x14ac:dyDescent="0.3">
      <c r="M5973" s="5"/>
    </row>
    <row r="5974" spans="13:13" ht="15" customHeight="1" x14ac:dyDescent="0.3">
      <c r="M5974" s="5"/>
    </row>
    <row r="5975" spans="13:13" ht="15" customHeight="1" x14ac:dyDescent="0.3">
      <c r="M5975" s="5"/>
    </row>
    <row r="5976" spans="13:13" ht="15" customHeight="1" x14ac:dyDescent="0.3">
      <c r="M5976" s="5"/>
    </row>
    <row r="5977" spans="13:13" ht="15" customHeight="1" x14ac:dyDescent="0.3">
      <c r="M5977" s="5"/>
    </row>
    <row r="5978" spans="13:13" ht="15" customHeight="1" x14ac:dyDescent="0.3">
      <c r="M5978" s="5"/>
    </row>
    <row r="5979" spans="13:13" ht="15" customHeight="1" x14ac:dyDescent="0.3">
      <c r="M5979" s="5"/>
    </row>
    <row r="5980" spans="13:13" ht="15" customHeight="1" x14ac:dyDescent="0.3">
      <c r="M5980" s="5"/>
    </row>
    <row r="5981" spans="13:13" ht="15" customHeight="1" x14ac:dyDescent="0.3">
      <c r="M5981" s="5"/>
    </row>
    <row r="5982" spans="13:13" ht="15" customHeight="1" x14ac:dyDescent="0.3">
      <c r="M5982" s="5"/>
    </row>
    <row r="5983" spans="13:13" ht="15" customHeight="1" x14ac:dyDescent="0.3">
      <c r="M5983" s="5"/>
    </row>
    <row r="5984" spans="13:13" ht="15" customHeight="1" x14ac:dyDescent="0.3">
      <c r="M5984" s="5"/>
    </row>
    <row r="5985" spans="13:13" ht="15" customHeight="1" x14ac:dyDescent="0.3">
      <c r="M5985" s="5"/>
    </row>
    <row r="5986" spans="13:13" ht="15" customHeight="1" x14ac:dyDescent="0.3">
      <c r="M5986" s="5"/>
    </row>
    <row r="5987" spans="13:13" ht="15" customHeight="1" x14ac:dyDescent="0.3">
      <c r="M5987" s="5"/>
    </row>
    <row r="5988" spans="13:13" ht="15" customHeight="1" x14ac:dyDescent="0.3">
      <c r="M5988" s="5"/>
    </row>
    <row r="5989" spans="13:13" ht="15" customHeight="1" x14ac:dyDescent="0.3">
      <c r="M5989" s="5"/>
    </row>
    <row r="5990" spans="13:13" ht="15" customHeight="1" x14ac:dyDescent="0.3">
      <c r="M5990" s="5"/>
    </row>
    <row r="5991" spans="13:13" ht="15" customHeight="1" x14ac:dyDescent="0.3">
      <c r="M5991" s="5"/>
    </row>
    <row r="5992" spans="13:13" ht="15" customHeight="1" x14ac:dyDescent="0.3">
      <c r="M5992" s="5"/>
    </row>
    <row r="5993" spans="13:13" ht="15" customHeight="1" x14ac:dyDescent="0.3">
      <c r="M5993" s="5"/>
    </row>
    <row r="5994" spans="13:13" ht="15" customHeight="1" x14ac:dyDescent="0.3">
      <c r="M5994" s="5"/>
    </row>
    <row r="5995" spans="13:13" ht="15" customHeight="1" x14ac:dyDescent="0.3">
      <c r="M5995" s="5"/>
    </row>
    <row r="5996" spans="13:13" ht="15" customHeight="1" x14ac:dyDescent="0.3">
      <c r="M5996" s="5"/>
    </row>
    <row r="5997" spans="13:13" ht="15" customHeight="1" x14ac:dyDescent="0.3">
      <c r="M5997" s="5"/>
    </row>
    <row r="5998" spans="13:13" ht="15" customHeight="1" x14ac:dyDescent="0.3">
      <c r="M5998" s="5"/>
    </row>
    <row r="5999" spans="13:13" ht="15" customHeight="1" x14ac:dyDescent="0.3">
      <c r="M5999" s="5"/>
    </row>
    <row r="6000" spans="13:13" ht="15" customHeight="1" x14ac:dyDescent="0.3">
      <c r="M6000" s="5"/>
    </row>
    <row r="6001" spans="13:13" ht="15" customHeight="1" x14ac:dyDescent="0.3">
      <c r="M6001" s="5"/>
    </row>
    <row r="6002" spans="13:13" ht="15" customHeight="1" x14ac:dyDescent="0.3">
      <c r="M6002" s="5"/>
    </row>
    <row r="6003" spans="13:13" ht="15" customHeight="1" x14ac:dyDescent="0.3">
      <c r="M6003" s="5"/>
    </row>
    <row r="6004" spans="13:13" ht="15" customHeight="1" x14ac:dyDescent="0.3">
      <c r="M6004" s="5"/>
    </row>
    <row r="6005" spans="13:13" ht="15" customHeight="1" x14ac:dyDescent="0.3">
      <c r="M6005" s="5"/>
    </row>
    <row r="6006" spans="13:13" ht="15" customHeight="1" x14ac:dyDescent="0.3">
      <c r="M6006" s="5"/>
    </row>
    <row r="6007" spans="13:13" ht="15" customHeight="1" x14ac:dyDescent="0.3">
      <c r="M6007" s="5"/>
    </row>
    <row r="6008" spans="13:13" ht="15" customHeight="1" x14ac:dyDescent="0.3">
      <c r="M6008" s="5"/>
    </row>
    <row r="6009" spans="13:13" ht="15" customHeight="1" x14ac:dyDescent="0.3">
      <c r="M6009" s="5"/>
    </row>
    <row r="6010" spans="13:13" ht="15" customHeight="1" x14ac:dyDescent="0.3">
      <c r="M6010" s="5"/>
    </row>
    <row r="6011" spans="13:13" ht="15" customHeight="1" x14ac:dyDescent="0.3">
      <c r="M6011" s="5"/>
    </row>
    <row r="6012" spans="13:13" ht="15" customHeight="1" x14ac:dyDescent="0.3">
      <c r="M6012" s="5"/>
    </row>
    <row r="6013" spans="13:13" ht="15" customHeight="1" x14ac:dyDescent="0.3">
      <c r="M6013" s="5"/>
    </row>
    <row r="6014" spans="13:13" ht="15" customHeight="1" x14ac:dyDescent="0.3">
      <c r="M6014" s="5"/>
    </row>
    <row r="6015" spans="13:13" ht="15" customHeight="1" x14ac:dyDescent="0.3">
      <c r="M6015" s="5"/>
    </row>
    <row r="6016" spans="13:13" ht="15" customHeight="1" x14ac:dyDescent="0.3">
      <c r="M6016" s="5"/>
    </row>
    <row r="6017" spans="13:13" ht="15" customHeight="1" x14ac:dyDescent="0.3">
      <c r="M6017" s="5"/>
    </row>
    <row r="6018" spans="13:13" ht="15" customHeight="1" x14ac:dyDescent="0.3">
      <c r="M6018" s="5"/>
    </row>
    <row r="6019" spans="13:13" ht="15" customHeight="1" x14ac:dyDescent="0.3">
      <c r="M6019" s="5"/>
    </row>
    <row r="6020" spans="13:13" ht="15" customHeight="1" x14ac:dyDescent="0.3">
      <c r="M6020" s="5"/>
    </row>
    <row r="6021" spans="13:13" ht="15" customHeight="1" x14ac:dyDescent="0.3">
      <c r="M6021" s="5"/>
    </row>
    <row r="6022" spans="13:13" ht="15" customHeight="1" x14ac:dyDescent="0.3">
      <c r="M6022" s="5"/>
    </row>
    <row r="6023" spans="13:13" ht="15" customHeight="1" x14ac:dyDescent="0.3">
      <c r="M6023" s="5"/>
    </row>
    <row r="6024" spans="13:13" ht="15" customHeight="1" x14ac:dyDescent="0.3">
      <c r="M6024" s="5"/>
    </row>
    <row r="6025" spans="13:13" ht="15" customHeight="1" x14ac:dyDescent="0.3">
      <c r="M6025" s="5"/>
    </row>
    <row r="6026" spans="13:13" ht="15" customHeight="1" x14ac:dyDescent="0.3">
      <c r="M6026" s="5"/>
    </row>
    <row r="6027" spans="13:13" ht="15" customHeight="1" x14ac:dyDescent="0.3">
      <c r="M6027" s="5"/>
    </row>
    <row r="6028" spans="13:13" ht="15" customHeight="1" x14ac:dyDescent="0.3">
      <c r="M6028" s="5"/>
    </row>
    <row r="6029" spans="13:13" ht="15" customHeight="1" x14ac:dyDescent="0.3">
      <c r="M6029" s="5"/>
    </row>
    <row r="6030" spans="13:13" ht="15" customHeight="1" x14ac:dyDescent="0.3">
      <c r="M6030" s="5"/>
    </row>
    <row r="6031" spans="13:13" ht="15" customHeight="1" x14ac:dyDescent="0.3">
      <c r="M6031" s="5"/>
    </row>
    <row r="6032" spans="13:13" ht="15" customHeight="1" x14ac:dyDescent="0.3">
      <c r="M6032" s="5"/>
    </row>
    <row r="6033" spans="13:13" ht="15" customHeight="1" x14ac:dyDescent="0.3">
      <c r="M6033" s="5"/>
    </row>
    <row r="6034" spans="13:13" ht="15" customHeight="1" x14ac:dyDescent="0.3">
      <c r="M6034" s="5"/>
    </row>
    <row r="6035" spans="13:13" ht="15" customHeight="1" x14ac:dyDescent="0.3">
      <c r="M6035" s="5"/>
    </row>
    <row r="6036" spans="13:13" ht="15" customHeight="1" x14ac:dyDescent="0.3">
      <c r="M6036" s="5"/>
    </row>
    <row r="6037" spans="13:13" ht="15" customHeight="1" x14ac:dyDescent="0.3">
      <c r="M6037" s="5"/>
    </row>
    <row r="6038" spans="13:13" ht="15" customHeight="1" x14ac:dyDescent="0.3">
      <c r="M6038" s="5"/>
    </row>
    <row r="6039" spans="13:13" ht="15" customHeight="1" x14ac:dyDescent="0.3">
      <c r="M6039" s="5"/>
    </row>
    <row r="6040" spans="13:13" ht="15" customHeight="1" x14ac:dyDescent="0.3">
      <c r="M6040" s="5"/>
    </row>
    <row r="6041" spans="13:13" ht="15" customHeight="1" x14ac:dyDescent="0.3">
      <c r="M6041" s="5"/>
    </row>
    <row r="6042" spans="13:13" ht="15" customHeight="1" x14ac:dyDescent="0.3">
      <c r="M6042" s="5"/>
    </row>
    <row r="6043" spans="13:13" ht="15" customHeight="1" x14ac:dyDescent="0.3">
      <c r="M6043" s="5"/>
    </row>
    <row r="6044" spans="13:13" ht="15" customHeight="1" x14ac:dyDescent="0.3">
      <c r="M6044" s="5"/>
    </row>
    <row r="6045" spans="13:13" ht="15" customHeight="1" x14ac:dyDescent="0.3">
      <c r="M6045" s="5"/>
    </row>
    <row r="6046" spans="13:13" ht="15" customHeight="1" x14ac:dyDescent="0.3">
      <c r="M6046" s="5"/>
    </row>
    <row r="6047" spans="13:13" ht="15" customHeight="1" x14ac:dyDescent="0.3">
      <c r="M6047" s="5"/>
    </row>
    <row r="6048" spans="13:13" ht="15" customHeight="1" x14ac:dyDescent="0.3">
      <c r="M6048" s="5"/>
    </row>
    <row r="6049" spans="13:13" ht="15" customHeight="1" x14ac:dyDescent="0.3">
      <c r="M6049" s="5"/>
    </row>
    <row r="6050" spans="13:13" ht="15" customHeight="1" x14ac:dyDescent="0.3">
      <c r="M6050" s="5"/>
    </row>
    <row r="6051" spans="13:13" ht="15" customHeight="1" x14ac:dyDescent="0.3">
      <c r="M6051" s="5"/>
    </row>
    <row r="6052" spans="13:13" ht="15" customHeight="1" x14ac:dyDescent="0.3">
      <c r="M6052" s="5"/>
    </row>
    <row r="6053" spans="13:13" ht="15" customHeight="1" x14ac:dyDescent="0.3">
      <c r="M6053" s="5"/>
    </row>
    <row r="6054" spans="13:13" ht="15" customHeight="1" x14ac:dyDescent="0.3">
      <c r="M6054" s="5"/>
    </row>
    <row r="6055" spans="13:13" ht="15" customHeight="1" x14ac:dyDescent="0.3">
      <c r="M6055" s="5"/>
    </row>
    <row r="6056" spans="13:13" ht="15" customHeight="1" x14ac:dyDescent="0.3">
      <c r="M6056" s="5"/>
    </row>
    <row r="6057" spans="13:13" ht="15" customHeight="1" x14ac:dyDescent="0.3">
      <c r="M6057" s="5"/>
    </row>
    <row r="6058" spans="13:13" ht="15" customHeight="1" x14ac:dyDescent="0.3">
      <c r="M6058" s="5"/>
    </row>
    <row r="6059" spans="13:13" ht="15" customHeight="1" x14ac:dyDescent="0.3">
      <c r="M6059" s="5"/>
    </row>
    <row r="6060" spans="13:13" ht="15" customHeight="1" x14ac:dyDescent="0.3">
      <c r="M6060" s="5"/>
    </row>
    <row r="6061" spans="13:13" ht="15" customHeight="1" x14ac:dyDescent="0.3">
      <c r="M6061" s="5"/>
    </row>
    <row r="6062" spans="13:13" ht="15" customHeight="1" x14ac:dyDescent="0.3">
      <c r="M6062" s="5"/>
    </row>
    <row r="6063" spans="13:13" ht="15" customHeight="1" x14ac:dyDescent="0.3">
      <c r="M6063" s="5"/>
    </row>
    <row r="6064" spans="13:13" ht="15" customHeight="1" x14ac:dyDescent="0.3">
      <c r="M6064" s="5"/>
    </row>
    <row r="6065" spans="13:13" ht="15" customHeight="1" x14ac:dyDescent="0.3">
      <c r="M6065" s="5"/>
    </row>
    <row r="6066" spans="13:13" ht="15" customHeight="1" x14ac:dyDescent="0.3">
      <c r="M6066" s="5"/>
    </row>
    <row r="6067" spans="13:13" ht="15" customHeight="1" x14ac:dyDescent="0.3">
      <c r="M6067" s="5"/>
    </row>
    <row r="6068" spans="13:13" ht="15" customHeight="1" x14ac:dyDescent="0.3">
      <c r="M6068" s="5"/>
    </row>
    <row r="6069" spans="13:13" ht="15" customHeight="1" x14ac:dyDescent="0.3">
      <c r="M6069" s="5"/>
    </row>
    <row r="6070" spans="13:13" ht="15" customHeight="1" x14ac:dyDescent="0.3">
      <c r="M6070" s="5"/>
    </row>
    <row r="6071" spans="13:13" ht="15" customHeight="1" x14ac:dyDescent="0.3">
      <c r="M6071" s="5"/>
    </row>
    <row r="6072" spans="13:13" ht="15" customHeight="1" x14ac:dyDescent="0.3">
      <c r="M6072" s="5"/>
    </row>
    <row r="6073" spans="13:13" ht="15" customHeight="1" x14ac:dyDescent="0.3">
      <c r="M6073" s="5"/>
    </row>
    <row r="6074" spans="13:13" ht="15" customHeight="1" x14ac:dyDescent="0.3">
      <c r="M6074" s="5"/>
    </row>
    <row r="6075" spans="13:13" ht="15" customHeight="1" x14ac:dyDescent="0.3">
      <c r="M6075" s="5"/>
    </row>
    <row r="6076" spans="13:13" ht="15" customHeight="1" x14ac:dyDescent="0.3">
      <c r="M6076" s="5"/>
    </row>
    <row r="6077" spans="13:13" ht="15" customHeight="1" x14ac:dyDescent="0.3">
      <c r="M6077" s="5"/>
    </row>
    <row r="6078" spans="13:13" ht="15" customHeight="1" x14ac:dyDescent="0.3">
      <c r="M6078" s="5"/>
    </row>
    <row r="6079" spans="13:13" ht="15" customHeight="1" x14ac:dyDescent="0.3">
      <c r="M6079" s="5"/>
    </row>
    <row r="6080" spans="13:13" ht="15" customHeight="1" x14ac:dyDescent="0.3">
      <c r="M6080" s="5"/>
    </row>
    <row r="6081" spans="13:13" ht="15" customHeight="1" x14ac:dyDescent="0.3">
      <c r="M6081" s="5"/>
    </row>
    <row r="6082" spans="13:13" ht="15" customHeight="1" x14ac:dyDescent="0.3">
      <c r="M6082" s="5"/>
    </row>
    <row r="6083" spans="13:13" ht="15" customHeight="1" x14ac:dyDescent="0.3">
      <c r="M6083" s="5"/>
    </row>
    <row r="6084" spans="13:13" ht="15" customHeight="1" x14ac:dyDescent="0.3">
      <c r="M6084" s="5"/>
    </row>
    <row r="6085" spans="13:13" ht="15" customHeight="1" x14ac:dyDescent="0.3">
      <c r="M6085" s="5"/>
    </row>
    <row r="6086" spans="13:13" ht="15" customHeight="1" x14ac:dyDescent="0.3">
      <c r="M6086" s="5"/>
    </row>
    <row r="6087" spans="13:13" ht="15" customHeight="1" x14ac:dyDescent="0.3">
      <c r="M6087" s="5"/>
    </row>
    <row r="6088" spans="13:13" ht="15" customHeight="1" x14ac:dyDescent="0.3">
      <c r="M6088" s="5"/>
    </row>
    <row r="6089" spans="13:13" ht="15" customHeight="1" x14ac:dyDescent="0.3">
      <c r="M6089" s="5"/>
    </row>
    <row r="6090" spans="13:13" ht="15" customHeight="1" x14ac:dyDescent="0.3">
      <c r="M6090" s="5"/>
    </row>
    <row r="6091" spans="13:13" ht="15" customHeight="1" x14ac:dyDescent="0.3">
      <c r="M6091" s="5"/>
    </row>
    <row r="6092" spans="13:13" ht="15" customHeight="1" x14ac:dyDescent="0.3">
      <c r="M6092" s="5"/>
    </row>
    <row r="6093" spans="13:13" ht="15" customHeight="1" x14ac:dyDescent="0.3">
      <c r="M6093" s="5"/>
    </row>
    <row r="6094" spans="13:13" ht="15" customHeight="1" x14ac:dyDescent="0.3">
      <c r="M6094" s="5"/>
    </row>
    <row r="6095" spans="13:13" ht="15" customHeight="1" x14ac:dyDescent="0.3">
      <c r="M6095" s="5"/>
    </row>
    <row r="6096" spans="13:13" ht="15" customHeight="1" x14ac:dyDescent="0.3">
      <c r="M6096" s="5"/>
    </row>
    <row r="6097" spans="13:13" ht="15" customHeight="1" x14ac:dyDescent="0.3">
      <c r="M6097" s="5"/>
    </row>
    <row r="6098" spans="13:13" ht="15" customHeight="1" x14ac:dyDescent="0.3">
      <c r="M6098" s="5"/>
    </row>
    <row r="6099" spans="13:13" ht="15" customHeight="1" x14ac:dyDescent="0.3">
      <c r="M6099" s="5"/>
    </row>
    <row r="6100" spans="13:13" ht="15" customHeight="1" x14ac:dyDescent="0.3">
      <c r="M6100" s="5"/>
    </row>
    <row r="6101" spans="13:13" ht="15" customHeight="1" x14ac:dyDescent="0.3">
      <c r="M6101" s="5"/>
    </row>
    <row r="6102" spans="13:13" ht="15" customHeight="1" x14ac:dyDescent="0.3">
      <c r="M6102" s="5"/>
    </row>
    <row r="6103" spans="13:13" ht="15" customHeight="1" x14ac:dyDescent="0.3">
      <c r="M6103" s="5"/>
    </row>
    <row r="6104" spans="13:13" ht="15" customHeight="1" x14ac:dyDescent="0.3">
      <c r="M6104" s="5"/>
    </row>
    <row r="6105" spans="13:13" ht="15" customHeight="1" x14ac:dyDescent="0.3">
      <c r="M6105" s="5"/>
    </row>
    <row r="6106" spans="13:13" ht="15" customHeight="1" x14ac:dyDescent="0.3">
      <c r="M6106" s="5"/>
    </row>
    <row r="6107" spans="13:13" ht="15" customHeight="1" x14ac:dyDescent="0.3">
      <c r="M6107" s="5"/>
    </row>
    <row r="6108" spans="13:13" ht="15" customHeight="1" x14ac:dyDescent="0.3">
      <c r="M6108" s="5"/>
    </row>
    <row r="6109" spans="13:13" ht="15" customHeight="1" x14ac:dyDescent="0.3">
      <c r="M6109" s="5"/>
    </row>
    <row r="6110" spans="13:13" ht="15" customHeight="1" x14ac:dyDescent="0.3">
      <c r="M6110" s="5"/>
    </row>
    <row r="6111" spans="13:13" ht="15" customHeight="1" x14ac:dyDescent="0.3">
      <c r="M6111" s="5"/>
    </row>
    <row r="6112" spans="13:13" ht="15" customHeight="1" x14ac:dyDescent="0.3">
      <c r="M6112" s="5"/>
    </row>
    <row r="6113" spans="13:13" ht="15" customHeight="1" x14ac:dyDescent="0.3">
      <c r="M6113" s="5"/>
    </row>
    <row r="6114" spans="13:13" ht="15" customHeight="1" x14ac:dyDescent="0.3">
      <c r="M6114" s="5"/>
    </row>
    <row r="6115" spans="13:13" ht="15" customHeight="1" x14ac:dyDescent="0.3">
      <c r="M6115" s="5"/>
    </row>
    <row r="6116" spans="13:13" ht="15" customHeight="1" x14ac:dyDescent="0.3">
      <c r="M6116" s="5"/>
    </row>
    <row r="6117" spans="13:13" ht="15" customHeight="1" x14ac:dyDescent="0.3">
      <c r="M6117" s="5"/>
    </row>
    <row r="6118" spans="13:13" ht="15" customHeight="1" x14ac:dyDescent="0.3">
      <c r="M6118" s="5"/>
    </row>
    <row r="6119" spans="13:13" ht="15" customHeight="1" x14ac:dyDescent="0.3">
      <c r="M6119" s="5"/>
    </row>
    <row r="6120" spans="13:13" ht="15" customHeight="1" x14ac:dyDescent="0.3">
      <c r="M6120" s="5"/>
    </row>
    <row r="6121" spans="13:13" ht="15" customHeight="1" x14ac:dyDescent="0.3">
      <c r="M6121" s="5"/>
    </row>
    <row r="6122" spans="13:13" ht="15" customHeight="1" x14ac:dyDescent="0.3">
      <c r="M6122" s="5"/>
    </row>
    <row r="6123" spans="13:13" ht="15" customHeight="1" x14ac:dyDescent="0.3">
      <c r="M6123" s="5"/>
    </row>
    <row r="6124" spans="13:13" ht="15" customHeight="1" x14ac:dyDescent="0.3">
      <c r="M6124" s="5"/>
    </row>
    <row r="6125" spans="13:13" ht="15" customHeight="1" x14ac:dyDescent="0.3">
      <c r="M6125" s="5"/>
    </row>
    <row r="6126" spans="13:13" ht="15" customHeight="1" x14ac:dyDescent="0.3">
      <c r="M6126" s="5"/>
    </row>
    <row r="6127" spans="13:13" ht="15" customHeight="1" x14ac:dyDescent="0.3">
      <c r="M6127" s="5"/>
    </row>
    <row r="6128" spans="13:13" ht="15" customHeight="1" x14ac:dyDescent="0.3">
      <c r="M6128" s="5"/>
    </row>
    <row r="6129" spans="13:13" ht="15" customHeight="1" x14ac:dyDescent="0.3">
      <c r="M6129" s="5"/>
    </row>
    <row r="6130" spans="13:13" ht="15" customHeight="1" x14ac:dyDescent="0.3">
      <c r="M6130" s="5"/>
    </row>
    <row r="6131" spans="13:13" ht="15" customHeight="1" x14ac:dyDescent="0.3">
      <c r="M6131" s="5"/>
    </row>
    <row r="6132" spans="13:13" ht="15" customHeight="1" x14ac:dyDescent="0.3">
      <c r="M6132" s="5"/>
    </row>
    <row r="6133" spans="13:13" ht="15" customHeight="1" x14ac:dyDescent="0.3">
      <c r="M6133" s="5"/>
    </row>
    <row r="6134" spans="13:13" ht="15" customHeight="1" x14ac:dyDescent="0.3">
      <c r="M6134" s="5"/>
    </row>
    <row r="6135" spans="13:13" ht="15" customHeight="1" x14ac:dyDescent="0.3">
      <c r="M6135" s="5"/>
    </row>
    <row r="6136" spans="13:13" ht="15" customHeight="1" x14ac:dyDescent="0.3">
      <c r="M6136" s="5"/>
    </row>
    <row r="6137" spans="13:13" ht="15" customHeight="1" x14ac:dyDescent="0.3">
      <c r="M6137" s="5"/>
    </row>
    <row r="6138" spans="13:13" ht="15" customHeight="1" x14ac:dyDescent="0.3">
      <c r="M6138" s="5"/>
    </row>
    <row r="6139" spans="13:13" ht="15" customHeight="1" x14ac:dyDescent="0.3">
      <c r="M6139" s="5"/>
    </row>
    <row r="6140" spans="13:13" ht="15" customHeight="1" x14ac:dyDescent="0.3">
      <c r="M6140" s="5"/>
    </row>
    <row r="6141" spans="13:13" ht="15" customHeight="1" x14ac:dyDescent="0.3">
      <c r="M6141" s="5"/>
    </row>
    <row r="6142" spans="13:13" ht="15" customHeight="1" x14ac:dyDescent="0.3">
      <c r="M6142" s="5"/>
    </row>
    <row r="6143" spans="13:13" ht="15" customHeight="1" x14ac:dyDescent="0.3">
      <c r="M6143" s="5"/>
    </row>
    <row r="6144" spans="13:13" ht="15" customHeight="1" x14ac:dyDescent="0.3">
      <c r="M6144" s="5"/>
    </row>
    <row r="6145" spans="13:13" ht="15" customHeight="1" x14ac:dyDescent="0.3">
      <c r="M6145" s="5"/>
    </row>
    <row r="6146" spans="13:13" ht="15" customHeight="1" x14ac:dyDescent="0.3">
      <c r="M6146" s="5"/>
    </row>
    <row r="6147" spans="13:13" ht="15" customHeight="1" x14ac:dyDescent="0.3">
      <c r="M6147" s="5"/>
    </row>
    <row r="6148" spans="13:13" ht="15" customHeight="1" x14ac:dyDescent="0.3">
      <c r="M6148" s="5"/>
    </row>
    <row r="6149" spans="13:13" ht="15" customHeight="1" x14ac:dyDescent="0.3">
      <c r="M6149" s="5"/>
    </row>
    <row r="6150" spans="13:13" ht="15" customHeight="1" x14ac:dyDescent="0.3">
      <c r="M6150" s="5"/>
    </row>
    <row r="6151" spans="13:13" ht="15" customHeight="1" x14ac:dyDescent="0.3">
      <c r="M6151" s="5"/>
    </row>
    <row r="6152" spans="13:13" ht="15" customHeight="1" x14ac:dyDescent="0.3">
      <c r="M6152" s="5"/>
    </row>
    <row r="6153" spans="13:13" ht="15" customHeight="1" x14ac:dyDescent="0.3">
      <c r="M6153" s="5"/>
    </row>
    <row r="6154" spans="13:13" ht="15" customHeight="1" x14ac:dyDescent="0.3">
      <c r="M6154" s="5"/>
    </row>
    <row r="6155" spans="13:13" ht="15" customHeight="1" x14ac:dyDescent="0.3">
      <c r="M6155" s="5"/>
    </row>
    <row r="6156" spans="13:13" ht="15" customHeight="1" x14ac:dyDescent="0.3">
      <c r="M6156" s="5"/>
    </row>
    <row r="6157" spans="13:13" ht="15" customHeight="1" x14ac:dyDescent="0.3">
      <c r="M6157" s="5"/>
    </row>
    <row r="6158" spans="13:13" ht="15" customHeight="1" x14ac:dyDescent="0.3">
      <c r="M6158" s="5"/>
    </row>
    <row r="6159" spans="13:13" ht="15" customHeight="1" x14ac:dyDescent="0.3">
      <c r="M6159" s="5"/>
    </row>
    <row r="6160" spans="13:13" ht="15" customHeight="1" x14ac:dyDescent="0.3">
      <c r="M6160" s="5"/>
    </row>
    <row r="6161" spans="13:13" ht="15" customHeight="1" x14ac:dyDescent="0.3">
      <c r="M6161" s="5"/>
    </row>
    <row r="6162" spans="13:13" ht="15" customHeight="1" x14ac:dyDescent="0.3">
      <c r="M6162" s="5"/>
    </row>
    <row r="6163" spans="13:13" ht="15" customHeight="1" x14ac:dyDescent="0.3">
      <c r="M6163" s="5"/>
    </row>
    <row r="6164" spans="13:13" ht="15" customHeight="1" x14ac:dyDescent="0.3">
      <c r="M6164" s="5"/>
    </row>
    <row r="6165" spans="13:13" ht="15" customHeight="1" x14ac:dyDescent="0.3">
      <c r="M6165" s="5"/>
    </row>
    <row r="6166" spans="13:13" ht="15" customHeight="1" x14ac:dyDescent="0.3">
      <c r="M6166" s="5"/>
    </row>
    <row r="6167" spans="13:13" ht="15" customHeight="1" x14ac:dyDescent="0.3">
      <c r="M6167" s="5"/>
    </row>
    <row r="6168" spans="13:13" ht="15" customHeight="1" x14ac:dyDescent="0.3">
      <c r="M6168" s="5"/>
    </row>
    <row r="6169" spans="13:13" ht="15" customHeight="1" x14ac:dyDescent="0.3">
      <c r="M6169" s="5"/>
    </row>
    <row r="6170" spans="13:13" ht="15" customHeight="1" x14ac:dyDescent="0.3">
      <c r="M6170" s="5"/>
    </row>
    <row r="6171" spans="13:13" ht="15" customHeight="1" x14ac:dyDescent="0.3">
      <c r="M6171" s="5"/>
    </row>
    <row r="6172" spans="13:13" ht="15" customHeight="1" x14ac:dyDescent="0.3">
      <c r="M6172" s="5"/>
    </row>
    <row r="6173" spans="13:13" ht="15" customHeight="1" x14ac:dyDescent="0.3">
      <c r="M6173" s="5"/>
    </row>
    <row r="6174" spans="13:13" ht="15" customHeight="1" x14ac:dyDescent="0.3">
      <c r="M6174" s="5"/>
    </row>
    <row r="6175" spans="13:13" ht="15" customHeight="1" x14ac:dyDescent="0.3">
      <c r="M6175" s="5"/>
    </row>
    <row r="6176" spans="13:13" ht="15" customHeight="1" x14ac:dyDescent="0.3">
      <c r="M6176" s="5"/>
    </row>
    <row r="6177" spans="13:13" ht="15" customHeight="1" x14ac:dyDescent="0.3">
      <c r="M6177" s="5"/>
    </row>
    <row r="6178" spans="13:13" ht="15" customHeight="1" x14ac:dyDescent="0.3">
      <c r="M6178" s="5"/>
    </row>
    <row r="6179" spans="13:13" ht="15" customHeight="1" x14ac:dyDescent="0.3">
      <c r="M6179" s="5"/>
    </row>
    <row r="6180" spans="13:13" ht="15" customHeight="1" x14ac:dyDescent="0.3">
      <c r="M6180" s="5"/>
    </row>
    <row r="6181" spans="13:13" ht="15" customHeight="1" x14ac:dyDescent="0.3">
      <c r="M6181" s="5"/>
    </row>
    <row r="6182" spans="13:13" ht="15" customHeight="1" x14ac:dyDescent="0.3">
      <c r="M6182" s="5"/>
    </row>
    <row r="6183" spans="13:13" ht="15" customHeight="1" x14ac:dyDescent="0.3">
      <c r="M6183" s="5"/>
    </row>
    <row r="6184" spans="13:13" ht="15" customHeight="1" x14ac:dyDescent="0.3">
      <c r="M6184" s="5"/>
    </row>
    <row r="6185" spans="13:13" ht="15" customHeight="1" x14ac:dyDescent="0.3">
      <c r="M6185" s="5"/>
    </row>
    <row r="6186" spans="13:13" ht="15" customHeight="1" x14ac:dyDescent="0.3">
      <c r="M6186" s="5"/>
    </row>
    <row r="6187" spans="13:13" ht="15" customHeight="1" x14ac:dyDescent="0.3">
      <c r="M6187" s="5"/>
    </row>
    <row r="6188" spans="13:13" ht="15" customHeight="1" x14ac:dyDescent="0.3">
      <c r="M6188" s="5"/>
    </row>
    <row r="6189" spans="13:13" ht="15" customHeight="1" x14ac:dyDescent="0.3">
      <c r="M6189" s="5"/>
    </row>
    <row r="6190" spans="13:13" ht="15" customHeight="1" x14ac:dyDescent="0.3">
      <c r="M6190" s="5"/>
    </row>
    <row r="6191" spans="13:13" ht="15" customHeight="1" x14ac:dyDescent="0.3">
      <c r="M6191" s="5"/>
    </row>
    <row r="6192" spans="13:13" ht="15" customHeight="1" x14ac:dyDescent="0.3">
      <c r="M6192" s="5"/>
    </row>
    <row r="6193" spans="13:13" ht="15" customHeight="1" x14ac:dyDescent="0.3">
      <c r="M6193" s="5"/>
    </row>
    <row r="6194" spans="13:13" ht="15" customHeight="1" x14ac:dyDescent="0.3">
      <c r="M6194" s="5"/>
    </row>
    <row r="6195" spans="13:13" ht="15" customHeight="1" x14ac:dyDescent="0.3">
      <c r="M6195" s="5"/>
    </row>
    <row r="6196" spans="13:13" ht="15" customHeight="1" x14ac:dyDescent="0.3">
      <c r="M6196" s="5"/>
    </row>
    <row r="6197" spans="13:13" ht="15" customHeight="1" x14ac:dyDescent="0.3">
      <c r="M6197" s="5"/>
    </row>
    <row r="6198" spans="13:13" ht="15" customHeight="1" x14ac:dyDescent="0.3">
      <c r="M6198" s="5"/>
    </row>
    <row r="6199" spans="13:13" ht="15" customHeight="1" x14ac:dyDescent="0.3">
      <c r="M6199" s="5"/>
    </row>
    <row r="6200" spans="13:13" ht="15" customHeight="1" x14ac:dyDescent="0.3">
      <c r="M6200" s="5"/>
    </row>
    <row r="6201" spans="13:13" ht="15" customHeight="1" x14ac:dyDescent="0.3">
      <c r="M6201" s="5"/>
    </row>
    <row r="6202" spans="13:13" ht="15" customHeight="1" x14ac:dyDescent="0.3">
      <c r="M6202" s="5"/>
    </row>
    <row r="6203" spans="13:13" ht="15" customHeight="1" x14ac:dyDescent="0.3">
      <c r="M6203" s="5"/>
    </row>
    <row r="6204" spans="13:13" ht="15" customHeight="1" x14ac:dyDescent="0.3">
      <c r="M6204" s="5"/>
    </row>
    <row r="6205" spans="13:13" ht="15" customHeight="1" x14ac:dyDescent="0.3">
      <c r="M6205" s="5"/>
    </row>
    <row r="6206" spans="13:13" ht="15" customHeight="1" x14ac:dyDescent="0.3">
      <c r="M6206" s="5"/>
    </row>
    <row r="6207" spans="13:13" ht="15" customHeight="1" x14ac:dyDescent="0.3">
      <c r="M6207" s="5"/>
    </row>
    <row r="6208" spans="13:13" ht="15" customHeight="1" x14ac:dyDescent="0.3">
      <c r="M6208" s="5"/>
    </row>
    <row r="6209" spans="13:13" ht="15" customHeight="1" x14ac:dyDescent="0.3">
      <c r="M6209" s="5"/>
    </row>
    <row r="6210" spans="13:13" ht="15" customHeight="1" x14ac:dyDescent="0.3">
      <c r="M6210" s="5"/>
    </row>
    <row r="6211" spans="13:13" ht="15" customHeight="1" x14ac:dyDescent="0.3">
      <c r="M6211" s="5"/>
    </row>
    <row r="6212" spans="13:13" ht="15" customHeight="1" x14ac:dyDescent="0.3">
      <c r="M6212" s="5"/>
    </row>
    <row r="6213" spans="13:13" ht="15" customHeight="1" x14ac:dyDescent="0.3">
      <c r="M6213" s="5"/>
    </row>
    <row r="6214" spans="13:13" ht="15" customHeight="1" x14ac:dyDescent="0.3">
      <c r="M6214" s="5"/>
    </row>
    <row r="6215" spans="13:13" ht="15" customHeight="1" x14ac:dyDescent="0.3">
      <c r="M6215" s="5"/>
    </row>
    <row r="6216" spans="13:13" ht="15" customHeight="1" x14ac:dyDescent="0.3">
      <c r="M6216" s="5"/>
    </row>
    <row r="6217" spans="13:13" ht="15" customHeight="1" x14ac:dyDescent="0.3">
      <c r="M6217" s="5"/>
    </row>
    <row r="6218" spans="13:13" ht="15" customHeight="1" x14ac:dyDescent="0.3">
      <c r="M6218" s="5"/>
    </row>
    <row r="6219" spans="13:13" ht="15" customHeight="1" x14ac:dyDescent="0.3">
      <c r="M6219" s="5"/>
    </row>
    <row r="6220" spans="13:13" ht="15" customHeight="1" x14ac:dyDescent="0.3">
      <c r="M6220" s="5"/>
    </row>
    <row r="6221" spans="13:13" ht="15" customHeight="1" x14ac:dyDescent="0.3">
      <c r="M6221" s="5"/>
    </row>
    <row r="6222" spans="13:13" ht="15" customHeight="1" x14ac:dyDescent="0.3">
      <c r="M6222" s="5"/>
    </row>
    <row r="6223" spans="13:13" ht="15" customHeight="1" x14ac:dyDescent="0.3">
      <c r="M6223" s="5"/>
    </row>
    <row r="6224" spans="13:13" ht="15" customHeight="1" x14ac:dyDescent="0.3">
      <c r="M6224" s="5"/>
    </row>
    <row r="6225" spans="13:13" ht="15" customHeight="1" x14ac:dyDescent="0.3">
      <c r="M6225" s="5"/>
    </row>
    <row r="6226" spans="13:13" ht="15" customHeight="1" x14ac:dyDescent="0.3">
      <c r="M6226" s="5"/>
    </row>
    <row r="6227" spans="13:13" ht="15" customHeight="1" x14ac:dyDescent="0.3">
      <c r="M6227" s="5"/>
    </row>
    <row r="6228" spans="13:13" ht="15" customHeight="1" x14ac:dyDescent="0.3">
      <c r="M6228" s="5"/>
    </row>
    <row r="6229" spans="13:13" ht="15" customHeight="1" x14ac:dyDescent="0.3">
      <c r="M6229" s="5"/>
    </row>
    <row r="6230" spans="13:13" ht="15" customHeight="1" x14ac:dyDescent="0.3">
      <c r="M6230" s="5"/>
    </row>
    <row r="6231" spans="13:13" ht="15" customHeight="1" x14ac:dyDescent="0.3">
      <c r="M6231" s="5"/>
    </row>
    <row r="6232" spans="13:13" ht="15" customHeight="1" x14ac:dyDescent="0.3">
      <c r="M6232" s="5"/>
    </row>
    <row r="6233" spans="13:13" ht="15" customHeight="1" x14ac:dyDescent="0.3">
      <c r="M6233" s="5"/>
    </row>
    <row r="6234" spans="13:13" ht="15" customHeight="1" x14ac:dyDescent="0.3">
      <c r="M6234" s="5"/>
    </row>
    <row r="6235" spans="13:13" ht="15" customHeight="1" x14ac:dyDescent="0.3">
      <c r="M6235" s="5"/>
    </row>
    <row r="6236" spans="13:13" ht="15" customHeight="1" x14ac:dyDescent="0.3">
      <c r="M6236" s="5"/>
    </row>
    <row r="6237" spans="13:13" ht="15" customHeight="1" x14ac:dyDescent="0.3">
      <c r="M6237" s="5"/>
    </row>
    <row r="6238" spans="13:13" ht="15" customHeight="1" x14ac:dyDescent="0.3">
      <c r="M6238" s="5"/>
    </row>
    <row r="6239" spans="13:13" ht="15" customHeight="1" x14ac:dyDescent="0.3">
      <c r="M6239" s="5"/>
    </row>
    <row r="6240" spans="13:13" ht="15" customHeight="1" x14ac:dyDescent="0.3">
      <c r="M6240" s="5"/>
    </row>
    <row r="6241" spans="13:13" ht="15" customHeight="1" x14ac:dyDescent="0.3">
      <c r="M6241" s="5"/>
    </row>
    <row r="6242" spans="13:13" ht="15" customHeight="1" x14ac:dyDescent="0.3">
      <c r="M6242" s="5"/>
    </row>
    <row r="6243" spans="13:13" ht="15" customHeight="1" x14ac:dyDescent="0.3">
      <c r="M6243" s="5"/>
    </row>
    <row r="6244" spans="13:13" ht="15" customHeight="1" x14ac:dyDescent="0.3">
      <c r="M6244" s="5"/>
    </row>
    <row r="6245" spans="13:13" ht="15" customHeight="1" x14ac:dyDescent="0.3">
      <c r="M6245" s="5"/>
    </row>
    <row r="6246" spans="13:13" ht="15" customHeight="1" x14ac:dyDescent="0.3">
      <c r="M6246" s="5"/>
    </row>
    <row r="6247" spans="13:13" ht="15" customHeight="1" x14ac:dyDescent="0.3">
      <c r="M6247" s="5"/>
    </row>
    <row r="6248" spans="13:13" ht="15" customHeight="1" x14ac:dyDescent="0.3">
      <c r="M6248" s="5"/>
    </row>
    <row r="6249" spans="13:13" ht="15" customHeight="1" x14ac:dyDescent="0.3">
      <c r="M6249" s="5"/>
    </row>
    <row r="6250" spans="13:13" ht="15" customHeight="1" x14ac:dyDescent="0.3">
      <c r="M6250" s="5"/>
    </row>
    <row r="6251" spans="13:13" ht="15" customHeight="1" x14ac:dyDescent="0.3">
      <c r="M6251" s="5"/>
    </row>
    <row r="6252" spans="13:13" ht="15" customHeight="1" x14ac:dyDescent="0.3">
      <c r="M6252" s="5"/>
    </row>
    <row r="6253" spans="13:13" ht="15" customHeight="1" x14ac:dyDescent="0.3">
      <c r="M6253" s="5"/>
    </row>
    <row r="6254" spans="13:13" ht="15" customHeight="1" x14ac:dyDescent="0.3">
      <c r="M6254" s="5"/>
    </row>
    <row r="6255" spans="13:13" ht="15" customHeight="1" x14ac:dyDescent="0.3">
      <c r="M6255" s="5"/>
    </row>
    <row r="6256" spans="13:13" ht="15" customHeight="1" x14ac:dyDescent="0.3">
      <c r="M6256" s="5"/>
    </row>
    <row r="6257" spans="13:13" ht="15" customHeight="1" x14ac:dyDescent="0.3">
      <c r="M6257" s="5"/>
    </row>
    <row r="6258" spans="13:13" ht="15" customHeight="1" x14ac:dyDescent="0.3">
      <c r="M6258" s="5"/>
    </row>
    <row r="6259" spans="13:13" ht="15" customHeight="1" x14ac:dyDescent="0.3">
      <c r="M6259" s="5"/>
    </row>
    <row r="6260" spans="13:13" ht="15" customHeight="1" x14ac:dyDescent="0.3">
      <c r="M6260" s="5"/>
    </row>
    <row r="6261" spans="13:13" ht="15" customHeight="1" x14ac:dyDescent="0.3">
      <c r="M6261" s="5"/>
    </row>
    <row r="6262" spans="13:13" ht="15" customHeight="1" x14ac:dyDescent="0.3">
      <c r="M6262" s="5"/>
    </row>
    <row r="6263" spans="13:13" ht="15" customHeight="1" x14ac:dyDescent="0.3">
      <c r="M6263" s="5"/>
    </row>
    <row r="6264" spans="13:13" ht="15" customHeight="1" x14ac:dyDescent="0.3">
      <c r="M6264" s="5"/>
    </row>
    <row r="6265" spans="13:13" ht="15" customHeight="1" x14ac:dyDescent="0.3">
      <c r="M6265" s="5"/>
    </row>
    <row r="6266" spans="13:13" ht="15" customHeight="1" x14ac:dyDescent="0.3">
      <c r="M6266" s="5"/>
    </row>
    <row r="6267" spans="13:13" ht="15" customHeight="1" x14ac:dyDescent="0.3">
      <c r="M6267" s="5"/>
    </row>
    <row r="6268" spans="13:13" ht="15" customHeight="1" x14ac:dyDescent="0.3">
      <c r="M6268" s="5"/>
    </row>
    <row r="6269" spans="13:13" ht="15" customHeight="1" x14ac:dyDescent="0.3">
      <c r="M6269" s="5"/>
    </row>
    <row r="6270" spans="13:13" ht="15" customHeight="1" x14ac:dyDescent="0.3">
      <c r="M6270" s="5"/>
    </row>
    <row r="6271" spans="13:13" ht="15" customHeight="1" x14ac:dyDescent="0.3">
      <c r="M6271" s="5"/>
    </row>
    <row r="6272" spans="13:13" ht="15" customHeight="1" x14ac:dyDescent="0.3">
      <c r="M6272" s="5"/>
    </row>
    <row r="6273" spans="13:13" ht="15" customHeight="1" x14ac:dyDescent="0.3">
      <c r="M6273" s="5"/>
    </row>
    <row r="6274" spans="13:13" ht="15" customHeight="1" x14ac:dyDescent="0.3">
      <c r="M6274" s="5"/>
    </row>
    <row r="6275" spans="13:13" ht="15" customHeight="1" x14ac:dyDescent="0.3">
      <c r="M6275" s="5"/>
    </row>
    <row r="6276" spans="13:13" ht="15" customHeight="1" x14ac:dyDescent="0.3">
      <c r="M6276" s="5"/>
    </row>
    <row r="6277" spans="13:13" ht="15" customHeight="1" x14ac:dyDescent="0.3">
      <c r="M6277" s="5"/>
    </row>
    <row r="6278" spans="13:13" ht="15" customHeight="1" x14ac:dyDescent="0.3">
      <c r="M6278" s="5"/>
    </row>
    <row r="6279" spans="13:13" ht="15" customHeight="1" x14ac:dyDescent="0.3">
      <c r="M6279" s="5"/>
    </row>
    <row r="6280" spans="13:13" ht="15" customHeight="1" x14ac:dyDescent="0.3">
      <c r="M6280" s="5"/>
    </row>
    <row r="6281" spans="13:13" ht="15" customHeight="1" x14ac:dyDescent="0.3">
      <c r="M6281" s="5"/>
    </row>
    <row r="6282" spans="13:13" ht="15" customHeight="1" x14ac:dyDescent="0.3">
      <c r="M6282" s="5"/>
    </row>
    <row r="6283" spans="13:13" ht="15" customHeight="1" x14ac:dyDescent="0.3">
      <c r="M6283" s="5"/>
    </row>
    <row r="6284" spans="13:13" ht="15" customHeight="1" x14ac:dyDescent="0.3">
      <c r="M6284" s="5"/>
    </row>
    <row r="6285" spans="13:13" ht="15" customHeight="1" x14ac:dyDescent="0.3">
      <c r="M6285" s="5"/>
    </row>
    <row r="6286" spans="13:13" ht="15" customHeight="1" x14ac:dyDescent="0.3">
      <c r="M6286" s="5"/>
    </row>
    <row r="6287" spans="13:13" ht="15" customHeight="1" x14ac:dyDescent="0.3">
      <c r="M6287" s="5"/>
    </row>
    <row r="6288" spans="13:13" ht="15" customHeight="1" x14ac:dyDescent="0.3">
      <c r="M6288" s="5"/>
    </row>
    <row r="6289" spans="13:13" ht="15" customHeight="1" x14ac:dyDescent="0.3">
      <c r="M6289" s="5"/>
    </row>
    <row r="6290" spans="13:13" ht="15" customHeight="1" x14ac:dyDescent="0.3">
      <c r="M6290" s="5"/>
    </row>
    <row r="6291" spans="13:13" ht="15" customHeight="1" x14ac:dyDescent="0.3">
      <c r="M6291" s="5"/>
    </row>
    <row r="6292" spans="13:13" ht="15" customHeight="1" x14ac:dyDescent="0.3">
      <c r="M6292" s="5"/>
    </row>
    <row r="6293" spans="13:13" ht="15" customHeight="1" x14ac:dyDescent="0.3">
      <c r="M6293" s="5"/>
    </row>
    <row r="6294" spans="13:13" ht="15" customHeight="1" x14ac:dyDescent="0.3">
      <c r="M6294" s="5"/>
    </row>
    <row r="6295" spans="13:13" ht="15" customHeight="1" x14ac:dyDescent="0.3">
      <c r="M6295" s="5"/>
    </row>
    <row r="6296" spans="13:13" ht="15" customHeight="1" x14ac:dyDescent="0.3">
      <c r="M6296" s="5"/>
    </row>
    <row r="6297" spans="13:13" ht="15" customHeight="1" x14ac:dyDescent="0.3">
      <c r="M6297" s="5"/>
    </row>
    <row r="6298" spans="13:13" ht="15" customHeight="1" x14ac:dyDescent="0.3">
      <c r="M6298" s="5"/>
    </row>
    <row r="6299" spans="13:13" ht="15" customHeight="1" x14ac:dyDescent="0.3">
      <c r="M6299" s="5"/>
    </row>
    <row r="6300" spans="13:13" ht="15" customHeight="1" x14ac:dyDescent="0.3">
      <c r="M6300" s="5"/>
    </row>
    <row r="6301" spans="13:13" ht="15" customHeight="1" x14ac:dyDescent="0.3">
      <c r="M6301" s="5"/>
    </row>
    <row r="6302" spans="13:13" ht="15" customHeight="1" x14ac:dyDescent="0.3">
      <c r="M6302" s="5"/>
    </row>
    <row r="6303" spans="13:13" ht="15" customHeight="1" x14ac:dyDescent="0.3">
      <c r="M6303" s="5"/>
    </row>
    <row r="6304" spans="13:13" ht="15" customHeight="1" x14ac:dyDescent="0.3">
      <c r="M6304" s="5"/>
    </row>
    <row r="6305" spans="13:13" ht="15" customHeight="1" x14ac:dyDescent="0.3">
      <c r="M6305" s="5"/>
    </row>
    <row r="6306" spans="13:13" ht="15" customHeight="1" x14ac:dyDescent="0.3">
      <c r="M6306" s="5"/>
    </row>
    <row r="6307" spans="13:13" ht="15" customHeight="1" x14ac:dyDescent="0.3">
      <c r="M6307" s="5"/>
    </row>
    <row r="6308" spans="13:13" ht="15" customHeight="1" x14ac:dyDescent="0.3">
      <c r="M6308" s="5"/>
    </row>
    <row r="6309" spans="13:13" ht="15" customHeight="1" x14ac:dyDescent="0.3">
      <c r="M6309" s="5"/>
    </row>
    <row r="6310" spans="13:13" ht="15" customHeight="1" x14ac:dyDescent="0.3">
      <c r="M6310" s="5"/>
    </row>
    <row r="6311" spans="13:13" ht="15" customHeight="1" x14ac:dyDescent="0.3">
      <c r="M6311" s="5"/>
    </row>
    <row r="6312" spans="13:13" ht="15" customHeight="1" x14ac:dyDescent="0.3">
      <c r="M6312" s="5"/>
    </row>
    <row r="6313" spans="13:13" ht="15" customHeight="1" x14ac:dyDescent="0.3">
      <c r="M6313" s="5"/>
    </row>
    <row r="6314" spans="13:13" ht="15" customHeight="1" x14ac:dyDescent="0.3">
      <c r="M6314" s="5"/>
    </row>
    <row r="6315" spans="13:13" ht="15" customHeight="1" x14ac:dyDescent="0.3">
      <c r="M6315" s="5"/>
    </row>
    <row r="6316" spans="13:13" ht="15" customHeight="1" x14ac:dyDescent="0.3">
      <c r="M6316" s="5"/>
    </row>
    <row r="6317" spans="13:13" ht="15" customHeight="1" x14ac:dyDescent="0.3">
      <c r="M6317" s="5"/>
    </row>
    <row r="6318" spans="13:13" ht="15" customHeight="1" x14ac:dyDescent="0.3">
      <c r="M6318" s="5"/>
    </row>
    <row r="6319" spans="13:13" ht="15" customHeight="1" x14ac:dyDescent="0.3">
      <c r="M6319" s="5"/>
    </row>
    <row r="6320" spans="13:13" ht="15" customHeight="1" x14ac:dyDescent="0.3">
      <c r="M6320" s="5"/>
    </row>
    <row r="6321" spans="13:13" ht="15" customHeight="1" x14ac:dyDescent="0.3">
      <c r="M6321" s="5"/>
    </row>
    <row r="6322" spans="13:13" ht="15" customHeight="1" x14ac:dyDescent="0.3">
      <c r="M6322" s="5"/>
    </row>
    <row r="6323" spans="13:13" ht="15" customHeight="1" x14ac:dyDescent="0.3">
      <c r="M6323" s="5"/>
    </row>
    <row r="6324" spans="13:13" ht="15" customHeight="1" x14ac:dyDescent="0.3">
      <c r="M6324" s="5"/>
    </row>
    <row r="6325" spans="13:13" ht="15" customHeight="1" x14ac:dyDescent="0.3">
      <c r="M6325" s="5"/>
    </row>
    <row r="6326" spans="13:13" ht="15" customHeight="1" x14ac:dyDescent="0.3">
      <c r="M6326" s="5"/>
    </row>
    <row r="6327" spans="13:13" ht="15" customHeight="1" x14ac:dyDescent="0.3">
      <c r="M6327" s="5"/>
    </row>
    <row r="6328" spans="13:13" ht="15" customHeight="1" x14ac:dyDescent="0.3">
      <c r="M6328" s="5"/>
    </row>
    <row r="6329" spans="13:13" ht="15" customHeight="1" x14ac:dyDescent="0.3">
      <c r="M6329" s="5"/>
    </row>
    <row r="6330" spans="13:13" ht="15" customHeight="1" x14ac:dyDescent="0.3">
      <c r="M6330" s="5"/>
    </row>
    <row r="6331" spans="13:13" ht="15" customHeight="1" x14ac:dyDescent="0.3">
      <c r="M6331" s="5"/>
    </row>
    <row r="6332" spans="13:13" ht="15" customHeight="1" x14ac:dyDescent="0.3">
      <c r="M6332" s="5"/>
    </row>
    <row r="6333" spans="13:13" ht="15" customHeight="1" x14ac:dyDescent="0.3">
      <c r="M6333" s="5"/>
    </row>
    <row r="6334" spans="13:13" ht="15" customHeight="1" x14ac:dyDescent="0.3">
      <c r="M6334" s="5"/>
    </row>
    <row r="6335" spans="13:13" ht="15" customHeight="1" x14ac:dyDescent="0.3">
      <c r="M6335" s="5"/>
    </row>
    <row r="6336" spans="13:13" ht="15" customHeight="1" x14ac:dyDescent="0.3">
      <c r="M6336" s="5"/>
    </row>
    <row r="6337" spans="13:13" ht="15" customHeight="1" x14ac:dyDescent="0.3">
      <c r="M6337" s="5"/>
    </row>
    <row r="6338" spans="13:13" ht="15" customHeight="1" x14ac:dyDescent="0.3">
      <c r="M6338" s="5"/>
    </row>
    <row r="6339" spans="13:13" ht="15" customHeight="1" x14ac:dyDescent="0.3">
      <c r="M6339" s="5"/>
    </row>
    <row r="6340" spans="13:13" ht="15" customHeight="1" x14ac:dyDescent="0.3">
      <c r="M6340" s="5"/>
    </row>
    <row r="6341" spans="13:13" ht="15" customHeight="1" x14ac:dyDescent="0.3">
      <c r="M6341" s="5"/>
    </row>
    <row r="6342" spans="13:13" ht="15" customHeight="1" x14ac:dyDescent="0.3">
      <c r="M6342" s="5"/>
    </row>
    <row r="6343" spans="13:13" ht="15" customHeight="1" x14ac:dyDescent="0.3">
      <c r="M6343" s="5"/>
    </row>
    <row r="6344" spans="13:13" ht="15" customHeight="1" x14ac:dyDescent="0.3">
      <c r="M6344" s="5"/>
    </row>
    <row r="6345" spans="13:13" ht="15" customHeight="1" x14ac:dyDescent="0.3">
      <c r="M6345" s="5"/>
    </row>
    <row r="6346" spans="13:13" ht="15" customHeight="1" x14ac:dyDescent="0.3">
      <c r="M6346" s="5"/>
    </row>
    <row r="6347" spans="13:13" ht="15" customHeight="1" x14ac:dyDescent="0.3">
      <c r="M6347" s="5"/>
    </row>
    <row r="6348" spans="13:13" ht="15" customHeight="1" x14ac:dyDescent="0.3">
      <c r="M6348" s="5"/>
    </row>
    <row r="6349" spans="13:13" ht="15" customHeight="1" x14ac:dyDescent="0.3">
      <c r="M6349" s="5"/>
    </row>
    <row r="6350" spans="13:13" ht="15" customHeight="1" x14ac:dyDescent="0.3">
      <c r="M6350" s="5"/>
    </row>
    <row r="6351" spans="13:13" ht="15" customHeight="1" x14ac:dyDescent="0.3">
      <c r="M6351" s="5"/>
    </row>
    <row r="6352" spans="13:13" ht="15" customHeight="1" x14ac:dyDescent="0.3">
      <c r="M6352" s="5"/>
    </row>
    <row r="6353" spans="13:13" ht="15" customHeight="1" x14ac:dyDescent="0.3">
      <c r="M6353" s="5"/>
    </row>
    <row r="6354" spans="13:13" ht="15" customHeight="1" x14ac:dyDescent="0.3">
      <c r="M6354" s="5"/>
    </row>
    <row r="6355" spans="13:13" ht="15" customHeight="1" x14ac:dyDescent="0.3">
      <c r="M6355" s="5"/>
    </row>
    <row r="6356" spans="13:13" ht="15" customHeight="1" x14ac:dyDescent="0.3">
      <c r="M6356" s="5"/>
    </row>
    <row r="6357" spans="13:13" ht="15" customHeight="1" x14ac:dyDescent="0.3">
      <c r="M6357" s="5"/>
    </row>
    <row r="6358" spans="13:13" ht="15" customHeight="1" x14ac:dyDescent="0.3">
      <c r="M6358" s="5"/>
    </row>
    <row r="6359" spans="13:13" ht="15" customHeight="1" x14ac:dyDescent="0.3">
      <c r="M6359" s="5"/>
    </row>
    <row r="6360" spans="13:13" ht="15" customHeight="1" x14ac:dyDescent="0.3">
      <c r="M6360" s="5"/>
    </row>
    <row r="6361" spans="13:13" ht="15" customHeight="1" x14ac:dyDescent="0.3">
      <c r="M6361" s="5"/>
    </row>
    <row r="6362" spans="13:13" ht="15" customHeight="1" x14ac:dyDescent="0.3">
      <c r="M6362" s="5"/>
    </row>
    <row r="6363" spans="13:13" ht="15" customHeight="1" x14ac:dyDescent="0.3">
      <c r="M6363" s="5"/>
    </row>
    <row r="6364" spans="13:13" ht="15" customHeight="1" x14ac:dyDescent="0.3">
      <c r="M6364" s="5"/>
    </row>
    <row r="6365" spans="13:13" ht="15" customHeight="1" x14ac:dyDescent="0.3">
      <c r="M6365" s="5"/>
    </row>
    <row r="6366" spans="13:13" ht="15" customHeight="1" x14ac:dyDescent="0.3">
      <c r="M6366" s="5"/>
    </row>
    <row r="6367" spans="13:13" ht="15" customHeight="1" x14ac:dyDescent="0.3">
      <c r="M6367" s="5"/>
    </row>
    <row r="6368" spans="13:13" ht="15" customHeight="1" x14ac:dyDescent="0.3">
      <c r="M6368" s="5"/>
    </row>
    <row r="6369" spans="13:13" ht="15" customHeight="1" x14ac:dyDescent="0.3">
      <c r="M6369" s="5"/>
    </row>
    <row r="6370" spans="13:13" ht="15" customHeight="1" x14ac:dyDescent="0.3">
      <c r="M6370" s="5"/>
    </row>
    <row r="6371" spans="13:13" ht="15" customHeight="1" x14ac:dyDescent="0.3">
      <c r="M6371" s="5"/>
    </row>
    <row r="6372" spans="13:13" ht="15" customHeight="1" x14ac:dyDescent="0.3">
      <c r="M6372" s="5"/>
    </row>
    <row r="6373" spans="13:13" ht="15" customHeight="1" x14ac:dyDescent="0.3">
      <c r="M6373" s="5"/>
    </row>
    <row r="6374" spans="13:13" ht="15" customHeight="1" x14ac:dyDescent="0.3">
      <c r="M6374" s="5"/>
    </row>
    <row r="6375" spans="13:13" ht="15" customHeight="1" x14ac:dyDescent="0.3">
      <c r="M6375" s="5"/>
    </row>
    <row r="6376" spans="13:13" ht="15" customHeight="1" x14ac:dyDescent="0.3">
      <c r="M6376" s="5"/>
    </row>
    <row r="6377" spans="13:13" ht="15" customHeight="1" x14ac:dyDescent="0.3">
      <c r="M6377" s="5"/>
    </row>
    <row r="6378" spans="13:13" ht="15" customHeight="1" x14ac:dyDescent="0.3">
      <c r="M6378" s="5"/>
    </row>
    <row r="6379" spans="13:13" ht="15" customHeight="1" x14ac:dyDescent="0.3">
      <c r="M6379" s="5"/>
    </row>
    <row r="6380" spans="13:13" ht="15" customHeight="1" x14ac:dyDescent="0.3">
      <c r="M6380" s="5"/>
    </row>
    <row r="6381" spans="13:13" ht="15" customHeight="1" x14ac:dyDescent="0.3">
      <c r="M6381" s="5"/>
    </row>
    <row r="6382" spans="13:13" ht="15" customHeight="1" x14ac:dyDescent="0.3">
      <c r="M6382" s="5"/>
    </row>
    <row r="6383" spans="13:13" ht="15" customHeight="1" x14ac:dyDescent="0.3">
      <c r="M6383" s="5"/>
    </row>
    <row r="6384" spans="13:13" ht="15" customHeight="1" x14ac:dyDescent="0.3">
      <c r="M6384" s="5"/>
    </row>
    <row r="6385" spans="13:13" ht="15" customHeight="1" x14ac:dyDescent="0.3">
      <c r="M6385" s="5"/>
    </row>
    <row r="6386" spans="13:13" ht="15" customHeight="1" x14ac:dyDescent="0.3">
      <c r="M6386" s="5"/>
    </row>
    <row r="6387" spans="13:13" ht="15" customHeight="1" x14ac:dyDescent="0.3">
      <c r="M6387" s="5"/>
    </row>
    <row r="6388" spans="13:13" ht="15" customHeight="1" x14ac:dyDescent="0.3">
      <c r="M6388" s="5"/>
    </row>
    <row r="6389" spans="13:13" ht="15" customHeight="1" x14ac:dyDescent="0.3">
      <c r="M6389" s="5"/>
    </row>
    <row r="6390" spans="13:13" ht="15" customHeight="1" x14ac:dyDescent="0.3">
      <c r="M6390" s="5"/>
    </row>
    <row r="6391" spans="13:13" ht="15" customHeight="1" x14ac:dyDescent="0.3">
      <c r="M6391" s="5"/>
    </row>
    <row r="6392" spans="13:13" ht="15" customHeight="1" x14ac:dyDescent="0.3">
      <c r="M6392" s="5"/>
    </row>
    <row r="6393" spans="13:13" ht="15" customHeight="1" x14ac:dyDescent="0.3">
      <c r="M6393" s="5"/>
    </row>
    <row r="6394" spans="13:13" ht="15" customHeight="1" x14ac:dyDescent="0.3">
      <c r="M6394" s="5"/>
    </row>
    <row r="6395" spans="13:13" ht="15" customHeight="1" x14ac:dyDescent="0.3">
      <c r="M6395" s="5"/>
    </row>
    <row r="6396" spans="13:13" ht="15" customHeight="1" x14ac:dyDescent="0.3">
      <c r="M6396" s="5"/>
    </row>
    <row r="6397" spans="13:13" ht="15" customHeight="1" x14ac:dyDescent="0.3">
      <c r="M6397" s="5"/>
    </row>
    <row r="6398" spans="13:13" ht="15" customHeight="1" x14ac:dyDescent="0.3">
      <c r="M6398" s="5"/>
    </row>
    <row r="6399" spans="13:13" ht="15" customHeight="1" x14ac:dyDescent="0.3">
      <c r="M6399" s="5"/>
    </row>
    <row r="6400" spans="13:13" ht="15" customHeight="1" x14ac:dyDescent="0.3">
      <c r="M6400" s="5"/>
    </row>
    <row r="6401" spans="13:13" ht="15" customHeight="1" x14ac:dyDescent="0.3">
      <c r="M6401" s="5"/>
    </row>
    <row r="6402" spans="13:13" ht="15" customHeight="1" x14ac:dyDescent="0.3">
      <c r="M6402" s="5"/>
    </row>
    <row r="6403" spans="13:13" ht="15" customHeight="1" x14ac:dyDescent="0.3">
      <c r="M6403" s="5"/>
    </row>
    <row r="6404" spans="13:13" ht="15" customHeight="1" x14ac:dyDescent="0.3">
      <c r="M6404" s="5"/>
    </row>
    <row r="6405" spans="13:13" ht="15" customHeight="1" x14ac:dyDescent="0.3">
      <c r="M6405" s="5"/>
    </row>
    <row r="6406" spans="13:13" ht="15" customHeight="1" x14ac:dyDescent="0.3">
      <c r="M6406" s="5"/>
    </row>
    <row r="6407" spans="13:13" ht="15" customHeight="1" x14ac:dyDescent="0.3">
      <c r="M6407" s="5"/>
    </row>
    <row r="6408" spans="13:13" ht="15" customHeight="1" x14ac:dyDescent="0.3">
      <c r="M6408" s="5"/>
    </row>
    <row r="6409" spans="13:13" ht="15" customHeight="1" x14ac:dyDescent="0.3">
      <c r="M6409" s="5"/>
    </row>
    <row r="6410" spans="13:13" ht="15" customHeight="1" x14ac:dyDescent="0.3">
      <c r="M6410" s="5"/>
    </row>
    <row r="6411" spans="13:13" ht="15" customHeight="1" x14ac:dyDescent="0.3">
      <c r="M6411" s="5"/>
    </row>
    <row r="6412" spans="13:13" ht="15" customHeight="1" x14ac:dyDescent="0.3">
      <c r="M6412" s="5"/>
    </row>
    <row r="6413" spans="13:13" ht="15" customHeight="1" x14ac:dyDescent="0.3">
      <c r="M6413" s="5"/>
    </row>
    <row r="6414" spans="13:13" ht="15" customHeight="1" x14ac:dyDescent="0.3">
      <c r="M6414" s="5"/>
    </row>
    <row r="6415" spans="13:13" ht="15" customHeight="1" x14ac:dyDescent="0.3">
      <c r="M6415" s="5"/>
    </row>
    <row r="6416" spans="13:13" ht="15" customHeight="1" x14ac:dyDescent="0.3">
      <c r="M6416" s="5"/>
    </row>
    <row r="6417" spans="13:13" ht="15" customHeight="1" x14ac:dyDescent="0.3">
      <c r="M6417" s="5"/>
    </row>
    <row r="6418" spans="13:13" ht="15" customHeight="1" x14ac:dyDescent="0.3">
      <c r="M6418" s="5"/>
    </row>
    <row r="6419" spans="13:13" ht="15" customHeight="1" x14ac:dyDescent="0.3">
      <c r="M6419" s="5"/>
    </row>
    <row r="6420" spans="13:13" ht="15" customHeight="1" x14ac:dyDescent="0.3">
      <c r="M6420" s="5"/>
    </row>
    <row r="6421" spans="13:13" ht="15" customHeight="1" x14ac:dyDescent="0.3">
      <c r="M6421" s="5"/>
    </row>
    <row r="6422" spans="13:13" ht="15" customHeight="1" x14ac:dyDescent="0.3">
      <c r="M6422" s="5"/>
    </row>
    <row r="6423" spans="13:13" ht="15" customHeight="1" x14ac:dyDescent="0.3">
      <c r="M6423" s="5"/>
    </row>
    <row r="6424" spans="13:13" ht="15" customHeight="1" x14ac:dyDescent="0.3">
      <c r="M6424" s="5"/>
    </row>
    <row r="6425" spans="13:13" ht="15" customHeight="1" x14ac:dyDescent="0.3">
      <c r="M6425" s="5"/>
    </row>
    <row r="6426" spans="13:13" ht="15" customHeight="1" x14ac:dyDescent="0.3">
      <c r="M6426" s="5"/>
    </row>
    <row r="6427" spans="13:13" ht="15" customHeight="1" x14ac:dyDescent="0.3">
      <c r="M6427" s="5"/>
    </row>
    <row r="6428" spans="13:13" ht="15" customHeight="1" x14ac:dyDescent="0.3">
      <c r="M6428" s="5"/>
    </row>
    <row r="6429" spans="13:13" ht="15" customHeight="1" x14ac:dyDescent="0.3">
      <c r="M6429" s="5"/>
    </row>
    <row r="6430" spans="13:13" ht="15" customHeight="1" x14ac:dyDescent="0.3">
      <c r="M6430" s="5"/>
    </row>
    <row r="6431" spans="13:13" ht="15" customHeight="1" x14ac:dyDescent="0.3">
      <c r="M6431" s="5"/>
    </row>
    <row r="6432" spans="13:13" ht="15" customHeight="1" x14ac:dyDescent="0.3">
      <c r="M6432" s="5"/>
    </row>
    <row r="6433" spans="13:13" ht="15" customHeight="1" x14ac:dyDescent="0.3">
      <c r="M6433" s="5"/>
    </row>
    <row r="6434" spans="13:13" ht="15" customHeight="1" x14ac:dyDescent="0.3">
      <c r="M6434" s="5"/>
    </row>
    <row r="6435" spans="13:13" ht="15" customHeight="1" x14ac:dyDescent="0.3">
      <c r="M6435" s="5"/>
    </row>
    <row r="6436" spans="13:13" ht="15" customHeight="1" x14ac:dyDescent="0.3">
      <c r="M6436" s="5"/>
    </row>
    <row r="6437" spans="13:13" ht="15" customHeight="1" x14ac:dyDescent="0.3">
      <c r="M6437" s="5"/>
    </row>
    <row r="6438" spans="13:13" ht="15" customHeight="1" x14ac:dyDescent="0.3">
      <c r="M6438" s="5"/>
    </row>
    <row r="6439" spans="13:13" ht="15" customHeight="1" x14ac:dyDescent="0.3">
      <c r="M6439" s="5"/>
    </row>
    <row r="6440" spans="13:13" ht="15" customHeight="1" x14ac:dyDescent="0.3">
      <c r="M6440" s="5"/>
    </row>
    <row r="6441" spans="13:13" ht="15" customHeight="1" x14ac:dyDescent="0.3">
      <c r="M6441" s="5"/>
    </row>
    <row r="6442" spans="13:13" ht="15" customHeight="1" x14ac:dyDescent="0.3">
      <c r="M6442" s="5"/>
    </row>
    <row r="6443" spans="13:13" ht="15" customHeight="1" x14ac:dyDescent="0.3">
      <c r="M6443" s="5"/>
    </row>
    <row r="6444" spans="13:13" ht="15" customHeight="1" x14ac:dyDescent="0.3">
      <c r="M6444" s="5"/>
    </row>
    <row r="6445" spans="13:13" ht="15" customHeight="1" x14ac:dyDescent="0.3">
      <c r="M6445" s="5"/>
    </row>
    <row r="6446" spans="13:13" ht="15" customHeight="1" x14ac:dyDescent="0.3">
      <c r="M6446" s="5"/>
    </row>
    <row r="6447" spans="13:13" ht="15" customHeight="1" x14ac:dyDescent="0.3">
      <c r="M6447" s="5"/>
    </row>
    <row r="6448" spans="13:13" ht="15" customHeight="1" x14ac:dyDescent="0.3">
      <c r="M6448" s="5"/>
    </row>
    <row r="6449" spans="13:13" ht="15" customHeight="1" x14ac:dyDescent="0.3">
      <c r="M6449" s="5"/>
    </row>
    <row r="6450" spans="13:13" ht="15" customHeight="1" x14ac:dyDescent="0.3">
      <c r="M6450" s="5"/>
    </row>
    <row r="6451" spans="13:13" ht="15" customHeight="1" x14ac:dyDescent="0.3">
      <c r="M6451" s="5"/>
    </row>
    <row r="6452" spans="13:13" ht="15" customHeight="1" x14ac:dyDescent="0.3">
      <c r="M6452" s="5"/>
    </row>
    <row r="6453" spans="13:13" ht="15" customHeight="1" x14ac:dyDescent="0.3">
      <c r="M6453" s="5"/>
    </row>
    <row r="6454" spans="13:13" ht="15" customHeight="1" x14ac:dyDescent="0.3">
      <c r="M6454" s="5"/>
    </row>
    <row r="6455" spans="13:13" ht="15" customHeight="1" x14ac:dyDescent="0.3">
      <c r="M6455" s="5"/>
    </row>
    <row r="6456" spans="13:13" ht="15" customHeight="1" x14ac:dyDescent="0.3">
      <c r="M6456" s="5"/>
    </row>
    <row r="6457" spans="13:13" ht="15" customHeight="1" x14ac:dyDescent="0.3">
      <c r="M6457" s="5"/>
    </row>
    <row r="6458" spans="13:13" ht="15" customHeight="1" x14ac:dyDescent="0.3">
      <c r="M6458" s="5"/>
    </row>
    <row r="6459" spans="13:13" ht="15" customHeight="1" x14ac:dyDescent="0.3">
      <c r="M6459" s="5"/>
    </row>
    <row r="6460" spans="13:13" ht="15" customHeight="1" x14ac:dyDescent="0.3">
      <c r="M6460" s="5"/>
    </row>
    <row r="6461" spans="13:13" ht="15" customHeight="1" x14ac:dyDescent="0.3">
      <c r="M6461" s="5"/>
    </row>
    <row r="6462" spans="13:13" ht="15" customHeight="1" x14ac:dyDescent="0.3">
      <c r="M6462" s="5"/>
    </row>
    <row r="6463" spans="13:13" ht="15" customHeight="1" x14ac:dyDescent="0.3">
      <c r="M6463" s="5"/>
    </row>
    <row r="6464" spans="13:13" ht="15" customHeight="1" x14ac:dyDescent="0.3">
      <c r="M6464" s="5"/>
    </row>
    <row r="6465" spans="13:13" ht="15" customHeight="1" x14ac:dyDescent="0.3">
      <c r="M6465" s="5"/>
    </row>
    <row r="6466" spans="13:13" ht="15" customHeight="1" x14ac:dyDescent="0.3">
      <c r="M6466" s="5"/>
    </row>
    <row r="6467" spans="13:13" ht="15" customHeight="1" x14ac:dyDescent="0.3">
      <c r="M6467" s="5"/>
    </row>
    <row r="6468" spans="13:13" ht="15" customHeight="1" x14ac:dyDescent="0.3">
      <c r="M6468" s="5"/>
    </row>
    <row r="6469" spans="13:13" ht="15" customHeight="1" x14ac:dyDescent="0.3">
      <c r="M6469" s="5"/>
    </row>
    <row r="6470" spans="13:13" ht="15" customHeight="1" x14ac:dyDescent="0.3">
      <c r="M6470" s="5"/>
    </row>
    <row r="6471" spans="13:13" ht="15" customHeight="1" x14ac:dyDescent="0.3">
      <c r="M6471" s="5"/>
    </row>
    <row r="6472" spans="13:13" ht="15" customHeight="1" x14ac:dyDescent="0.3">
      <c r="M6472" s="5"/>
    </row>
    <row r="6473" spans="13:13" ht="15" customHeight="1" x14ac:dyDescent="0.3">
      <c r="M6473" s="5"/>
    </row>
    <row r="6474" spans="13:13" ht="15" customHeight="1" x14ac:dyDescent="0.3">
      <c r="M6474" s="5"/>
    </row>
    <row r="6475" spans="13:13" ht="15" customHeight="1" x14ac:dyDescent="0.3">
      <c r="M6475" s="5"/>
    </row>
    <row r="6476" spans="13:13" ht="15" customHeight="1" x14ac:dyDescent="0.3">
      <c r="M6476" s="5"/>
    </row>
    <row r="6477" spans="13:13" ht="15" customHeight="1" x14ac:dyDescent="0.3">
      <c r="M6477" s="5"/>
    </row>
    <row r="6478" spans="13:13" ht="15" customHeight="1" x14ac:dyDescent="0.3">
      <c r="M6478" s="5"/>
    </row>
    <row r="6479" spans="13:13" ht="15" customHeight="1" x14ac:dyDescent="0.3">
      <c r="M6479" s="5"/>
    </row>
    <row r="6480" spans="13:13" ht="15" customHeight="1" x14ac:dyDescent="0.3">
      <c r="M6480" s="5"/>
    </row>
    <row r="6481" spans="13:13" ht="15" customHeight="1" x14ac:dyDescent="0.3">
      <c r="M6481" s="5"/>
    </row>
    <row r="6482" spans="13:13" ht="15" customHeight="1" x14ac:dyDescent="0.3">
      <c r="M6482" s="5"/>
    </row>
    <row r="6483" spans="13:13" ht="15" customHeight="1" x14ac:dyDescent="0.3">
      <c r="M6483" s="5"/>
    </row>
    <row r="6484" spans="13:13" ht="15" customHeight="1" x14ac:dyDescent="0.3">
      <c r="M6484" s="5"/>
    </row>
    <row r="6485" spans="13:13" ht="15" customHeight="1" x14ac:dyDescent="0.3">
      <c r="M6485" s="5"/>
    </row>
    <row r="6486" spans="13:13" ht="15" customHeight="1" x14ac:dyDescent="0.3">
      <c r="M6486" s="5"/>
    </row>
    <row r="6487" spans="13:13" ht="15" customHeight="1" x14ac:dyDescent="0.3">
      <c r="M6487" s="5"/>
    </row>
    <row r="6488" spans="13:13" ht="15" customHeight="1" x14ac:dyDescent="0.3">
      <c r="M6488" s="5"/>
    </row>
    <row r="6489" spans="13:13" ht="15" customHeight="1" x14ac:dyDescent="0.3">
      <c r="M6489" s="5"/>
    </row>
    <row r="6490" spans="13:13" ht="15" customHeight="1" x14ac:dyDescent="0.3">
      <c r="M6490" s="5"/>
    </row>
    <row r="6491" spans="13:13" ht="15" customHeight="1" x14ac:dyDescent="0.3">
      <c r="M6491" s="5"/>
    </row>
    <row r="6492" spans="13:13" ht="15" customHeight="1" x14ac:dyDescent="0.3">
      <c r="M6492" s="5"/>
    </row>
    <row r="6493" spans="13:13" ht="15" customHeight="1" x14ac:dyDescent="0.3">
      <c r="M6493" s="5"/>
    </row>
    <row r="6494" spans="13:13" ht="15" customHeight="1" x14ac:dyDescent="0.3">
      <c r="M6494" s="5"/>
    </row>
    <row r="6495" spans="13:13" ht="15" customHeight="1" x14ac:dyDescent="0.3">
      <c r="M6495" s="5"/>
    </row>
    <row r="6496" spans="13:13" ht="15" customHeight="1" x14ac:dyDescent="0.3">
      <c r="M6496" s="5"/>
    </row>
    <row r="6497" spans="13:13" ht="15" customHeight="1" x14ac:dyDescent="0.3">
      <c r="M6497" s="5"/>
    </row>
    <row r="6498" spans="13:13" ht="15" customHeight="1" x14ac:dyDescent="0.3">
      <c r="M6498" s="5"/>
    </row>
    <row r="6499" spans="13:13" ht="15" customHeight="1" x14ac:dyDescent="0.3">
      <c r="M6499" s="5"/>
    </row>
    <row r="6500" spans="13:13" ht="15" customHeight="1" x14ac:dyDescent="0.3">
      <c r="M6500" s="5"/>
    </row>
    <row r="6501" spans="13:13" ht="15" customHeight="1" x14ac:dyDescent="0.3">
      <c r="M6501" s="5"/>
    </row>
    <row r="6502" spans="13:13" ht="15" customHeight="1" x14ac:dyDescent="0.3">
      <c r="M6502" s="5"/>
    </row>
    <row r="6503" spans="13:13" ht="15" customHeight="1" x14ac:dyDescent="0.3">
      <c r="M6503" s="5"/>
    </row>
    <row r="6504" spans="13:13" ht="15" customHeight="1" x14ac:dyDescent="0.3">
      <c r="M6504" s="5"/>
    </row>
    <row r="6505" spans="13:13" ht="15" customHeight="1" x14ac:dyDescent="0.3">
      <c r="M6505" s="5"/>
    </row>
    <row r="6506" spans="13:13" ht="15" customHeight="1" x14ac:dyDescent="0.3">
      <c r="M6506" s="5"/>
    </row>
    <row r="6507" spans="13:13" ht="15" customHeight="1" x14ac:dyDescent="0.3">
      <c r="M6507" s="5"/>
    </row>
    <row r="6508" spans="13:13" ht="15" customHeight="1" x14ac:dyDescent="0.3">
      <c r="M6508" s="5"/>
    </row>
    <row r="6509" spans="13:13" ht="15" customHeight="1" x14ac:dyDescent="0.3">
      <c r="M6509" s="5"/>
    </row>
    <row r="6510" spans="13:13" ht="15" customHeight="1" x14ac:dyDescent="0.3">
      <c r="M6510" s="5"/>
    </row>
    <row r="6511" spans="13:13" ht="15" customHeight="1" x14ac:dyDescent="0.3">
      <c r="M6511" s="5"/>
    </row>
    <row r="6512" spans="13:13" ht="15" customHeight="1" x14ac:dyDescent="0.3">
      <c r="M6512" s="5"/>
    </row>
    <row r="6513" spans="13:13" ht="15" customHeight="1" x14ac:dyDescent="0.3">
      <c r="M6513" s="5"/>
    </row>
    <row r="6514" spans="13:13" ht="15" customHeight="1" x14ac:dyDescent="0.3">
      <c r="M6514" s="5"/>
    </row>
    <row r="6515" spans="13:13" ht="15" customHeight="1" x14ac:dyDescent="0.3">
      <c r="M6515" s="5"/>
    </row>
    <row r="6516" spans="13:13" ht="15" customHeight="1" x14ac:dyDescent="0.3">
      <c r="M6516" s="5"/>
    </row>
    <row r="6517" spans="13:13" ht="15" customHeight="1" x14ac:dyDescent="0.3">
      <c r="M6517" s="5"/>
    </row>
    <row r="6518" spans="13:13" ht="15" customHeight="1" x14ac:dyDescent="0.3">
      <c r="M6518" s="5"/>
    </row>
    <row r="6519" spans="13:13" ht="15" customHeight="1" x14ac:dyDescent="0.3">
      <c r="M6519" s="5"/>
    </row>
    <row r="6520" spans="13:13" ht="15" customHeight="1" x14ac:dyDescent="0.3">
      <c r="M6520" s="5"/>
    </row>
    <row r="6521" spans="13:13" ht="15" customHeight="1" x14ac:dyDescent="0.3">
      <c r="M6521" s="5"/>
    </row>
    <row r="6522" spans="13:13" ht="15" customHeight="1" x14ac:dyDescent="0.3">
      <c r="M6522" s="5"/>
    </row>
    <row r="6523" spans="13:13" ht="15" customHeight="1" x14ac:dyDescent="0.3">
      <c r="M6523" s="5"/>
    </row>
    <row r="6524" spans="13:13" ht="15" customHeight="1" x14ac:dyDescent="0.3">
      <c r="M6524" s="5"/>
    </row>
    <row r="6525" spans="13:13" ht="15" customHeight="1" x14ac:dyDescent="0.3">
      <c r="M6525" s="5"/>
    </row>
    <row r="6526" spans="13:13" ht="15" customHeight="1" x14ac:dyDescent="0.3">
      <c r="M6526" s="5"/>
    </row>
    <row r="6527" spans="13:13" ht="15" customHeight="1" x14ac:dyDescent="0.3">
      <c r="M6527" s="5"/>
    </row>
    <row r="6528" spans="13:13" ht="15" customHeight="1" x14ac:dyDescent="0.3">
      <c r="M6528" s="5"/>
    </row>
    <row r="6529" spans="13:13" ht="15" customHeight="1" x14ac:dyDescent="0.3">
      <c r="M6529" s="5"/>
    </row>
    <row r="6530" spans="13:13" ht="15" customHeight="1" x14ac:dyDescent="0.3">
      <c r="M6530" s="5"/>
    </row>
    <row r="6531" spans="13:13" ht="15" customHeight="1" x14ac:dyDescent="0.3">
      <c r="M6531" s="5"/>
    </row>
    <row r="6532" spans="13:13" ht="15" customHeight="1" x14ac:dyDescent="0.3">
      <c r="M6532" s="5"/>
    </row>
    <row r="6533" spans="13:13" ht="15" customHeight="1" x14ac:dyDescent="0.3">
      <c r="M6533" s="5"/>
    </row>
    <row r="6534" spans="13:13" ht="15" customHeight="1" x14ac:dyDescent="0.3">
      <c r="M6534" s="5"/>
    </row>
    <row r="6535" spans="13:13" ht="15" customHeight="1" x14ac:dyDescent="0.3">
      <c r="M6535" s="5"/>
    </row>
    <row r="6536" spans="13:13" ht="15" customHeight="1" x14ac:dyDescent="0.3">
      <c r="M6536" s="5"/>
    </row>
    <row r="6537" spans="13:13" ht="15" customHeight="1" x14ac:dyDescent="0.3">
      <c r="M6537" s="5"/>
    </row>
    <row r="6538" spans="13:13" ht="15" customHeight="1" x14ac:dyDescent="0.3">
      <c r="M6538" s="5"/>
    </row>
    <row r="6539" spans="13:13" ht="15" customHeight="1" x14ac:dyDescent="0.3">
      <c r="M6539" s="5"/>
    </row>
    <row r="6540" spans="13:13" ht="15" customHeight="1" x14ac:dyDescent="0.3">
      <c r="M6540" s="5"/>
    </row>
    <row r="6541" spans="13:13" ht="15" customHeight="1" x14ac:dyDescent="0.3">
      <c r="M6541" s="5"/>
    </row>
    <row r="6542" spans="13:13" ht="15" customHeight="1" x14ac:dyDescent="0.3">
      <c r="M6542" s="5"/>
    </row>
    <row r="6543" spans="13:13" ht="15" customHeight="1" x14ac:dyDescent="0.3">
      <c r="M6543" s="5"/>
    </row>
    <row r="6544" spans="13:13" ht="15" customHeight="1" x14ac:dyDescent="0.3">
      <c r="M6544" s="5"/>
    </row>
    <row r="6545" spans="13:13" ht="15" customHeight="1" x14ac:dyDescent="0.3">
      <c r="M6545" s="5"/>
    </row>
    <row r="6546" spans="13:13" ht="15" customHeight="1" x14ac:dyDescent="0.3">
      <c r="M6546" s="5"/>
    </row>
    <row r="6547" spans="13:13" ht="15" customHeight="1" x14ac:dyDescent="0.3">
      <c r="M6547" s="5"/>
    </row>
    <row r="6548" spans="13:13" ht="15" customHeight="1" x14ac:dyDescent="0.3">
      <c r="M6548" s="5"/>
    </row>
    <row r="6549" spans="13:13" ht="15" customHeight="1" x14ac:dyDescent="0.3">
      <c r="M6549" s="5"/>
    </row>
    <row r="6550" spans="13:13" ht="15" customHeight="1" x14ac:dyDescent="0.3">
      <c r="M6550" s="5"/>
    </row>
    <row r="6551" spans="13:13" ht="15" customHeight="1" x14ac:dyDescent="0.3">
      <c r="M6551" s="5"/>
    </row>
    <row r="6552" spans="13:13" ht="15" customHeight="1" x14ac:dyDescent="0.3">
      <c r="M6552" s="5"/>
    </row>
    <row r="6553" spans="13:13" ht="15" customHeight="1" x14ac:dyDescent="0.3">
      <c r="M6553" s="5"/>
    </row>
    <row r="6554" spans="13:13" ht="15" customHeight="1" x14ac:dyDescent="0.3">
      <c r="M6554" s="5"/>
    </row>
    <row r="6555" spans="13:13" ht="15" customHeight="1" x14ac:dyDescent="0.3">
      <c r="M6555" s="5"/>
    </row>
    <row r="6556" spans="13:13" ht="15" customHeight="1" x14ac:dyDescent="0.3">
      <c r="M6556" s="5"/>
    </row>
    <row r="6557" spans="13:13" ht="15" customHeight="1" x14ac:dyDescent="0.3">
      <c r="M6557" s="5"/>
    </row>
    <row r="6558" spans="13:13" ht="15" customHeight="1" x14ac:dyDescent="0.3">
      <c r="M6558" s="5"/>
    </row>
    <row r="6559" spans="13:13" ht="15" customHeight="1" x14ac:dyDescent="0.3">
      <c r="M6559" s="5"/>
    </row>
    <row r="6560" spans="13:13" ht="15" customHeight="1" x14ac:dyDescent="0.3">
      <c r="M6560" s="5"/>
    </row>
    <row r="6561" spans="13:13" ht="15" customHeight="1" x14ac:dyDescent="0.3">
      <c r="M6561" s="5"/>
    </row>
    <row r="6562" spans="13:13" ht="15" customHeight="1" x14ac:dyDescent="0.3">
      <c r="M6562" s="5"/>
    </row>
    <row r="6563" spans="13:13" ht="15" customHeight="1" x14ac:dyDescent="0.3">
      <c r="M6563" s="5"/>
    </row>
    <row r="6564" spans="13:13" ht="15" customHeight="1" x14ac:dyDescent="0.3">
      <c r="M6564" s="5"/>
    </row>
    <row r="6565" spans="13:13" ht="15" customHeight="1" x14ac:dyDescent="0.3">
      <c r="M6565" s="5"/>
    </row>
    <row r="6566" spans="13:13" ht="15" customHeight="1" x14ac:dyDescent="0.3">
      <c r="M6566" s="5"/>
    </row>
    <row r="6567" spans="13:13" ht="15" customHeight="1" x14ac:dyDescent="0.3">
      <c r="M6567" s="5"/>
    </row>
    <row r="6568" spans="13:13" ht="15" customHeight="1" x14ac:dyDescent="0.3">
      <c r="M6568" s="5"/>
    </row>
    <row r="6569" spans="13:13" ht="15" customHeight="1" x14ac:dyDescent="0.3">
      <c r="M6569" s="5"/>
    </row>
    <row r="6570" spans="13:13" ht="15" customHeight="1" x14ac:dyDescent="0.3">
      <c r="M6570" s="5"/>
    </row>
    <row r="6571" spans="13:13" ht="15" customHeight="1" x14ac:dyDescent="0.3">
      <c r="M6571" s="5"/>
    </row>
    <row r="6572" spans="13:13" ht="15" customHeight="1" x14ac:dyDescent="0.3">
      <c r="M6572" s="5"/>
    </row>
    <row r="6573" spans="13:13" ht="15" customHeight="1" x14ac:dyDescent="0.3">
      <c r="M6573" s="5"/>
    </row>
    <row r="6574" spans="13:13" ht="15" customHeight="1" x14ac:dyDescent="0.3">
      <c r="M6574" s="5"/>
    </row>
    <row r="6575" spans="13:13" ht="15" customHeight="1" x14ac:dyDescent="0.3">
      <c r="M6575" s="5"/>
    </row>
    <row r="6576" spans="13:13" ht="15" customHeight="1" x14ac:dyDescent="0.3">
      <c r="M6576" s="5"/>
    </row>
    <row r="6577" spans="13:13" ht="15" customHeight="1" x14ac:dyDescent="0.3">
      <c r="M6577" s="5"/>
    </row>
    <row r="6578" spans="13:13" ht="15" customHeight="1" x14ac:dyDescent="0.3">
      <c r="M6578" s="5"/>
    </row>
    <row r="6579" spans="13:13" ht="15" customHeight="1" x14ac:dyDescent="0.3">
      <c r="M6579" s="5"/>
    </row>
    <row r="6580" spans="13:13" ht="15" customHeight="1" x14ac:dyDescent="0.3">
      <c r="M6580" s="5"/>
    </row>
    <row r="6581" spans="13:13" ht="15" customHeight="1" x14ac:dyDescent="0.3">
      <c r="M6581" s="5"/>
    </row>
    <row r="6582" spans="13:13" ht="15" customHeight="1" x14ac:dyDescent="0.3">
      <c r="M6582" s="5"/>
    </row>
    <row r="6583" spans="13:13" ht="15" customHeight="1" x14ac:dyDescent="0.3">
      <c r="M6583" s="5"/>
    </row>
    <row r="6584" spans="13:13" ht="15" customHeight="1" x14ac:dyDescent="0.3">
      <c r="M6584" s="5"/>
    </row>
    <row r="6585" spans="13:13" ht="15" customHeight="1" x14ac:dyDescent="0.3">
      <c r="M6585" s="5"/>
    </row>
    <row r="6586" spans="13:13" ht="15" customHeight="1" x14ac:dyDescent="0.3">
      <c r="M6586" s="5"/>
    </row>
    <row r="6587" spans="13:13" ht="15" customHeight="1" x14ac:dyDescent="0.3">
      <c r="M6587" s="5"/>
    </row>
    <row r="6588" spans="13:13" ht="15" customHeight="1" x14ac:dyDescent="0.3">
      <c r="M6588" s="5"/>
    </row>
    <row r="6589" spans="13:13" ht="15" customHeight="1" x14ac:dyDescent="0.3">
      <c r="M6589" s="5"/>
    </row>
    <row r="6590" spans="13:13" ht="15" customHeight="1" x14ac:dyDescent="0.3">
      <c r="M6590" s="5"/>
    </row>
    <row r="6591" spans="13:13" ht="15" customHeight="1" x14ac:dyDescent="0.3">
      <c r="M6591" s="5"/>
    </row>
    <row r="6592" spans="13:13" ht="15" customHeight="1" x14ac:dyDescent="0.3">
      <c r="M6592" s="5"/>
    </row>
    <row r="6593" spans="13:13" ht="15" customHeight="1" x14ac:dyDescent="0.3">
      <c r="M6593" s="5"/>
    </row>
    <row r="6594" spans="13:13" ht="15" customHeight="1" x14ac:dyDescent="0.3">
      <c r="M6594" s="5"/>
    </row>
    <row r="6595" spans="13:13" ht="15" customHeight="1" x14ac:dyDescent="0.3">
      <c r="M6595" s="5"/>
    </row>
    <row r="6596" spans="13:13" ht="15" customHeight="1" x14ac:dyDescent="0.3">
      <c r="M6596" s="5"/>
    </row>
    <row r="6597" spans="13:13" ht="15" customHeight="1" x14ac:dyDescent="0.3">
      <c r="M6597" s="5"/>
    </row>
    <row r="6598" spans="13:13" ht="15" customHeight="1" x14ac:dyDescent="0.3">
      <c r="M6598" s="5"/>
    </row>
    <row r="6599" spans="13:13" ht="15" customHeight="1" x14ac:dyDescent="0.3">
      <c r="M6599" s="5"/>
    </row>
    <row r="6600" spans="13:13" ht="15" customHeight="1" x14ac:dyDescent="0.3">
      <c r="M6600" s="5"/>
    </row>
    <row r="6601" spans="13:13" ht="15" customHeight="1" x14ac:dyDescent="0.3">
      <c r="M6601" s="5"/>
    </row>
    <row r="6602" spans="13:13" ht="15" customHeight="1" x14ac:dyDescent="0.3">
      <c r="M6602" s="5"/>
    </row>
    <row r="6603" spans="13:13" ht="15" customHeight="1" x14ac:dyDescent="0.3">
      <c r="M6603" s="5"/>
    </row>
    <row r="6604" spans="13:13" ht="15" customHeight="1" x14ac:dyDescent="0.3">
      <c r="M6604" s="5"/>
    </row>
    <row r="6605" spans="13:13" ht="15" customHeight="1" x14ac:dyDescent="0.3">
      <c r="M6605" s="5"/>
    </row>
    <row r="6606" spans="13:13" ht="15" customHeight="1" x14ac:dyDescent="0.3">
      <c r="M6606" s="5"/>
    </row>
    <row r="6607" spans="13:13" ht="15" customHeight="1" x14ac:dyDescent="0.3">
      <c r="M6607" s="5"/>
    </row>
    <row r="6608" spans="13:13" ht="15" customHeight="1" x14ac:dyDescent="0.3">
      <c r="M6608" s="5"/>
    </row>
    <row r="6609" spans="13:13" ht="15" customHeight="1" x14ac:dyDescent="0.3">
      <c r="M6609" s="5"/>
    </row>
    <row r="6610" spans="13:13" ht="15" customHeight="1" x14ac:dyDescent="0.3">
      <c r="M6610" s="5"/>
    </row>
    <row r="6611" spans="13:13" ht="15" customHeight="1" x14ac:dyDescent="0.3">
      <c r="M6611" s="5"/>
    </row>
    <row r="6612" spans="13:13" ht="15" customHeight="1" x14ac:dyDescent="0.3">
      <c r="M6612" s="5"/>
    </row>
    <row r="6613" spans="13:13" ht="15" customHeight="1" x14ac:dyDescent="0.3">
      <c r="M6613" s="5"/>
    </row>
    <row r="6614" spans="13:13" ht="15" customHeight="1" x14ac:dyDescent="0.3">
      <c r="M6614" s="5"/>
    </row>
    <row r="6615" spans="13:13" ht="15" customHeight="1" x14ac:dyDescent="0.3">
      <c r="M6615" s="5"/>
    </row>
    <row r="6616" spans="13:13" ht="15" customHeight="1" x14ac:dyDescent="0.3">
      <c r="M6616" s="5"/>
    </row>
    <row r="6617" spans="13:13" ht="15" customHeight="1" x14ac:dyDescent="0.3">
      <c r="M6617" s="5"/>
    </row>
    <row r="6618" spans="13:13" ht="15" customHeight="1" x14ac:dyDescent="0.3">
      <c r="M6618" s="5"/>
    </row>
    <row r="6619" spans="13:13" ht="15" customHeight="1" x14ac:dyDescent="0.3">
      <c r="M6619" s="5"/>
    </row>
    <row r="6620" spans="13:13" ht="15" customHeight="1" x14ac:dyDescent="0.3">
      <c r="M6620" s="5"/>
    </row>
    <row r="6621" spans="13:13" ht="15" customHeight="1" x14ac:dyDescent="0.3">
      <c r="M6621" s="5"/>
    </row>
    <row r="6622" spans="13:13" ht="15" customHeight="1" x14ac:dyDescent="0.3">
      <c r="M6622" s="5"/>
    </row>
    <row r="6623" spans="13:13" ht="15" customHeight="1" x14ac:dyDescent="0.3">
      <c r="M6623" s="5"/>
    </row>
    <row r="6624" spans="13:13" ht="15" customHeight="1" x14ac:dyDescent="0.3">
      <c r="M6624" s="5"/>
    </row>
    <row r="6625" spans="13:13" ht="15" customHeight="1" x14ac:dyDescent="0.3">
      <c r="M6625" s="5"/>
    </row>
    <row r="6626" spans="13:13" ht="15" customHeight="1" x14ac:dyDescent="0.3">
      <c r="M6626" s="5"/>
    </row>
    <row r="6627" spans="13:13" ht="15" customHeight="1" x14ac:dyDescent="0.3">
      <c r="M6627" s="5"/>
    </row>
    <row r="6628" spans="13:13" ht="15" customHeight="1" x14ac:dyDescent="0.3">
      <c r="M6628" s="5"/>
    </row>
    <row r="6629" spans="13:13" ht="15" customHeight="1" x14ac:dyDescent="0.3">
      <c r="M6629" s="5"/>
    </row>
    <row r="6630" spans="13:13" ht="15" customHeight="1" x14ac:dyDescent="0.3">
      <c r="M6630" s="5"/>
    </row>
    <row r="6631" spans="13:13" ht="15" customHeight="1" x14ac:dyDescent="0.3">
      <c r="M6631" s="5"/>
    </row>
    <row r="6632" spans="13:13" ht="15" customHeight="1" x14ac:dyDescent="0.3">
      <c r="M6632" s="5"/>
    </row>
    <row r="6633" spans="13:13" ht="15" customHeight="1" x14ac:dyDescent="0.3">
      <c r="M6633" s="5"/>
    </row>
    <row r="6634" spans="13:13" ht="15" customHeight="1" x14ac:dyDescent="0.3">
      <c r="M6634" s="5"/>
    </row>
    <row r="6635" spans="13:13" ht="15" customHeight="1" x14ac:dyDescent="0.3">
      <c r="M6635" s="5"/>
    </row>
    <row r="6636" spans="13:13" ht="15" customHeight="1" x14ac:dyDescent="0.3">
      <c r="M6636" s="5"/>
    </row>
    <row r="6637" spans="13:13" ht="15" customHeight="1" x14ac:dyDescent="0.3">
      <c r="M6637" s="5"/>
    </row>
    <row r="6638" spans="13:13" ht="15" customHeight="1" x14ac:dyDescent="0.3">
      <c r="M6638" s="5"/>
    </row>
    <row r="6639" spans="13:13" ht="15" customHeight="1" x14ac:dyDescent="0.3">
      <c r="M6639" s="5"/>
    </row>
    <row r="6640" spans="13:13" ht="15" customHeight="1" x14ac:dyDescent="0.3">
      <c r="M6640" s="5"/>
    </row>
    <row r="6641" spans="13:13" ht="15" customHeight="1" x14ac:dyDescent="0.3">
      <c r="M6641" s="5"/>
    </row>
    <row r="6642" spans="13:13" ht="15" customHeight="1" x14ac:dyDescent="0.3">
      <c r="M6642" s="5"/>
    </row>
    <row r="6643" spans="13:13" ht="15" customHeight="1" x14ac:dyDescent="0.3">
      <c r="M6643" s="5"/>
    </row>
    <row r="6644" spans="13:13" ht="15" customHeight="1" x14ac:dyDescent="0.3">
      <c r="M6644" s="5"/>
    </row>
    <row r="6645" spans="13:13" ht="15" customHeight="1" x14ac:dyDescent="0.3">
      <c r="M6645" s="5"/>
    </row>
    <row r="6646" spans="13:13" ht="15" customHeight="1" x14ac:dyDescent="0.3">
      <c r="M6646" s="5"/>
    </row>
    <row r="6647" spans="13:13" ht="15" customHeight="1" x14ac:dyDescent="0.3">
      <c r="M6647" s="5"/>
    </row>
    <row r="6648" spans="13:13" ht="15" customHeight="1" x14ac:dyDescent="0.3">
      <c r="M6648" s="5"/>
    </row>
    <row r="6649" spans="13:13" ht="15" customHeight="1" x14ac:dyDescent="0.3">
      <c r="M6649" s="5"/>
    </row>
    <row r="6650" spans="13:13" ht="15" customHeight="1" x14ac:dyDescent="0.3">
      <c r="M6650" s="5"/>
    </row>
    <row r="6651" spans="13:13" ht="15" customHeight="1" x14ac:dyDescent="0.3">
      <c r="M6651" s="5"/>
    </row>
    <row r="6652" spans="13:13" ht="15" customHeight="1" x14ac:dyDescent="0.3">
      <c r="M6652" s="5"/>
    </row>
    <row r="6653" spans="13:13" ht="15" customHeight="1" x14ac:dyDescent="0.3">
      <c r="M6653" s="5"/>
    </row>
    <row r="6654" spans="13:13" ht="15" customHeight="1" x14ac:dyDescent="0.3">
      <c r="M6654" s="5"/>
    </row>
    <row r="6655" spans="13:13" ht="15" customHeight="1" x14ac:dyDescent="0.3">
      <c r="M6655" s="5"/>
    </row>
    <row r="6656" spans="13:13" ht="15" customHeight="1" x14ac:dyDescent="0.3">
      <c r="M6656" s="5"/>
    </row>
    <row r="6657" spans="13:13" ht="15" customHeight="1" x14ac:dyDescent="0.3">
      <c r="M6657" s="5"/>
    </row>
    <row r="6658" spans="13:13" ht="15" customHeight="1" x14ac:dyDescent="0.3">
      <c r="M6658" s="5"/>
    </row>
    <row r="6659" spans="13:13" ht="15" customHeight="1" x14ac:dyDescent="0.3">
      <c r="M6659" s="5"/>
    </row>
    <row r="6660" spans="13:13" ht="15" customHeight="1" x14ac:dyDescent="0.3">
      <c r="M6660" s="5"/>
    </row>
    <row r="6661" spans="13:13" ht="15" customHeight="1" x14ac:dyDescent="0.3">
      <c r="M6661" s="5"/>
    </row>
    <row r="6662" spans="13:13" ht="15" customHeight="1" x14ac:dyDescent="0.3">
      <c r="M6662" s="5"/>
    </row>
    <row r="6663" spans="13:13" ht="15" customHeight="1" x14ac:dyDescent="0.3">
      <c r="M6663" s="5"/>
    </row>
    <row r="6664" spans="13:13" ht="15" customHeight="1" x14ac:dyDescent="0.3">
      <c r="M6664" s="5"/>
    </row>
    <row r="6665" spans="13:13" ht="15" customHeight="1" x14ac:dyDescent="0.3">
      <c r="M6665" s="5"/>
    </row>
    <row r="6666" spans="13:13" ht="15" customHeight="1" x14ac:dyDescent="0.3">
      <c r="M6666" s="5"/>
    </row>
    <row r="6667" spans="13:13" ht="15" customHeight="1" x14ac:dyDescent="0.3">
      <c r="M6667" s="5"/>
    </row>
    <row r="6668" spans="13:13" ht="15" customHeight="1" x14ac:dyDescent="0.3">
      <c r="M6668" s="5"/>
    </row>
    <row r="6669" spans="13:13" ht="15" customHeight="1" x14ac:dyDescent="0.3">
      <c r="M6669" s="5"/>
    </row>
    <row r="6670" spans="13:13" ht="15" customHeight="1" x14ac:dyDescent="0.3">
      <c r="M6670" s="5"/>
    </row>
    <row r="6671" spans="13:13" ht="15" customHeight="1" x14ac:dyDescent="0.3">
      <c r="M6671" s="5"/>
    </row>
    <row r="6672" spans="13:13" ht="15" customHeight="1" x14ac:dyDescent="0.3">
      <c r="M6672" s="5"/>
    </row>
    <row r="6673" spans="13:13" ht="15" customHeight="1" x14ac:dyDescent="0.3">
      <c r="M6673" s="5"/>
    </row>
    <row r="6674" spans="13:13" ht="15" customHeight="1" x14ac:dyDescent="0.3">
      <c r="M6674" s="5"/>
    </row>
    <row r="6675" spans="13:13" ht="15" customHeight="1" x14ac:dyDescent="0.3">
      <c r="M6675" s="5"/>
    </row>
    <row r="6676" spans="13:13" ht="15" customHeight="1" x14ac:dyDescent="0.3">
      <c r="M6676" s="5"/>
    </row>
    <row r="6677" spans="13:13" ht="15" customHeight="1" x14ac:dyDescent="0.3">
      <c r="M6677" s="5"/>
    </row>
    <row r="6678" spans="13:13" ht="15" customHeight="1" x14ac:dyDescent="0.3">
      <c r="M6678" s="5"/>
    </row>
    <row r="6679" spans="13:13" ht="15" customHeight="1" x14ac:dyDescent="0.3">
      <c r="M6679" s="5"/>
    </row>
    <row r="6680" spans="13:13" ht="15" customHeight="1" x14ac:dyDescent="0.3">
      <c r="M6680" s="5"/>
    </row>
    <row r="6681" spans="13:13" ht="15" customHeight="1" x14ac:dyDescent="0.3">
      <c r="M6681" s="5"/>
    </row>
    <row r="6682" spans="13:13" ht="15" customHeight="1" x14ac:dyDescent="0.3">
      <c r="M6682" s="5"/>
    </row>
    <row r="6683" spans="13:13" ht="15" customHeight="1" x14ac:dyDescent="0.3">
      <c r="M6683" s="5"/>
    </row>
    <row r="6684" spans="13:13" ht="15" customHeight="1" x14ac:dyDescent="0.3">
      <c r="M6684" s="5"/>
    </row>
    <row r="6685" spans="13:13" ht="15" customHeight="1" x14ac:dyDescent="0.3">
      <c r="M6685" s="5"/>
    </row>
    <row r="6686" spans="13:13" ht="15" customHeight="1" x14ac:dyDescent="0.3">
      <c r="M6686" s="5"/>
    </row>
    <row r="6687" spans="13:13" ht="15" customHeight="1" x14ac:dyDescent="0.3">
      <c r="M6687" s="5"/>
    </row>
    <row r="6688" spans="13:13" ht="15" customHeight="1" x14ac:dyDescent="0.3">
      <c r="M6688" s="5"/>
    </row>
    <row r="6689" spans="13:13" ht="15" customHeight="1" x14ac:dyDescent="0.3">
      <c r="M6689" s="5"/>
    </row>
    <row r="6690" spans="13:13" ht="15" customHeight="1" x14ac:dyDescent="0.3">
      <c r="M6690" s="5"/>
    </row>
    <row r="6691" spans="13:13" ht="15" customHeight="1" x14ac:dyDescent="0.3">
      <c r="M6691" s="5"/>
    </row>
    <row r="6692" spans="13:13" ht="15" customHeight="1" x14ac:dyDescent="0.3">
      <c r="M6692" s="5"/>
    </row>
    <row r="6693" spans="13:13" ht="15" customHeight="1" x14ac:dyDescent="0.3">
      <c r="M6693" s="5"/>
    </row>
    <row r="6694" spans="13:13" ht="15" customHeight="1" x14ac:dyDescent="0.3">
      <c r="M6694" s="5"/>
    </row>
    <row r="6695" spans="13:13" ht="15" customHeight="1" x14ac:dyDescent="0.3">
      <c r="M6695" s="5"/>
    </row>
    <row r="6696" spans="13:13" ht="15" customHeight="1" x14ac:dyDescent="0.3">
      <c r="M6696" s="5"/>
    </row>
    <row r="6697" spans="13:13" ht="15" customHeight="1" x14ac:dyDescent="0.3">
      <c r="M6697" s="5"/>
    </row>
    <row r="6698" spans="13:13" ht="15" customHeight="1" x14ac:dyDescent="0.3">
      <c r="M6698" s="5"/>
    </row>
    <row r="6699" spans="13:13" ht="15" customHeight="1" x14ac:dyDescent="0.3">
      <c r="M6699" s="5"/>
    </row>
    <row r="6700" spans="13:13" ht="15" customHeight="1" x14ac:dyDescent="0.3">
      <c r="M6700" s="5"/>
    </row>
    <row r="6701" spans="13:13" ht="15" customHeight="1" x14ac:dyDescent="0.3">
      <c r="M6701" s="5"/>
    </row>
    <row r="6702" spans="13:13" ht="15" customHeight="1" x14ac:dyDescent="0.3">
      <c r="M6702" s="5"/>
    </row>
    <row r="6703" spans="13:13" ht="15" customHeight="1" x14ac:dyDescent="0.3">
      <c r="M6703" s="5"/>
    </row>
    <row r="6704" spans="13:13" ht="15" customHeight="1" x14ac:dyDescent="0.3">
      <c r="M6704" s="5"/>
    </row>
    <row r="6705" spans="13:13" ht="15" customHeight="1" x14ac:dyDescent="0.3">
      <c r="M6705" s="5"/>
    </row>
    <row r="6706" spans="13:13" ht="15" customHeight="1" x14ac:dyDescent="0.3">
      <c r="M6706" s="5"/>
    </row>
    <row r="6707" spans="13:13" ht="15" customHeight="1" x14ac:dyDescent="0.3">
      <c r="M6707" s="5"/>
    </row>
    <row r="6708" spans="13:13" ht="15" customHeight="1" x14ac:dyDescent="0.3">
      <c r="M6708" s="5"/>
    </row>
    <row r="6709" spans="13:13" ht="15" customHeight="1" x14ac:dyDescent="0.3">
      <c r="M6709" s="5"/>
    </row>
    <row r="6710" spans="13:13" ht="15" customHeight="1" x14ac:dyDescent="0.3">
      <c r="M6710" s="5"/>
    </row>
    <row r="6711" spans="13:13" ht="15" customHeight="1" x14ac:dyDescent="0.3">
      <c r="M6711" s="5"/>
    </row>
    <row r="6712" spans="13:13" ht="15" customHeight="1" x14ac:dyDescent="0.3">
      <c r="M6712" s="5"/>
    </row>
    <row r="6713" spans="13:13" ht="15" customHeight="1" x14ac:dyDescent="0.3">
      <c r="M6713" s="5"/>
    </row>
    <row r="6714" spans="13:13" ht="15" customHeight="1" x14ac:dyDescent="0.3">
      <c r="M6714" s="5"/>
    </row>
    <row r="6715" spans="13:13" ht="15" customHeight="1" x14ac:dyDescent="0.3">
      <c r="M6715" s="5"/>
    </row>
    <row r="6716" spans="13:13" ht="15" customHeight="1" x14ac:dyDescent="0.3">
      <c r="M6716" s="5"/>
    </row>
    <row r="6717" spans="13:13" ht="15" customHeight="1" x14ac:dyDescent="0.3">
      <c r="M6717" s="5"/>
    </row>
    <row r="6718" spans="13:13" ht="15" customHeight="1" x14ac:dyDescent="0.3">
      <c r="M6718" s="5"/>
    </row>
    <row r="6719" spans="13:13" ht="15" customHeight="1" x14ac:dyDescent="0.3">
      <c r="M6719" s="5"/>
    </row>
    <row r="6720" spans="13:13" ht="15" customHeight="1" x14ac:dyDescent="0.3">
      <c r="M6720" s="5"/>
    </row>
    <row r="6721" spans="13:13" ht="15" customHeight="1" x14ac:dyDescent="0.3">
      <c r="M6721" s="5"/>
    </row>
    <row r="6722" spans="13:13" ht="15" customHeight="1" x14ac:dyDescent="0.3">
      <c r="M6722" s="5"/>
    </row>
    <row r="6723" spans="13:13" ht="15" customHeight="1" x14ac:dyDescent="0.3">
      <c r="M6723" s="5"/>
    </row>
    <row r="6724" spans="13:13" ht="15" customHeight="1" x14ac:dyDescent="0.3">
      <c r="M6724" s="5"/>
    </row>
    <row r="6725" spans="13:13" ht="15" customHeight="1" x14ac:dyDescent="0.3">
      <c r="M6725" s="5"/>
    </row>
    <row r="6726" spans="13:13" ht="15" customHeight="1" x14ac:dyDescent="0.3">
      <c r="M6726" s="5"/>
    </row>
    <row r="6727" spans="13:13" ht="15" customHeight="1" x14ac:dyDescent="0.3">
      <c r="M6727" s="5"/>
    </row>
    <row r="6728" spans="13:13" ht="15" customHeight="1" x14ac:dyDescent="0.3">
      <c r="M6728" s="5"/>
    </row>
    <row r="6729" spans="13:13" ht="15" customHeight="1" x14ac:dyDescent="0.3">
      <c r="M6729" s="5"/>
    </row>
    <row r="6730" spans="13:13" ht="15" customHeight="1" x14ac:dyDescent="0.3">
      <c r="M6730" s="5"/>
    </row>
    <row r="6731" spans="13:13" ht="15" customHeight="1" x14ac:dyDescent="0.3">
      <c r="M6731" s="5"/>
    </row>
    <row r="6732" spans="13:13" ht="15" customHeight="1" x14ac:dyDescent="0.3">
      <c r="M6732" s="5"/>
    </row>
    <row r="6733" spans="13:13" ht="15" customHeight="1" x14ac:dyDescent="0.3">
      <c r="M6733" s="5"/>
    </row>
    <row r="6734" spans="13:13" ht="15" customHeight="1" x14ac:dyDescent="0.3">
      <c r="M6734" s="5"/>
    </row>
    <row r="6735" spans="13:13" ht="15" customHeight="1" x14ac:dyDescent="0.3">
      <c r="M6735" s="5"/>
    </row>
    <row r="6736" spans="13:13" ht="15" customHeight="1" x14ac:dyDescent="0.3">
      <c r="M6736" s="5"/>
    </row>
    <row r="6737" spans="13:13" ht="15" customHeight="1" x14ac:dyDescent="0.3">
      <c r="M6737" s="5"/>
    </row>
    <row r="6738" spans="13:13" ht="15" customHeight="1" x14ac:dyDescent="0.3">
      <c r="M6738" s="5"/>
    </row>
    <row r="6739" spans="13:13" ht="15" customHeight="1" x14ac:dyDescent="0.3">
      <c r="M6739" s="5"/>
    </row>
    <row r="6740" spans="13:13" ht="15" customHeight="1" x14ac:dyDescent="0.3">
      <c r="M6740" s="5"/>
    </row>
    <row r="6741" spans="13:13" ht="15" customHeight="1" x14ac:dyDescent="0.3">
      <c r="M6741" s="5"/>
    </row>
    <row r="6742" spans="13:13" ht="15" customHeight="1" x14ac:dyDescent="0.3">
      <c r="M6742" s="5"/>
    </row>
    <row r="6743" spans="13:13" ht="15" customHeight="1" x14ac:dyDescent="0.3">
      <c r="M6743" s="5"/>
    </row>
    <row r="6744" spans="13:13" ht="15" customHeight="1" x14ac:dyDescent="0.3">
      <c r="M6744" s="5"/>
    </row>
    <row r="6745" spans="13:13" ht="15" customHeight="1" x14ac:dyDescent="0.3">
      <c r="M6745" s="5"/>
    </row>
    <row r="6746" spans="13:13" ht="15" customHeight="1" x14ac:dyDescent="0.3">
      <c r="M6746" s="5"/>
    </row>
    <row r="6747" spans="13:13" ht="15" customHeight="1" x14ac:dyDescent="0.3">
      <c r="M6747" s="5"/>
    </row>
    <row r="6748" spans="13:13" ht="15" customHeight="1" x14ac:dyDescent="0.3">
      <c r="M6748" s="5"/>
    </row>
    <row r="6749" spans="13:13" ht="15" customHeight="1" x14ac:dyDescent="0.3">
      <c r="M6749" s="5"/>
    </row>
    <row r="6750" spans="13:13" ht="15" customHeight="1" x14ac:dyDescent="0.3">
      <c r="M6750" s="5"/>
    </row>
    <row r="6751" spans="13:13" ht="15" customHeight="1" x14ac:dyDescent="0.3">
      <c r="M6751" s="5"/>
    </row>
    <row r="6752" spans="13:13" ht="15" customHeight="1" x14ac:dyDescent="0.3">
      <c r="M6752" s="5"/>
    </row>
    <row r="6753" spans="13:13" ht="15" customHeight="1" x14ac:dyDescent="0.3">
      <c r="M6753" s="5"/>
    </row>
    <row r="6754" spans="13:13" ht="15" customHeight="1" x14ac:dyDescent="0.3">
      <c r="M6754" s="5"/>
    </row>
    <row r="6755" spans="13:13" ht="15" customHeight="1" x14ac:dyDescent="0.3">
      <c r="M6755" s="5"/>
    </row>
    <row r="6756" spans="13:13" ht="15" customHeight="1" x14ac:dyDescent="0.3">
      <c r="M6756" s="5"/>
    </row>
    <row r="6757" spans="13:13" ht="15" customHeight="1" x14ac:dyDescent="0.3">
      <c r="M6757" s="5"/>
    </row>
    <row r="6758" spans="13:13" ht="15" customHeight="1" x14ac:dyDescent="0.3">
      <c r="M6758" s="5"/>
    </row>
    <row r="6759" spans="13:13" ht="15" customHeight="1" x14ac:dyDescent="0.3">
      <c r="M6759" s="5"/>
    </row>
    <row r="6760" spans="13:13" ht="15" customHeight="1" x14ac:dyDescent="0.3">
      <c r="M6760" s="5"/>
    </row>
    <row r="6761" spans="13:13" ht="15" customHeight="1" x14ac:dyDescent="0.3">
      <c r="M6761" s="5"/>
    </row>
    <row r="6762" spans="13:13" ht="15" customHeight="1" x14ac:dyDescent="0.3">
      <c r="M6762" s="5"/>
    </row>
    <row r="6763" spans="13:13" ht="15" customHeight="1" x14ac:dyDescent="0.3">
      <c r="M6763" s="5"/>
    </row>
    <row r="6764" spans="13:13" ht="15" customHeight="1" x14ac:dyDescent="0.3">
      <c r="M6764" s="5"/>
    </row>
    <row r="6765" spans="13:13" ht="15" customHeight="1" x14ac:dyDescent="0.3">
      <c r="M6765" s="5"/>
    </row>
    <row r="6766" spans="13:13" ht="15" customHeight="1" x14ac:dyDescent="0.3">
      <c r="M6766" s="5"/>
    </row>
    <row r="6767" spans="13:13" ht="15" customHeight="1" x14ac:dyDescent="0.3">
      <c r="M6767" s="5"/>
    </row>
    <row r="6768" spans="13:13" ht="15" customHeight="1" x14ac:dyDescent="0.3">
      <c r="M6768" s="5"/>
    </row>
    <row r="6769" spans="13:13" ht="15" customHeight="1" x14ac:dyDescent="0.3">
      <c r="M6769" s="5"/>
    </row>
    <row r="6770" spans="13:13" ht="15" customHeight="1" x14ac:dyDescent="0.3">
      <c r="M6770" s="5"/>
    </row>
    <row r="6771" spans="13:13" ht="15" customHeight="1" x14ac:dyDescent="0.3">
      <c r="M6771" s="5"/>
    </row>
    <row r="6772" spans="13:13" ht="15" customHeight="1" x14ac:dyDescent="0.3">
      <c r="M6772" s="5"/>
    </row>
    <row r="6773" spans="13:13" ht="15" customHeight="1" x14ac:dyDescent="0.3">
      <c r="M6773" s="5"/>
    </row>
    <row r="6774" spans="13:13" ht="15" customHeight="1" x14ac:dyDescent="0.3">
      <c r="M6774" s="5"/>
    </row>
    <row r="6775" spans="13:13" ht="15" customHeight="1" x14ac:dyDescent="0.3">
      <c r="M6775" s="5"/>
    </row>
    <row r="6776" spans="13:13" ht="15" customHeight="1" x14ac:dyDescent="0.3">
      <c r="M6776" s="5"/>
    </row>
    <row r="6777" spans="13:13" ht="15" customHeight="1" x14ac:dyDescent="0.3">
      <c r="M6777" s="5"/>
    </row>
    <row r="6778" spans="13:13" ht="15" customHeight="1" x14ac:dyDescent="0.3">
      <c r="M6778" s="5"/>
    </row>
    <row r="6779" spans="13:13" ht="15" customHeight="1" x14ac:dyDescent="0.3">
      <c r="M6779" s="5"/>
    </row>
    <row r="6780" spans="13:13" ht="15" customHeight="1" x14ac:dyDescent="0.3">
      <c r="M6780" s="5"/>
    </row>
    <row r="6781" spans="13:13" ht="15" customHeight="1" x14ac:dyDescent="0.3">
      <c r="M6781" s="5"/>
    </row>
    <row r="6782" spans="13:13" ht="15" customHeight="1" x14ac:dyDescent="0.3">
      <c r="M6782" s="5"/>
    </row>
    <row r="6783" spans="13:13" ht="15" customHeight="1" x14ac:dyDescent="0.3">
      <c r="M6783" s="5"/>
    </row>
    <row r="6784" spans="13:13" ht="15" customHeight="1" x14ac:dyDescent="0.3">
      <c r="M6784" s="5"/>
    </row>
    <row r="6785" spans="13:13" ht="15" customHeight="1" x14ac:dyDescent="0.3">
      <c r="M6785" s="5"/>
    </row>
    <row r="6786" spans="13:13" ht="15" customHeight="1" x14ac:dyDescent="0.3">
      <c r="M6786" s="5"/>
    </row>
    <row r="6787" spans="13:13" ht="15" customHeight="1" x14ac:dyDescent="0.3">
      <c r="M6787" s="5"/>
    </row>
    <row r="6788" spans="13:13" ht="15" customHeight="1" x14ac:dyDescent="0.3">
      <c r="M6788" s="5"/>
    </row>
    <row r="6789" spans="13:13" ht="15" customHeight="1" x14ac:dyDescent="0.3">
      <c r="M6789" s="5"/>
    </row>
    <row r="6790" spans="13:13" ht="15" customHeight="1" x14ac:dyDescent="0.3">
      <c r="M6790" s="5"/>
    </row>
    <row r="6791" spans="13:13" ht="15" customHeight="1" x14ac:dyDescent="0.3">
      <c r="M6791" s="5"/>
    </row>
    <row r="6792" spans="13:13" ht="15" customHeight="1" x14ac:dyDescent="0.3">
      <c r="M6792" s="5"/>
    </row>
    <row r="6793" spans="13:13" ht="15" customHeight="1" x14ac:dyDescent="0.3">
      <c r="M6793" s="5"/>
    </row>
    <row r="6794" spans="13:13" ht="15" customHeight="1" x14ac:dyDescent="0.3">
      <c r="M6794" s="5"/>
    </row>
    <row r="6795" spans="13:13" ht="15" customHeight="1" x14ac:dyDescent="0.3">
      <c r="M6795" s="5"/>
    </row>
    <row r="6796" spans="13:13" ht="15" customHeight="1" x14ac:dyDescent="0.3">
      <c r="M6796" s="5"/>
    </row>
    <row r="6797" spans="13:13" ht="15" customHeight="1" x14ac:dyDescent="0.3">
      <c r="M6797" s="5"/>
    </row>
    <row r="6798" spans="13:13" ht="15" customHeight="1" x14ac:dyDescent="0.3">
      <c r="M6798" s="5"/>
    </row>
    <row r="6799" spans="13:13" ht="15" customHeight="1" x14ac:dyDescent="0.3">
      <c r="M6799" s="5"/>
    </row>
    <row r="6800" spans="13:13" ht="15" customHeight="1" x14ac:dyDescent="0.3">
      <c r="M6800" s="5"/>
    </row>
    <row r="6801" spans="13:13" ht="15" customHeight="1" x14ac:dyDescent="0.3">
      <c r="M6801" s="5"/>
    </row>
    <row r="6802" spans="13:13" ht="15" customHeight="1" x14ac:dyDescent="0.3">
      <c r="M6802" s="5"/>
    </row>
    <row r="6803" spans="13:13" ht="15" customHeight="1" x14ac:dyDescent="0.3">
      <c r="M6803" s="5"/>
    </row>
    <row r="6804" spans="13:13" ht="15" customHeight="1" x14ac:dyDescent="0.3">
      <c r="M6804" s="5"/>
    </row>
    <row r="6805" spans="13:13" ht="15" customHeight="1" x14ac:dyDescent="0.3">
      <c r="M6805" s="5"/>
    </row>
    <row r="6806" spans="13:13" ht="15" customHeight="1" x14ac:dyDescent="0.3">
      <c r="M6806" s="5"/>
    </row>
    <row r="6807" spans="13:13" ht="15" customHeight="1" x14ac:dyDescent="0.3">
      <c r="M6807" s="5"/>
    </row>
    <row r="6808" spans="13:13" ht="15" customHeight="1" x14ac:dyDescent="0.3">
      <c r="M6808" s="5"/>
    </row>
    <row r="6809" spans="13:13" ht="15" customHeight="1" x14ac:dyDescent="0.3">
      <c r="M6809" s="5"/>
    </row>
    <row r="6810" spans="13:13" ht="15" customHeight="1" x14ac:dyDescent="0.3">
      <c r="M6810" s="5"/>
    </row>
    <row r="6811" spans="13:13" ht="15" customHeight="1" x14ac:dyDescent="0.3">
      <c r="M6811" s="5"/>
    </row>
    <row r="6812" spans="13:13" ht="15" customHeight="1" x14ac:dyDescent="0.3">
      <c r="M6812" s="5"/>
    </row>
    <row r="6813" spans="13:13" ht="15" customHeight="1" x14ac:dyDescent="0.3">
      <c r="M6813" s="5"/>
    </row>
    <row r="6814" spans="13:13" ht="15" customHeight="1" x14ac:dyDescent="0.3">
      <c r="M6814" s="5"/>
    </row>
    <row r="6815" spans="13:13" ht="15" customHeight="1" x14ac:dyDescent="0.3">
      <c r="M6815" s="5"/>
    </row>
    <row r="6816" spans="13:13" ht="15" customHeight="1" x14ac:dyDescent="0.3">
      <c r="M6816" s="5"/>
    </row>
    <row r="6817" spans="13:13" ht="15" customHeight="1" x14ac:dyDescent="0.3">
      <c r="M6817" s="5"/>
    </row>
    <row r="6818" spans="13:13" ht="15" customHeight="1" x14ac:dyDescent="0.3">
      <c r="M6818" s="5"/>
    </row>
    <row r="6819" spans="13:13" ht="15" customHeight="1" x14ac:dyDescent="0.3">
      <c r="M6819" s="5"/>
    </row>
    <row r="6820" spans="13:13" ht="15" customHeight="1" x14ac:dyDescent="0.3">
      <c r="M6820" s="5"/>
    </row>
    <row r="6821" spans="13:13" ht="15" customHeight="1" x14ac:dyDescent="0.3">
      <c r="M6821" s="5"/>
    </row>
    <row r="6822" spans="13:13" ht="15" customHeight="1" x14ac:dyDescent="0.3">
      <c r="M6822" s="5"/>
    </row>
    <row r="6823" spans="13:13" ht="15" customHeight="1" x14ac:dyDescent="0.3">
      <c r="M6823" s="5"/>
    </row>
    <row r="6824" spans="13:13" ht="15" customHeight="1" x14ac:dyDescent="0.3">
      <c r="M6824" s="5"/>
    </row>
    <row r="6825" spans="13:13" ht="15" customHeight="1" x14ac:dyDescent="0.3">
      <c r="M6825" s="5"/>
    </row>
    <row r="6826" spans="13:13" ht="15" customHeight="1" x14ac:dyDescent="0.3">
      <c r="M6826" s="5"/>
    </row>
    <row r="6827" spans="13:13" ht="15" customHeight="1" x14ac:dyDescent="0.3">
      <c r="M6827" s="5"/>
    </row>
    <row r="6828" spans="13:13" ht="15" customHeight="1" x14ac:dyDescent="0.3">
      <c r="M6828" s="5"/>
    </row>
    <row r="6829" spans="13:13" ht="15" customHeight="1" x14ac:dyDescent="0.3">
      <c r="M6829" s="5"/>
    </row>
    <row r="6830" spans="13:13" ht="15" customHeight="1" x14ac:dyDescent="0.3">
      <c r="M6830" s="5"/>
    </row>
    <row r="6831" spans="13:13" ht="15" customHeight="1" x14ac:dyDescent="0.3">
      <c r="M6831" s="5"/>
    </row>
    <row r="6832" spans="13:13" ht="15" customHeight="1" x14ac:dyDescent="0.3">
      <c r="M6832" s="5"/>
    </row>
    <row r="6833" spans="13:13" ht="15" customHeight="1" x14ac:dyDescent="0.3">
      <c r="M6833" s="5"/>
    </row>
    <row r="6834" spans="13:13" ht="15" customHeight="1" x14ac:dyDescent="0.3">
      <c r="M6834" s="5"/>
    </row>
    <row r="6835" spans="13:13" ht="15" customHeight="1" x14ac:dyDescent="0.3">
      <c r="M6835" s="5"/>
    </row>
    <row r="6836" spans="13:13" ht="15" customHeight="1" x14ac:dyDescent="0.3">
      <c r="M6836" s="5"/>
    </row>
    <row r="6837" spans="13:13" ht="15" customHeight="1" x14ac:dyDescent="0.3">
      <c r="M6837" s="5"/>
    </row>
    <row r="6838" spans="13:13" ht="15" customHeight="1" x14ac:dyDescent="0.3">
      <c r="M6838" s="5"/>
    </row>
    <row r="6839" spans="13:13" ht="15" customHeight="1" x14ac:dyDescent="0.3">
      <c r="M6839" s="5"/>
    </row>
    <row r="6840" spans="13:13" ht="15" customHeight="1" x14ac:dyDescent="0.3">
      <c r="M6840" s="5"/>
    </row>
    <row r="6841" spans="13:13" ht="15" customHeight="1" x14ac:dyDescent="0.3">
      <c r="M6841" s="5"/>
    </row>
    <row r="6842" spans="13:13" ht="15" customHeight="1" x14ac:dyDescent="0.3">
      <c r="M6842" s="5"/>
    </row>
    <row r="6843" spans="13:13" ht="15" customHeight="1" x14ac:dyDescent="0.3">
      <c r="M6843" s="5"/>
    </row>
    <row r="6844" spans="13:13" ht="15" customHeight="1" x14ac:dyDescent="0.3">
      <c r="M6844" s="5"/>
    </row>
    <row r="6845" spans="13:13" ht="15" customHeight="1" x14ac:dyDescent="0.3">
      <c r="M6845" s="5"/>
    </row>
    <row r="6846" spans="13:13" ht="15" customHeight="1" x14ac:dyDescent="0.3">
      <c r="M6846" s="5"/>
    </row>
    <row r="6847" spans="13:13" ht="15" customHeight="1" x14ac:dyDescent="0.3">
      <c r="M6847" s="5"/>
    </row>
    <row r="6848" spans="13:13" ht="15" customHeight="1" x14ac:dyDescent="0.3">
      <c r="M6848" s="5"/>
    </row>
    <row r="6849" spans="13:13" ht="15" customHeight="1" x14ac:dyDescent="0.3">
      <c r="M6849" s="5"/>
    </row>
    <row r="6850" spans="13:13" ht="15" customHeight="1" x14ac:dyDescent="0.3">
      <c r="M6850" s="5"/>
    </row>
    <row r="6851" spans="13:13" ht="15" customHeight="1" x14ac:dyDescent="0.3">
      <c r="M6851" s="5"/>
    </row>
    <row r="6852" spans="13:13" ht="15" customHeight="1" x14ac:dyDescent="0.3">
      <c r="M6852" s="5"/>
    </row>
    <row r="6853" spans="13:13" ht="15" customHeight="1" x14ac:dyDescent="0.3">
      <c r="M6853" s="5"/>
    </row>
    <row r="6854" spans="13:13" ht="15" customHeight="1" x14ac:dyDescent="0.3">
      <c r="M6854" s="5"/>
    </row>
    <row r="6855" spans="13:13" ht="15" customHeight="1" x14ac:dyDescent="0.3">
      <c r="M6855" s="5"/>
    </row>
    <row r="6856" spans="13:13" ht="15" customHeight="1" x14ac:dyDescent="0.3">
      <c r="M6856" s="5"/>
    </row>
    <row r="6857" spans="13:13" ht="15" customHeight="1" x14ac:dyDescent="0.3">
      <c r="M6857" s="5"/>
    </row>
    <row r="6858" spans="13:13" ht="15" customHeight="1" x14ac:dyDescent="0.3">
      <c r="M6858" s="5"/>
    </row>
    <row r="6859" spans="13:13" ht="15" customHeight="1" x14ac:dyDescent="0.3">
      <c r="M6859" s="5"/>
    </row>
    <row r="6860" spans="13:13" ht="15" customHeight="1" x14ac:dyDescent="0.3">
      <c r="M6860" s="5"/>
    </row>
    <row r="6861" spans="13:13" ht="15" customHeight="1" x14ac:dyDescent="0.3">
      <c r="M6861" s="5"/>
    </row>
    <row r="6862" spans="13:13" ht="15" customHeight="1" x14ac:dyDescent="0.3">
      <c r="M6862" s="5"/>
    </row>
    <row r="6863" spans="13:13" ht="15" customHeight="1" x14ac:dyDescent="0.3">
      <c r="M6863" s="5"/>
    </row>
    <row r="6864" spans="13:13" ht="15" customHeight="1" x14ac:dyDescent="0.3">
      <c r="M6864" s="5"/>
    </row>
    <row r="6865" spans="13:13" ht="15" customHeight="1" x14ac:dyDescent="0.3">
      <c r="M6865" s="5"/>
    </row>
    <row r="6866" spans="13:13" ht="15" customHeight="1" x14ac:dyDescent="0.3">
      <c r="M6866" s="5"/>
    </row>
    <row r="6867" spans="13:13" ht="15" customHeight="1" x14ac:dyDescent="0.3">
      <c r="M6867" s="5"/>
    </row>
    <row r="6868" spans="13:13" ht="15" customHeight="1" x14ac:dyDescent="0.3">
      <c r="M6868" s="5"/>
    </row>
    <row r="6869" spans="13:13" ht="15" customHeight="1" x14ac:dyDescent="0.3">
      <c r="M6869" s="5"/>
    </row>
    <row r="6870" spans="13:13" ht="15" customHeight="1" x14ac:dyDescent="0.3">
      <c r="M6870" s="5"/>
    </row>
    <row r="6871" spans="13:13" ht="15" customHeight="1" x14ac:dyDescent="0.3">
      <c r="M6871" s="5"/>
    </row>
    <row r="6872" spans="13:13" ht="15" customHeight="1" x14ac:dyDescent="0.3">
      <c r="M6872" s="5"/>
    </row>
    <row r="6873" spans="13:13" ht="15" customHeight="1" x14ac:dyDescent="0.3">
      <c r="M6873" s="5"/>
    </row>
    <row r="6874" spans="13:13" ht="15" customHeight="1" x14ac:dyDescent="0.3">
      <c r="M6874" s="5"/>
    </row>
    <row r="6875" spans="13:13" ht="15" customHeight="1" x14ac:dyDescent="0.3">
      <c r="M6875" s="5"/>
    </row>
    <row r="6876" spans="13:13" ht="15" customHeight="1" x14ac:dyDescent="0.3">
      <c r="M6876" s="5"/>
    </row>
    <row r="6877" spans="13:13" ht="15" customHeight="1" x14ac:dyDescent="0.3">
      <c r="M6877" s="5"/>
    </row>
    <row r="6878" spans="13:13" ht="15" customHeight="1" x14ac:dyDescent="0.3">
      <c r="M6878" s="5"/>
    </row>
    <row r="6879" spans="13:13" ht="15" customHeight="1" x14ac:dyDescent="0.3">
      <c r="M6879" s="5"/>
    </row>
    <row r="6880" spans="13:13" ht="15" customHeight="1" x14ac:dyDescent="0.3">
      <c r="M6880" s="5"/>
    </row>
    <row r="6881" spans="13:13" ht="15" customHeight="1" x14ac:dyDescent="0.3">
      <c r="M6881" s="5"/>
    </row>
    <row r="6882" spans="13:13" ht="15" customHeight="1" x14ac:dyDescent="0.3">
      <c r="M6882" s="5"/>
    </row>
    <row r="6883" spans="13:13" ht="15" customHeight="1" x14ac:dyDescent="0.3">
      <c r="M6883" s="5"/>
    </row>
    <row r="6884" spans="13:13" ht="15" customHeight="1" x14ac:dyDescent="0.3">
      <c r="M6884" s="5"/>
    </row>
    <row r="6885" spans="13:13" ht="15" customHeight="1" x14ac:dyDescent="0.3">
      <c r="M6885" s="5"/>
    </row>
    <row r="6886" spans="13:13" ht="15" customHeight="1" x14ac:dyDescent="0.3">
      <c r="M6886" s="5"/>
    </row>
    <row r="6887" spans="13:13" ht="15" customHeight="1" x14ac:dyDescent="0.3">
      <c r="M6887" s="5"/>
    </row>
    <row r="6888" spans="13:13" ht="15" customHeight="1" x14ac:dyDescent="0.3">
      <c r="M6888" s="5"/>
    </row>
    <row r="6889" spans="13:13" ht="15" customHeight="1" x14ac:dyDescent="0.3">
      <c r="M6889" s="5"/>
    </row>
    <row r="6890" spans="13:13" ht="15" customHeight="1" x14ac:dyDescent="0.3">
      <c r="M6890" s="5"/>
    </row>
    <row r="6891" spans="13:13" ht="15" customHeight="1" x14ac:dyDescent="0.3">
      <c r="M6891" s="5"/>
    </row>
    <row r="6892" spans="13:13" ht="15" customHeight="1" x14ac:dyDescent="0.3">
      <c r="M6892" s="5"/>
    </row>
    <row r="6893" spans="13:13" ht="15" customHeight="1" x14ac:dyDescent="0.3">
      <c r="M6893" s="5"/>
    </row>
    <row r="6894" spans="13:13" ht="15" customHeight="1" x14ac:dyDescent="0.3">
      <c r="M6894" s="5"/>
    </row>
    <row r="6895" spans="13:13" ht="15" customHeight="1" x14ac:dyDescent="0.3">
      <c r="M6895" s="5"/>
    </row>
    <row r="6896" spans="13:13" ht="15" customHeight="1" x14ac:dyDescent="0.3">
      <c r="M6896" s="5"/>
    </row>
    <row r="6897" spans="13:13" ht="15" customHeight="1" x14ac:dyDescent="0.3">
      <c r="M6897" s="5"/>
    </row>
    <row r="6898" spans="13:13" ht="15" customHeight="1" x14ac:dyDescent="0.3">
      <c r="M6898" s="5"/>
    </row>
    <row r="6899" spans="13:13" ht="15" customHeight="1" x14ac:dyDescent="0.3">
      <c r="M6899" s="5"/>
    </row>
    <row r="6900" spans="13:13" ht="15" customHeight="1" x14ac:dyDescent="0.3">
      <c r="M6900" s="5"/>
    </row>
    <row r="6901" spans="13:13" ht="15" customHeight="1" x14ac:dyDescent="0.3">
      <c r="M6901" s="5"/>
    </row>
    <row r="6902" spans="13:13" ht="15" customHeight="1" x14ac:dyDescent="0.3">
      <c r="M6902" s="5"/>
    </row>
    <row r="6903" spans="13:13" ht="15" customHeight="1" x14ac:dyDescent="0.3">
      <c r="M6903" s="5"/>
    </row>
    <row r="6904" spans="13:13" ht="15" customHeight="1" x14ac:dyDescent="0.3">
      <c r="M6904" s="5"/>
    </row>
    <row r="6905" spans="13:13" ht="15" customHeight="1" x14ac:dyDescent="0.3">
      <c r="M6905" s="5"/>
    </row>
    <row r="6906" spans="13:13" ht="15" customHeight="1" x14ac:dyDescent="0.3">
      <c r="M6906" s="5"/>
    </row>
    <row r="6907" spans="13:13" ht="15" customHeight="1" x14ac:dyDescent="0.3">
      <c r="M6907" s="5"/>
    </row>
    <row r="6908" spans="13:13" ht="15" customHeight="1" x14ac:dyDescent="0.3">
      <c r="M6908" s="5"/>
    </row>
    <row r="6909" spans="13:13" ht="15" customHeight="1" x14ac:dyDescent="0.3">
      <c r="M6909" s="5"/>
    </row>
    <row r="6910" spans="13:13" ht="15" customHeight="1" x14ac:dyDescent="0.3">
      <c r="M6910" s="5"/>
    </row>
    <row r="6911" spans="13:13" ht="15" customHeight="1" x14ac:dyDescent="0.3">
      <c r="M6911" s="5"/>
    </row>
    <row r="6912" spans="13:13" ht="15" customHeight="1" x14ac:dyDescent="0.3">
      <c r="M6912" s="5"/>
    </row>
    <row r="6913" spans="13:13" ht="15" customHeight="1" x14ac:dyDescent="0.3">
      <c r="M6913" s="5"/>
    </row>
    <row r="6914" spans="13:13" ht="15" customHeight="1" x14ac:dyDescent="0.3">
      <c r="M6914" s="5"/>
    </row>
    <row r="6915" spans="13:13" ht="15" customHeight="1" x14ac:dyDescent="0.3">
      <c r="M6915" s="5"/>
    </row>
    <row r="6916" spans="13:13" ht="15" customHeight="1" x14ac:dyDescent="0.3">
      <c r="M6916" s="5"/>
    </row>
    <row r="6917" spans="13:13" ht="15" customHeight="1" x14ac:dyDescent="0.3">
      <c r="M6917" s="5"/>
    </row>
    <row r="6918" spans="13:13" ht="15" customHeight="1" x14ac:dyDescent="0.3">
      <c r="M6918" s="5"/>
    </row>
    <row r="6919" spans="13:13" ht="15" customHeight="1" x14ac:dyDescent="0.3">
      <c r="M6919" s="5"/>
    </row>
    <row r="6920" spans="13:13" ht="15" customHeight="1" x14ac:dyDescent="0.3">
      <c r="M6920" s="5"/>
    </row>
    <row r="6921" spans="13:13" ht="15" customHeight="1" x14ac:dyDescent="0.3">
      <c r="M6921" s="5"/>
    </row>
    <row r="6922" spans="13:13" ht="15" customHeight="1" x14ac:dyDescent="0.3">
      <c r="M6922" s="5"/>
    </row>
    <row r="6923" spans="13:13" ht="15" customHeight="1" x14ac:dyDescent="0.3">
      <c r="M6923" s="5"/>
    </row>
    <row r="6924" spans="13:13" ht="15" customHeight="1" x14ac:dyDescent="0.3">
      <c r="M6924" s="5"/>
    </row>
    <row r="6925" spans="13:13" ht="15" customHeight="1" x14ac:dyDescent="0.3">
      <c r="M6925" s="5"/>
    </row>
    <row r="6926" spans="13:13" ht="15" customHeight="1" x14ac:dyDescent="0.3">
      <c r="M6926" s="5"/>
    </row>
    <row r="6927" spans="13:13" ht="15" customHeight="1" x14ac:dyDescent="0.3">
      <c r="M6927" s="5"/>
    </row>
    <row r="6928" spans="13:13" ht="15" customHeight="1" x14ac:dyDescent="0.3">
      <c r="M6928" s="5"/>
    </row>
    <row r="6929" spans="13:13" ht="15" customHeight="1" x14ac:dyDescent="0.3">
      <c r="M6929" s="5"/>
    </row>
    <row r="6930" spans="13:13" ht="15" customHeight="1" x14ac:dyDescent="0.3">
      <c r="M6930" s="5"/>
    </row>
    <row r="6931" spans="13:13" ht="15" customHeight="1" x14ac:dyDescent="0.3">
      <c r="M6931" s="5"/>
    </row>
    <row r="6932" spans="13:13" ht="15" customHeight="1" x14ac:dyDescent="0.3">
      <c r="M6932" s="5"/>
    </row>
    <row r="6933" spans="13:13" ht="15" customHeight="1" x14ac:dyDescent="0.3">
      <c r="M6933" s="5"/>
    </row>
    <row r="6934" spans="13:13" ht="15" customHeight="1" x14ac:dyDescent="0.3">
      <c r="M6934" s="5"/>
    </row>
    <row r="6935" spans="13:13" ht="15" customHeight="1" x14ac:dyDescent="0.3">
      <c r="M6935" s="5"/>
    </row>
    <row r="6936" spans="13:13" ht="15" customHeight="1" x14ac:dyDescent="0.3">
      <c r="M6936" s="5"/>
    </row>
    <row r="6937" spans="13:13" ht="15" customHeight="1" x14ac:dyDescent="0.3">
      <c r="M6937" s="5"/>
    </row>
    <row r="6938" spans="13:13" ht="15" customHeight="1" x14ac:dyDescent="0.3">
      <c r="M6938" s="5"/>
    </row>
    <row r="6939" spans="13:13" ht="15" customHeight="1" x14ac:dyDescent="0.3">
      <c r="M6939" s="5"/>
    </row>
    <row r="6940" spans="13:13" ht="15" customHeight="1" x14ac:dyDescent="0.3">
      <c r="M6940" s="5"/>
    </row>
    <row r="6941" spans="13:13" ht="15" customHeight="1" x14ac:dyDescent="0.3">
      <c r="M6941" s="5"/>
    </row>
    <row r="6942" spans="13:13" ht="15" customHeight="1" x14ac:dyDescent="0.3">
      <c r="M6942" s="5"/>
    </row>
    <row r="6943" spans="13:13" ht="15" customHeight="1" x14ac:dyDescent="0.3">
      <c r="M6943" s="5"/>
    </row>
    <row r="6944" spans="13:13" ht="15" customHeight="1" x14ac:dyDescent="0.3">
      <c r="M6944" s="5"/>
    </row>
    <row r="6945" spans="13:13" ht="15" customHeight="1" x14ac:dyDescent="0.3">
      <c r="M6945" s="5"/>
    </row>
    <row r="6946" spans="13:13" ht="15" customHeight="1" x14ac:dyDescent="0.3">
      <c r="M6946" s="5"/>
    </row>
    <row r="6947" spans="13:13" ht="15" customHeight="1" x14ac:dyDescent="0.3">
      <c r="M6947" s="5"/>
    </row>
    <row r="6948" spans="13:13" ht="15" customHeight="1" x14ac:dyDescent="0.3">
      <c r="M6948" s="5"/>
    </row>
    <row r="6949" spans="13:13" ht="15" customHeight="1" x14ac:dyDescent="0.3">
      <c r="M6949" s="5"/>
    </row>
    <row r="6950" spans="13:13" ht="15" customHeight="1" x14ac:dyDescent="0.3">
      <c r="M6950" s="5"/>
    </row>
    <row r="6951" spans="13:13" ht="15" customHeight="1" x14ac:dyDescent="0.3">
      <c r="M6951" s="5"/>
    </row>
    <row r="6952" spans="13:13" ht="15" customHeight="1" x14ac:dyDescent="0.3">
      <c r="M6952" s="5"/>
    </row>
    <row r="6953" spans="13:13" ht="15" customHeight="1" x14ac:dyDescent="0.3">
      <c r="M6953" s="5"/>
    </row>
    <row r="6954" spans="13:13" ht="15" customHeight="1" x14ac:dyDescent="0.3">
      <c r="M6954" s="5"/>
    </row>
    <row r="6955" spans="13:13" ht="15" customHeight="1" x14ac:dyDescent="0.3">
      <c r="M6955" s="5"/>
    </row>
    <row r="6956" spans="13:13" ht="15" customHeight="1" x14ac:dyDescent="0.3">
      <c r="M6956" s="5"/>
    </row>
    <row r="6957" spans="13:13" ht="15" customHeight="1" x14ac:dyDescent="0.3">
      <c r="M6957" s="5"/>
    </row>
    <row r="6958" spans="13:13" ht="15" customHeight="1" x14ac:dyDescent="0.3">
      <c r="M6958" s="5"/>
    </row>
    <row r="6959" spans="13:13" ht="15" customHeight="1" x14ac:dyDescent="0.3">
      <c r="M6959" s="5"/>
    </row>
    <row r="6960" spans="13:13" ht="15" customHeight="1" x14ac:dyDescent="0.3">
      <c r="M6960" s="5"/>
    </row>
    <row r="6961" spans="13:13" ht="15" customHeight="1" x14ac:dyDescent="0.3">
      <c r="M6961" s="5"/>
    </row>
    <row r="6962" spans="13:13" ht="15" customHeight="1" x14ac:dyDescent="0.3">
      <c r="M6962" s="5"/>
    </row>
    <row r="6963" spans="13:13" ht="15" customHeight="1" x14ac:dyDescent="0.3">
      <c r="M6963" s="5"/>
    </row>
    <row r="6964" spans="13:13" ht="15" customHeight="1" x14ac:dyDescent="0.3">
      <c r="M6964" s="5"/>
    </row>
    <row r="6965" spans="13:13" ht="15" customHeight="1" x14ac:dyDescent="0.3">
      <c r="M6965" s="5"/>
    </row>
    <row r="6966" spans="13:13" ht="15" customHeight="1" x14ac:dyDescent="0.3">
      <c r="M6966" s="5"/>
    </row>
    <row r="6967" spans="13:13" ht="15" customHeight="1" x14ac:dyDescent="0.3">
      <c r="M6967" s="5"/>
    </row>
    <row r="6968" spans="13:13" ht="15" customHeight="1" x14ac:dyDescent="0.3">
      <c r="M6968" s="5"/>
    </row>
    <row r="6969" spans="13:13" ht="15" customHeight="1" x14ac:dyDescent="0.3">
      <c r="M6969" s="5"/>
    </row>
    <row r="6970" spans="13:13" ht="15" customHeight="1" x14ac:dyDescent="0.3">
      <c r="M6970" s="5"/>
    </row>
    <row r="6971" spans="13:13" ht="15" customHeight="1" x14ac:dyDescent="0.3">
      <c r="M6971" s="5"/>
    </row>
    <row r="6972" spans="13:13" ht="15" customHeight="1" x14ac:dyDescent="0.3">
      <c r="M6972" s="5"/>
    </row>
    <row r="6973" spans="13:13" ht="15" customHeight="1" x14ac:dyDescent="0.3">
      <c r="M6973" s="5"/>
    </row>
    <row r="6974" spans="13:13" ht="15" customHeight="1" x14ac:dyDescent="0.3">
      <c r="M6974" s="5"/>
    </row>
    <row r="6975" spans="13:13" ht="15" customHeight="1" x14ac:dyDescent="0.3">
      <c r="M6975" s="5"/>
    </row>
    <row r="6976" spans="13:13" ht="15" customHeight="1" x14ac:dyDescent="0.3">
      <c r="M6976" s="5"/>
    </row>
    <row r="6977" spans="13:13" ht="15" customHeight="1" x14ac:dyDescent="0.3">
      <c r="M6977" s="5"/>
    </row>
    <row r="6978" spans="13:13" ht="15" customHeight="1" x14ac:dyDescent="0.3">
      <c r="M6978" s="5"/>
    </row>
    <row r="6979" spans="13:13" ht="15" customHeight="1" x14ac:dyDescent="0.3">
      <c r="M6979" s="5"/>
    </row>
    <row r="6980" spans="13:13" ht="15" customHeight="1" x14ac:dyDescent="0.3">
      <c r="M6980" s="5"/>
    </row>
    <row r="6981" spans="13:13" ht="15" customHeight="1" x14ac:dyDescent="0.3">
      <c r="M6981" s="5"/>
    </row>
    <row r="6982" spans="13:13" ht="15" customHeight="1" x14ac:dyDescent="0.3">
      <c r="M6982" s="5"/>
    </row>
    <row r="6983" spans="13:13" ht="15" customHeight="1" x14ac:dyDescent="0.3">
      <c r="M6983" s="5"/>
    </row>
    <row r="6984" spans="13:13" ht="15" customHeight="1" x14ac:dyDescent="0.3">
      <c r="M6984" s="5"/>
    </row>
    <row r="6985" spans="13:13" ht="15" customHeight="1" x14ac:dyDescent="0.3">
      <c r="M6985" s="5"/>
    </row>
    <row r="6986" spans="13:13" ht="15" customHeight="1" x14ac:dyDescent="0.3">
      <c r="M6986" s="5"/>
    </row>
    <row r="6987" spans="13:13" ht="15" customHeight="1" x14ac:dyDescent="0.3">
      <c r="M6987" s="5"/>
    </row>
    <row r="6988" spans="13:13" ht="15" customHeight="1" x14ac:dyDescent="0.3">
      <c r="M6988" s="5"/>
    </row>
    <row r="6989" spans="13:13" ht="15" customHeight="1" x14ac:dyDescent="0.3">
      <c r="M6989" s="5"/>
    </row>
    <row r="6990" spans="13:13" ht="15" customHeight="1" x14ac:dyDescent="0.3">
      <c r="M6990" s="5"/>
    </row>
    <row r="6991" spans="13:13" ht="15" customHeight="1" x14ac:dyDescent="0.3">
      <c r="M6991" s="5"/>
    </row>
    <row r="6992" spans="13:13" ht="15" customHeight="1" x14ac:dyDescent="0.3">
      <c r="M6992" s="5"/>
    </row>
    <row r="6993" spans="13:13" ht="15" customHeight="1" x14ac:dyDescent="0.3">
      <c r="M6993" s="5"/>
    </row>
    <row r="6994" spans="13:13" ht="15" customHeight="1" x14ac:dyDescent="0.3">
      <c r="M6994" s="5"/>
    </row>
    <row r="6995" spans="13:13" ht="15" customHeight="1" x14ac:dyDescent="0.3">
      <c r="M6995" s="5"/>
    </row>
    <row r="6996" spans="13:13" ht="15" customHeight="1" x14ac:dyDescent="0.3">
      <c r="M6996" s="5"/>
    </row>
    <row r="6997" spans="13:13" ht="15" customHeight="1" x14ac:dyDescent="0.3">
      <c r="M6997" s="5"/>
    </row>
    <row r="6998" spans="13:13" ht="15" customHeight="1" x14ac:dyDescent="0.3">
      <c r="M6998" s="5"/>
    </row>
    <row r="6999" spans="13:13" ht="15" customHeight="1" x14ac:dyDescent="0.3">
      <c r="M6999" s="5"/>
    </row>
    <row r="7000" spans="13:13" ht="15" customHeight="1" x14ac:dyDescent="0.3">
      <c r="M7000" s="5"/>
    </row>
    <row r="7001" spans="13:13" ht="15" customHeight="1" x14ac:dyDescent="0.3">
      <c r="M7001" s="5"/>
    </row>
    <row r="7002" spans="13:13" ht="15" customHeight="1" x14ac:dyDescent="0.3">
      <c r="M7002" s="5"/>
    </row>
    <row r="7003" spans="13:13" ht="15" customHeight="1" x14ac:dyDescent="0.3">
      <c r="M7003" s="5"/>
    </row>
    <row r="7004" spans="13:13" ht="15" customHeight="1" x14ac:dyDescent="0.3">
      <c r="M7004" s="5"/>
    </row>
    <row r="7005" spans="13:13" ht="15" customHeight="1" x14ac:dyDescent="0.3">
      <c r="M7005" s="5"/>
    </row>
    <row r="7006" spans="13:13" ht="15" customHeight="1" x14ac:dyDescent="0.3">
      <c r="M7006" s="5"/>
    </row>
    <row r="7007" spans="13:13" ht="15" customHeight="1" x14ac:dyDescent="0.3">
      <c r="M7007" s="5"/>
    </row>
    <row r="7008" spans="13:13" ht="15" customHeight="1" x14ac:dyDescent="0.3">
      <c r="M7008" s="5"/>
    </row>
    <row r="7009" spans="13:13" ht="15" customHeight="1" x14ac:dyDescent="0.3">
      <c r="M7009" s="5"/>
    </row>
    <row r="7010" spans="13:13" ht="15" customHeight="1" x14ac:dyDescent="0.3">
      <c r="M7010" s="5"/>
    </row>
    <row r="7011" spans="13:13" ht="15" customHeight="1" x14ac:dyDescent="0.3">
      <c r="M7011" s="5"/>
    </row>
    <row r="7012" spans="13:13" ht="15" customHeight="1" x14ac:dyDescent="0.3">
      <c r="M7012" s="5"/>
    </row>
    <row r="7013" spans="13:13" ht="15" customHeight="1" x14ac:dyDescent="0.3">
      <c r="M7013" s="5"/>
    </row>
    <row r="7014" spans="13:13" ht="15" customHeight="1" x14ac:dyDescent="0.3">
      <c r="M7014" s="5"/>
    </row>
    <row r="7015" spans="13:13" ht="15" customHeight="1" x14ac:dyDescent="0.3">
      <c r="M7015" s="5"/>
    </row>
    <row r="7016" spans="13:13" ht="15" customHeight="1" x14ac:dyDescent="0.3">
      <c r="M7016" s="5"/>
    </row>
    <row r="7017" spans="13:13" ht="15" customHeight="1" x14ac:dyDescent="0.3">
      <c r="M7017" s="5"/>
    </row>
    <row r="7018" spans="13:13" ht="15" customHeight="1" x14ac:dyDescent="0.3">
      <c r="M7018" s="5"/>
    </row>
    <row r="7019" spans="13:13" ht="15" customHeight="1" x14ac:dyDescent="0.3">
      <c r="M7019" s="5"/>
    </row>
    <row r="7020" spans="13:13" ht="15" customHeight="1" x14ac:dyDescent="0.3">
      <c r="M7020" s="5"/>
    </row>
    <row r="7021" spans="13:13" ht="15" customHeight="1" x14ac:dyDescent="0.3">
      <c r="M7021" s="5"/>
    </row>
    <row r="7022" spans="13:13" ht="15" customHeight="1" x14ac:dyDescent="0.3">
      <c r="M7022" s="5"/>
    </row>
    <row r="7023" spans="13:13" ht="15" customHeight="1" x14ac:dyDescent="0.3">
      <c r="M7023" s="5"/>
    </row>
    <row r="7024" spans="13:13" ht="15" customHeight="1" x14ac:dyDescent="0.3">
      <c r="M7024" s="5"/>
    </row>
    <row r="7025" spans="13:13" ht="15" customHeight="1" x14ac:dyDescent="0.3">
      <c r="M7025" s="5"/>
    </row>
    <row r="7026" spans="13:13" ht="15" customHeight="1" x14ac:dyDescent="0.3">
      <c r="M7026" s="5"/>
    </row>
    <row r="7027" spans="13:13" ht="15" customHeight="1" x14ac:dyDescent="0.3">
      <c r="M7027" s="5"/>
    </row>
    <row r="7028" spans="13:13" ht="15" customHeight="1" x14ac:dyDescent="0.3">
      <c r="M7028" s="5"/>
    </row>
    <row r="7029" spans="13:13" ht="15" customHeight="1" x14ac:dyDescent="0.3">
      <c r="M7029" s="5"/>
    </row>
    <row r="7030" spans="13:13" ht="15" customHeight="1" x14ac:dyDescent="0.3">
      <c r="M7030" s="5"/>
    </row>
    <row r="7031" spans="13:13" ht="15" customHeight="1" x14ac:dyDescent="0.3">
      <c r="M7031" s="5"/>
    </row>
    <row r="7032" spans="13:13" ht="15" customHeight="1" x14ac:dyDescent="0.3">
      <c r="M7032" s="5"/>
    </row>
    <row r="7033" spans="13:13" ht="15" customHeight="1" x14ac:dyDescent="0.3">
      <c r="M7033" s="5"/>
    </row>
    <row r="7034" spans="13:13" ht="15" customHeight="1" x14ac:dyDescent="0.3">
      <c r="M7034" s="5"/>
    </row>
    <row r="7035" spans="13:13" ht="15" customHeight="1" x14ac:dyDescent="0.3">
      <c r="M7035" s="5"/>
    </row>
    <row r="7036" spans="13:13" ht="15" customHeight="1" x14ac:dyDescent="0.3">
      <c r="M7036" s="5"/>
    </row>
    <row r="7037" spans="13:13" ht="15" customHeight="1" x14ac:dyDescent="0.3">
      <c r="M7037" s="5"/>
    </row>
    <row r="7038" spans="13:13" ht="15" customHeight="1" x14ac:dyDescent="0.3">
      <c r="M7038" s="5"/>
    </row>
    <row r="7039" spans="13:13" ht="15" customHeight="1" x14ac:dyDescent="0.3">
      <c r="M7039" s="5"/>
    </row>
    <row r="7040" spans="13:13" ht="15" customHeight="1" x14ac:dyDescent="0.3">
      <c r="M7040" s="5"/>
    </row>
    <row r="7041" spans="13:13" ht="15" customHeight="1" x14ac:dyDescent="0.3">
      <c r="M7041" s="5"/>
    </row>
    <row r="7042" spans="13:13" ht="15" customHeight="1" x14ac:dyDescent="0.3">
      <c r="M7042" s="5"/>
    </row>
    <row r="7043" spans="13:13" ht="15" customHeight="1" x14ac:dyDescent="0.3">
      <c r="M7043" s="5"/>
    </row>
    <row r="7044" spans="13:13" ht="15" customHeight="1" x14ac:dyDescent="0.3">
      <c r="M7044" s="5"/>
    </row>
    <row r="7045" spans="13:13" ht="15" customHeight="1" x14ac:dyDescent="0.3">
      <c r="M7045" s="5"/>
    </row>
    <row r="7046" spans="13:13" ht="15" customHeight="1" x14ac:dyDescent="0.3">
      <c r="M7046" s="5"/>
    </row>
    <row r="7047" spans="13:13" ht="15" customHeight="1" x14ac:dyDescent="0.3">
      <c r="M7047" s="5"/>
    </row>
    <row r="7048" spans="13:13" ht="15" customHeight="1" x14ac:dyDescent="0.3">
      <c r="M7048" s="5"/>
    </row>
    <row r="7049" spans="13:13" ht="15" customHeight="1" x14ac:dyDescent="0.3">
      <c r="M7049" s="5"/>
    </row>
    <row r="7050" spans="13:13" ht="15" customHeight="1" x14ac:dyDescent="0.3">
      <c r="M7050" s="5"/>
    </row>
    <row r="7051" spans="13:13" ht="15" customHeight="1" x14ac:dyDescent="0.3">
      <c r="M7051" s="5"/>
    </row>
    <row r="7052" spans="13:13" ht="15" customHeight="1" x14ac:dyDescent="0.3">
      <c r="M7052" s="5"/>
    </row>
    <row r="7053" spans="13:13" ht="15" customHeight="1" x14ac:dyDescent="0.3">
      <c r="M7053" s="5"/>
    </row>
    <row r="7054" spans="13:13" ht="15" customHeight="1" x14ac:dyDescent="0.3">
      <c r="M7054" s="5"/>
    </row>
    <row r="7055" spans="13:13" ht="15" customHeight="1" x14ac:dyDescent="0.3">
      <c r="M7055" s="5"/>
    </row>
    <row r="7056" spans="13:13" ht="15" customHeight="1" x14ac:dyDescent="0.3">
      <c r="M7056" s="5"/>
    </row>
    <row r="7057" spans="13:13" ht="15" customHeight="1" x14ac:dyDescent="0.3">
      <c r="M7057" s="5"/>
    </row>
    <row r="7058" spans="13:13" ht="15" customHeight="1" x14ac:dyDescent="0.3">
      <c r="M7058" s="5"/>
    </row>
    <row r="7059" spans="13:13" ht="15" customHeight="1" x14ac:dyDescent="0.3">
      <c r="M7059" s="5"/>
    </row>
    <row r="7060" spans="13:13" ht="15" customHeight="1" x14ac:dyDescent="0.3">
      <c r="M7060" s="5"/>
    </row>
    <row r="7061" spans="13:13" ht="15" customHeight="1" x14ac:dyDescent="0.3">
      <c r="M7061" s="5"/>
    </row>
    <row r="7062" spans="13:13" ht="15" customHeight="1" x14ac:dyDescent="0.3">
      <c r="M7062" s="5"/>
    </row>
    <row r="7063" spans="13:13" ht="15" customHeight="1" x14ac:dyDescent="0.3">
      <c r="M7063" s="5"/>
    </row>
    <row r="7064" spans="13:13" ht="15" customHeight="1" x14ac:dyDescent="0.3">
      <c r="M7064" s="5"/>
    </row>
    <row r="7065" spans="13:13" ht="15" customHeight="1" x14ac:dyDescent="0.3">
      <c r="M7065" s="5"/>
    </row>
    <row r="7066" spans="13:13" ht="15" customHeight="1" x14ac:dyDescent="0.3">
      <c r="M7066" s="5"/>
    </row>
    <row r="7067" spans="13:13" ht="15" customHeight="1" x14ac:dyDescent="0.3">
      <c r="M7067" s="5"/>
    </row>
    <row r="7068" spans="13:13" ht="15" customHeight="1" x14ac:dyDescent="0.3">
      <c r="M7068" s="5"/>
    </row>
    <row r="7069" spans="13:13" ht="15" customHeight="1" x14ac:dyDescent="0.3">
      <c r="M7069" s="5"/>
    </row>
    <row r="7070" spans="13:13" ht="15" customHeight="1" x14ac:dyDescent="0.3">
      <c r="M7070" s="5"/>
    </row>
    <row r="7071" spans="13:13" ht="15" customHeight="1" x14ac:dyDescent="0.3">
      <c r="M7071" s="5"/>
    </row>
    <row r="7072" spans="13:13" ht="15" customHeight="1" x14ac:dyDescent="0.3">
      <c r="M7072" s="5"/>
    </row>
    <row r="7073" spans="13:13" ht="15" customHeight="1" x14ac:dyDescent="0.3">
      <c r="M7073" s="5"/>
    </row>
    <row r="7074" spans="13:13" ht="15" customHeight="1" x14ac:dyDescent="0.3">
      <c r="M7074" s="5"/>
    </row>
    <row r="7075" spans="13:13" ht="15" customHeight="1" x14ac:dyDescent="0.3">
      <c r="M7075" s="5"/>
    </row>
    <row r="7076" spans="13:13" ht="15" customHeight="1" x14ac:dyDescent="0.3">
      <c r="M7076" s="5"/>
    </row>
    <row r="7077" spans="13:13" ht="15" customHeight="1" x14ac:dyDescent="0.3">
      <c r="M7077" s="5"/>
    </row>
    <row r="7078" spans="13:13" ht="15" customHeight="1" x14ac:dyDescent="0.3">
      <c r="M7078" s="5"/>
    </row>
    <row r="7079" spans="13:13" ht="15" customHeight="1" x14ac:dyDescent="0.3">
      <c r="M7079" s="5"/>
    </row>
    <row r="7080" spans="13:13" ht="15" customHeight="1" x14ac:dyDescent="0.3">
      <c r="M7080" s="5"/>
    </row>
    <row r="7081" spans="13:13" ht="15" customHeight="1" x14ac:dyDescent="0.3">
      <c r="M7081" s="5"/>
    </row>
    <row r="7082" spans="13:13" ht="15" customHeight="1" x14ac:dyDescent="0.3">
      <c r="M7082" s="5"/>
    </row>
    <row r="7083" spans="13:13" ht="15" customHeight="1" x14ac:dyDescent="0.3">
      <c r="M7083" s="5"/>
    </row>
    <row r="7084" spans="13:13" ht="15" customHeight="1" x14ac:dyDescent="0.3">
      <c r="M7084" s="5"/>
    </row>
    <row r="7085" spans="13:13" ht="15" customHeight="1" x14ac:dyDescent="0.3">
      <c r="M7085" s="5"/>
    </row>
    <row r="7086" spans="13:13" ht="15" customHeight="1" x14ac:dyDescent="0.3">
      <c r="M7086" s="5"/>
    </row>
    <row r="7087" spans="13:13" ht="15" customHeight="1" x14ac:dyDescent="0.3">
      <c r="M7087" s="5"/>
    </row>
    <row r="7088" spans="13:13" ht="15" customHeight="1" x14ac:dyDescent="0.3">
      <c r="M7088" s="5"/>
    </row>
    <row r="7089" spans="13:13" ht="15" customHeight="1" x14ac:dyDescent="0.3">
      <c r="M7089" s="5"/>
    </row>
    <row r="7090" spans="13:13" ht="15" customHeight="1" x14ac:dyDescent="0.3">
      <c r="M7090" s="5"/>
    </row>
    <row r="7091" spans="13:13" ht="15" customHeight="1" x14ac:dyDescent="0.3">
      <c r="M7091" s="5"/>
    </row>
    <row r="7092" spans="13:13" ht="15" customHeight="1" x14ac:dyDescent="0.3">
      <c r="M7092" s="5"/>
    </row>
    <row r="7093" spans="13:13" ht="15" customHeight="1" x14ac:dyDescent="0.3">
      <c r="M7093" s="5"/>
    </row>
    <row r="7094" spans="13:13" ht="15" customHeight="1" x14ac:dyDescent="0.3">
      <c r="M7094" s="5"/>
    </row>
    <row r="7095" spans="13:13" ht="15" customHeight="1" x14ac:dyDescent="0.3">
      <c r="M7095" s="5"/>
    </row>
    <row r="7096" spans="13:13" ht="15" customHeight="1" x14ac:dyDescent="0.3">
      <c r="M7096" s="5"/>
    </row>
    <row r="7097" spans="13:13" ht="15" customHeight="1" x14ac:dyDescent="0.3">
      <c r="M7097" s="5"/>
    </row>
    <row r="7098" spans="13:13" ht="15" customHeight="1" x14ac:dyDescent="0.3">
      <c r="M7098" s="5"/>
    </row>
    <row r="7099" spans="13:13" ht="15" customHeight="1" x14ac:dyDescent="0.3">
      <c r="M7099" s="5"/>
    </row>
    <row r="7100" spans="13:13" ht="15" customHeight="1" x14ac:dyDescent="0.3">
      <c r="M7100" s="5"/>
    </row>
    <row r="7101" spans="13:13" ht="15" customHeight="1" x14ac:dyDescent="0.3">
      <c r="M7101" s="5"/>
    </row>
    <row r="7102" spans="13:13" ht="15" customHeight="1" x14ac:dyDescent="0.3">
      <c r="M7102" s="5"/>
    </row>
    <row r="7103" spans="13:13" ht="15" customHeight="1" x14ac:dyDescent="0.3">
      <c r="M7103" s="5"/>
    </row>
    <row r="7104" spans="13:13" ht="15" customHeight="1" x14ac:dyDescent="0.3">
      <c r="M7104" s="5"/>
    </row>
    <row r="7105" spans="13:13" ht="15" customHeight="1" x14ac:dyDescent="0.3">
      <c r="M7105" s="5"/>
    </row>
    <row r="7106" spans="13:13" ht="15" customHeight="1" x14ac:dyDescent="0.3">
      <c r="M7106" s="5"/>
    </row>
    <row r="7107" spans="13:13" ht="15" customHeight="1" x14ac:dyDescent="0.3">
      <c r="M7107" s="5"/>
    </row>
    <row r="7108" spans="13:13" ht="15" customHeight="1" x14ac:dyDescent="0.3">
      <c r="M7108" s="5"/>
    </row>
    <row r="7109" spans="13:13" ht="15" customHeight="1" x14ac:dyDescent="0.3">
      <c r="M7109" s="5"/>
    </row>
    <row r="7110" spans="13:13" ht="15" customHeight="1" x14ac:dyDescent="0.3">
      <c r="M7110" s="5"/>
    </row>
    <row r="7111" spans="13:13" ht="15" customHeight="1" x14ac:dyDescent="0.3">
      <c r="M7111" s="5"/>
    </row>
    <row r="7112" spans="13:13" ht="15" customHeight="1" x14ac:dyDescent="0.3">
      <c r="M7112" s="5"/>
    </row>
    <row r="7113" spans="13:13" ht="15" customHeight="1" x14ac:dyDescent="0.3">
      <c r="M7113" s="5"/>
    </row>
    <row r="7114" spans="13:13" ht="15" customHeight="1" x14ac:dyDescent="0.3">
      <c r="M7114" s="5"/>
    </row>
    <row r="7115" spans="13:13" ht="15" customHeight="1" x14ac:dyDescent="0.3">
      <c r="M7115" s="5"/>
    </row>
    <row r="7116" spans="13:13" ht="15" customHeight="1" x14ac:dyDescent="0.3">
      <c r="M7116" s="5"/>
    </row>
    <row r="7117" spans="13:13" ht="15" customHeight="1" x14ac:dyDescent="0.3">
      <c r="M7117" s="5"/>
    </row>
    <row r="7118" spans="13:13" ht="15" customHeight="1" x14ac:dyDescent="0.3">
      <c r="M7118" s="5"/>
    </row>
    <row r="7119" spans="13:13" ht="15" customHeight="1" x14ac:dyDescent="0.3">
      <c r="M7119" s="5"/>
    </row>
    <row r="7120" spans="13:13" ht="15" customHeight="1" x14ac:dyDescent="0.3">
      <c r="M7120" s="5"/>
    </row>
    <row r="7121" spans="13:13" ht="15" customHeight="1" x14ac:dyDescent="0.3">
      <c r="M7121" s="5"/>
    </row>
    <row r="7122" spans="13:13" ht="15" customHeight="1" x14ac:dyDescent="0.3">
      <c r="M7122" s="5"/>
    </row>
    <row r="7123" spans="13:13" ht="15" customHeight="1" x14ac:dyDescent="0.3">
      <c r="M7123" s="5"/>
    </row>
    <row r="7124" spans="13:13" ht="15" customHeight="1" x14ac:dyDescent="0.3">
      <c r="M7124" s="5"/>
    </row>
    <row r="7125" spans="13:13" ht="15" customHeight="1" x14ac:dyDescent="0.3">
      <c r="M7125" s="5"/>
    </row>
    <row r="7126" spans="13:13" ht="15" customHeight="1" x14ac:dyDescent="0.3">
      <c r="M7126" s="5"/>
    </row>
    <row r="7127" spans="13:13" ht="15" customHeight="1" x14ac:dyDescent="0.3">
      <c r="M7127" s="5"/>
    </row>
    <row r="7128" spans="13:13" ht="15" customHeight="1" x14ac:dyDescent="0.3">
      <c r="M7128" s="5"/>
    </row>
    <row r="7129" spans="13:13" ht="15" customHeight="1" x14ac:dyDescent="0.3">
      <c r="M7129" s="5"/>
    </row>
    <row r="7130" spans="13:13" ht="15" customHeight="1" x14ac:dyDescent="0.3">
      <c r="M7130" s="5"/>
    </row>
    <row r="7131" spans="13:13" ht="15" customHeight="1" x14ac:dyDescent="0.3">
      <c r="M7131" s="5"/>
    </row>
    <row r="7132" spans="13:13" ht="15" customHeight="1" x14ac:dyDescent="0.3">
      <c r="M7132" s="5"/>
    </row>
    <row r="7133" spans="13:13" ht="15" customHeight="1" x14ac:dyDescent="0.3">
      <c r="M7133" s="5"/>
    </row>
    <row r="7134" spans="13:13" ht="15" customHeight="1" x14ac:dyDescent="0.3">
      <c r="M7134" s="5"/>
    </row>
    <row r="7135" spans="13:13" ht="15" customHeight="1" x14ac:dyDescent="0.3">
      <c r="M7135" s="5"/>
    </row>
    <row r="7136" spans="13:13" ht="15" customHeight="1" x14ac:dyDescent="0.3">
      <c r="M7136" s="5"/>
    </row>
    <row r="7137" spans="13:13" ht="15" customHeight="1" x14ac:dyDescent="0.3">
      <c r="M7137" s="5"/>
    </row>
    <row r="7138" spans="13:13" ht="15" customHeight="1" x14ac:dyDescent="0.3">
      <c r="M7138" s="5"/>
    </row>
    <row r="7139" spans="13:13" ht="15" customHeight="1" x14ac:dyDescent="0.3">
      <c r="M7139" s="5"/>
    </row>
    <row r="7140" spans="13:13" ht="15" customHeight="1" x14ac:dyDescent="0.3">
      <c r="M7140" s="5"/>
    </row>
    <row r="7141" spans="13:13" ht="15" customHeight="1" x14ac:dyDescent="0.3">
      <c r="M7141" s="5"/>
    </row>
    <row r="7142" spans="13:13" ht="15" customHeight="1" x14ac:dyDescent="0.3">
      <c r="M7142" s="5"/>
    </row>
    <row r="7143" spans="13:13" ht="15" customHeight="1" x14ac:dyDescent="0.3">
      <c r="M7143" s="5"/>
    </row>
    <row r="7144" spans="13:13" ht="15" customHeight="1" x14ac:dyDescent="0.3">
      <c r="M7144" s="5"/>
    </row>
    <row r="7145" spans="13:13" ht="15" customHeight="1" x14ac:dyDescent="0.3">
      <c r="M7145" s="5"/>
    </row>
    <row r="7146" spans="13:13" ht="15" customHeight="1" x14ac:dyDescent="0.3">
      <c r="M7146" s="5"/>
    </row>
    <row r="7147" spans="13:13" ht="15" customHeight="1" x14ac:dyDescent="0.3">
      <c r="M7147" s="5"/>
    </row>
    <row r="7148" spans="13:13" ht="15" customHeight="1" x14ac:dyDescent="0.3">
      <c r="M7148" s="5"/>
    </row>
    <row r="7149" spans="13:13" ht="15" customHeight="1" x14ac:dyDescent="0.3">
      <c r="M7149" s="5"/>
    </row>
    <row r="7150" spans="13:13" ht="15" customHeight="1" x14ac:dyDescent="0.3">
      <c r="M7150" s="5"/>
    </row>
    <row r="7151" spans="13:13" ht="15" customHeight="1" x14ac:dyDescent="0.3">
      <c r="M7151" s="5"/>
    </row>
    <row r="7152" spans="13:13" ht="15" customHeight="1" x14ac:dyDescent="0.3">
      <c r="M7152" s="5"/>
    </row>
    <row r="7153" spans="13:13" ht="15" customHeight="1" x14ac:dyDescent="0.3">
      <c r="M7153" s="5"/>
    </row>
    <row r="7154" spans="13:13" ht="15" customHeight="1" x14ac:dyDescent="0.3">
      <c r="M7154" s="5"/>
    </row>
    <row r="7155" spans="13:13" ht="15" customHeight="1" x14ac:dyDescent="0.3">
      <c r="M7155" s="5"/>
    </row>
    <row r="7156" spans="13:13" ht="15" customHeight="1" x14ac:dyDescent="0.3">
      <c r="M7156" s="5"/>
    </row>
    <row r="7157" spans="13:13" ht="15" customHeight="1" x14ac:dyDescent="0.3">
      <c r="M7157" s="5"/>
    </row>
    <row r="7158" spans="13:13" ht="15" customHeight="1" x14ac:dyDescent="0.3">
      <c r="M7158" s="5"/>
    </row>
    <row r="7159" spans="13:13" ht="15" customHeight="1" x14ac:dyDescent="0.3">
      <c r="M7159" s="5"/>
    </row>
    <row r="7160" spans="13:13" ht="15" customHeight="1" x14ac:dyDescent="0.3">
      <c r="M7160" s="5"/>
    </row>
    <row r="7161" spans="13:13" ht="15" customHeight="1" x14ac:dyDescent="0.3">
      <c r="M7161" s="5"/>
    </row>
    <row r="7162" spans="13:13" ht="15" customHeight="1" x14ac:dyDescent="0.3">
      <c r="M7162" s="5"/>
    </row>
    <row r="7163" spans="13:13" ht="15" customHeight="1" x14ac:dyDescent="0.3">
      <c r="M7163" s="5"/>
    </row>
    <row r="7164" spans="13:13" ht="15" customHeight="1" x14ac:dyDescent="0.3">
      <c r="M7164" s="5"/>
    </row>
    <row r="7165" spans="13:13" ht="15" customHeight="1" x14ac:dyDescent="0.3">
      <c r="M7165" s="5"/>
    </row>
    <row r="7166" spans="13:13" ht="15" customHeight="1" x14ac:dyDescent="0.3">
      <c r="M7166" s="5"/>
    </row>
    <row r="7167" spans="13:13" ht="15" customHeight="1" x14ac:dyDescent="0.3">
      <c r="M7167" s="5"/>
    </row>
    <row r="7168" spans="13:13" ht="15" customHeight="1" x14ac:dyDescent="0.3">
      <c r="M7168" s="5"/>
    </row>
    <row r="7169" spans="13:13" ht="15" customHeight="1" x14ac:dyDescent="0.3">
      <c r="M7169" s="5"/>
    </row>
    <row r="7170" spans="13:13" ht="15" customHeight="1" x14ac:dyDescent="0.3">
      <c r="M7170" s="5"/>
    </row>
    <row r="7171" spans="13:13" ht="15" customHeight="1" x14ac:dyDescent="0.3">
      <c r="M7171" s="5"/>
    </row>
    <row r="7172" spans="13:13" ht="15" customHeight="1" x14ac:dyDescent="0.3">
      <c r="M7172" s="5"/>
    </row>
    <row r="7173" spans="13:13" ht="15" customHeight="1" x14ac:dyDescent="0.3">
      <c r="M7173" s="5"/>
    </row>
    <row r="7174" spans="13:13" ht="15" customHeight="1" x14ac:dyDescent="0.3">
      <c r="M7174" s="5"/>
    </row>
    <row r="7175" spans="13:13" ht="15" customHeight="1" x14ac:dyDescent="0.3">
      <c r="M7175" s="5"/>
    </row>
    <row r="7176" spans="13:13" ht="15" customHeight="1" x14ac:dyDescent="0.3">
      <c r="M7176" s="5"/>
    </row>
    <row r="7177" spans="13:13" ht="15" customHeight="1" x14ac:dyDescent="0.3">
      <c r="M7177" s="5"/>
    </row>
    <row r="7178" spans="13:13" ht="15" customHeight="1" x14ac:dyDescent="0.3">
      <c r="M7178" s="5"/>
    </row>
    <row r="7179" spans="13:13" ht="15" customHeight="1" x14ac:dyDescent="0.3">
      <c r="M7179" s="5"/>
    </row>
    <row r="7180" spans="13:13" ht="15" customHeight="1" x14ac:dyDescent="0.3">
      <c r="M7180" s="5"/>
    </row>
    <row r="7181" spans="13:13" ht="15" customHeight="1" x14ac:dyDescent="0.3">
      <c r="M7181" s="5"/>
    </row>
    <row r="7182" spans="13:13" ht="15" customHeight="1" x14ac:dyDescent="0.3">
      <c r="M7182" s="5"/>
    </row>
    <row r="7183" spans="13:13" ht="15" customHeight="1" x14ac:dyDescent="0.3">
      <c r="M7183" s="5"/>
    </row>
    <row r="7184" spans="13:13" ht="15" customHeight="1" x14ac:dyDescent="0.3">
      <c r="M7184" s="5"/>
    </row>
    <row r="7185" spans="13:13" ht="15" customHeight="1" x14ac:dyDescent="0.3">
      <c r="M7185" s="5"/>
    </row>
    <row r="7186" spans="13:13" ht="15" customHeight="1" x14ac:dyDescent="0.3">
      <c r="M7186" s="5"/>
    </row>
    <row r="7187" spans="13:13" ht="15" customHeight="1" x14ac:dyDescent="0.3">
      <c r="M7187" s="5"/>
    </row>
    <row r="7188" spans="13:13" ht="15" customHeight="1" x14ac:dyDescent="0.3">
      <c r="M7188" s="5"/>
    </row>
    <row r="7189" spans="13:13" ht="15" customHeight="1" x14ac:dyDescent="0.3">
      <c r="M7189" s="5"/>
    </row>
    <row r="7190" spans="13:13" ht="15" customHeight="1" x14ac:dyDescent="0.3">
      <c r="M7190" s="5"/>
    </row>
    <row r="7191" spans="13:13" ht="15" customHeight="1" x14ac:dyDescent="0.3">
      <c r="M7191" s="5"/>
    </row>
    <row r="7192" spans="13:13" ht="15" customHeight="1" x14ac:dyDescent="0.3">
      <c r="M7192" s="5"/>
    </row>
    <row r="7193" spans="13:13" ht="15" customHeight="1" x14ac:dyDescent="0.3">
      <c r="M7193" s="5"/>
    </row>
    <row r="7194" spans="13:13" ht="15" customHeight="1" x14ac:dyDescent="0.3">
      <c r="M7194" s="5"/>
    </row>
    <row r="7195" spans="13:13" ht="15" customHeight="1" x14ac:dyDescent="0.3">
      <c r="M7195" s="5"/>
    </row>
    <row r="7196" spans="13:13" ht="15" customHeight="1" x14ac:dyDescent="0.3">
      <c r="M7196" s="5"/>
    </row>
    <row r="7197" spans="13:13" ht="15" customHeight="1" x14ac:dyDescent="0.3">
      <c r="M7197" s="5"/>
    </row>
    <row r="7198" spans="13:13" ht="15" customHeight="1" x14ac:dyDescent="0.3">
      <c r="M7198" s="5"/>
    </row>
    <row r="7199" spans="13:13" ht="15" customHeight="1" x14ac:dyDescent="0.3">
      <c r="M7199" s="5"/>
    </row>
    <row r="7200" spans="13:13" ht="15" customHeight="1" x14ac:dyDescent="0.3">
      <c r="M7200" s="5"/>
    </row>
    <row r="7201" spans="13:13" ht="15" customHeight="1" x14ac:dyDescent="0.3">
      <c r="M7201" s="5"/>
    </row>
    <row r="7202" spans="13:13" ht="15" customHeight="1" x14ac:dyDescent="0.3">
      <c r="M7202" s="5"/>
    </row>
    <row r="7203" spans="13:13" ht="15" customHeight="1" x14ac:dyDescent="0.3">
      <c r="M7203" s="5"/>
    </row>
    <row r="7204" spans="13:13" ht="15" customHeight="1" x14ac:dyDescent="0.3">
      <c r="M7204" s="5"/>
    </row>
    <row r="7205" spans="13:13" ht="15" customHeight="1" x14ac:dyDescent="0.3">
      <c r="M7205" s="5"/>
    </row>
    <row r="7206" spans="13:13" ht="15" customHeight="1" x14ac:dyDescent="0.3">
      <c r="M7206" s="5"/>
    </row>
    <row r="7207" spans="13:13" ht="15" customHeight="1" x14ac:dyDescent="0.3">
      <c r="M7207" s="5"/>
    </row>
    <row r="7208" spans="13:13" ht="15" customHeight="1" x14ac:dyDescent="0.3">
      <c r="M7208" s="5"/>
    </row>
    <row r="7209" spans="13:13" ht="15" customHeight="1" x14ac:dyDescent="0.3">
      <c r="M7209" s="5"/>
    </row>
    <row r="7210" spans="13:13" ht="15" customHeight="1" x14ac:dyDescent="0.3">
      <c r="M7210" s="5"/>
    </row>
    <row r="7211" spans="13:13" ht="15" customHeight="1" x14ac:dyDescent="0.3">
      <c r="M7211" s="5"/>
    </row>
    <row r="7212" spans="13:13" ht="15" customHeight="1" x14ac:dyDescent="0.3">
      <c r="M7212" s="5"/>
    </row>
    <row r="7213" spans="13:13" ht="15" customHeight="1" x14ac:dyDescent="0.3">
      <c r="M7213" s="5"/>
    </row>
    <row r="7214" spans="13:13" ht="15" customHeight="1" x14ac:dyDescent="0.3">
      <c r="M7214" s="5"/>
    </row>
    <row r="7215" spans="13:13" ht="15" customHeight="1" x14ac:dyDescent="0.3">
      <c r="M7215" s="5"/>
    </row>
    <row r="7216" spans="13:13" ht="15" customHeight="1" x14ac:dyDescent="0.3">
      <c r="M7216" s="5"/>
    </row>
    <row r="7217" spans="13:13" ht="15" customHeight="1" x14ac:dyDescent="0.3">
      <c r="M7217" s="5"/>
    </row>
    <row r="7218" spans="13:13" ht="15" customHeight="1" x14ac:dyDescent="0.3">
      <c r="M7218" s="5"/>
    </row>
    <row r="7219" spans="13:13" ht="15" customHeight="1" x14ac:dyDescent="0.3">
      <c r="M7219" s="5"/>
    </row>
    <row r="7220" spans="13:13" ht="15" customHeight="1" x14ac:dyDescent="0.3">
      <c r="M7220" s="5"/>
    </row>
    <row r="7221" spans="13:13" ht="15" customHeight="1" x14ac:dyDescent="0.3">
      <c r="M7221" s="5"/>
    </row>
    <row r="7222" spans="13:13" ht="15" customHeight="1" x14ac:dyDescent="0.3">
      <c r="M7222" s="5"/>
    </row>
    <row r="7223" spans="13:13" ht="15" customHeight="1" x14ac:dyDescent="0.3">
      <c r="M7223" s="5"/>
    </row>
    <row r="7224" spans="13:13" ht="15" customHeight="1" x14ac:dyDescent="0.3">
      <c r="M7224" s="5"/>
    </row>
    <row r="7225" spans="13:13" ht="15" customHeight="1" x14ac:dyDescent="0.3">
      <c r="M7225" s="5"/>
    </row>
    <row r="7226" spans="13:13" ht="15" customHeight="1" x14ac:dyDescent="0.3">
      <c r="M7226" s="5"/>
    </row>
    <row r="7227" spans="13:13" ht="15" customHeight="1" x14ac:dyDescent="0.3">
      <c r="M7227" s="5"/>
    </row>
    <row r="7228" spans="13:13" ht="15" customHeight="1" x14ac:dyDescent="0.3">
      <c r="M7228" s="5"/>
    </row>
    <row r="7229" spans="13:13" ht="15" customHeight="1" x14ac:dyDescent="0.3">
      <c r="M7229" s="5"/>
    </row>
    <row r="7230" spans="13:13" ht="15" customHeight="1" x14ac:dyDescent="0.3">
      <c r="M7230" s="5"/>
    </row>
    <row r="7231" spans="13:13" ht="15" customHeight="1" x14ac:dyDescent="0.3">
      <c r="M7231" s="5"/>
    </row>
    <row r="7232" spans="13:13" ht="15" customHeight="1" x14ac:dyDescent="0.3">
      <c r="M7232" s="5"/>
    </row>
    <row r="7233" spans="13:13" ht="15" customHeight="1" x14ac:dyDescent="0.3">
      <c r="M7233" s="5"/>
    </row>
    <row r="7234" spans="13:13" ht="15" customHeight="1" x14ac:dyDescent="0.3">
      <c r="M7234" s="5"/>
    </row>
    <row r="7235" spans="13:13" ht="15" customHeight="1" x14ac:dyDescent="0.3">
      <c r="M7235" s="5"/>
    </row>
    <row r="7236" spans="13:13" ht="15" customHeight="1" x14ac:dyDescent="0.3">
      <c r="M7236" s="5"/>
    </row>
    <row r="7237" spans="13:13" ht="15" customHeight="1" x14ac:dyDescent="0.3">
      <c r="M7237" s="5"/>
    </row>
    <row r="7238" spans="13:13" ht="15" customHeight="1" x14ac:dyDescent="0.3">
      <c r="M7238" s="5"/>
    </row>
    <row r="7239" spans="13:13" ht="15" customHeight="1" x14ac:dyDescent="0.3">
      <c r="M7239" s="5"/>
    </row>
    <row r="7240" spans="13:13" ht="15" customHeight="1" x14ac:dyDescent="0.3">
      <c r="M7240" s="5"/>
    </row>
    <row r="7241" spans="13:13" ht="15" customHeight="1" x14ac:dyDescent="0.3">
      <c r="M7241" s="5"/>
    </row>
    <row r="7242" spans="13:13" ht="15" customHeight="1" x14ac:dyDescent="0.3">
      <c r="M7242" s="5"/>
    </row>
    <row r="7243" spans="13:13" ht="15" customHeight="1" x14ac:dyDescent="0.3">
      <c r="M7243" s="5"/>
    </row>
    <row r="7244" spans="13:13" ht="15" customHeight="1" x14ac:dyDescent="0.3">
      <c r="M7244" s="5"/>
    </row>
    <row r="7245" spans="13:13" ht="15" customHeight="1" x14ac:dyDescent="0.3">
      <c r="M7245" s="5"/>
    </row>
    <row r="7246" spans="13:13" ht="15" customHeight="1" x14ac:dyDescent="0.3">
      <c r="M7246" s="5"/>
    </row>
    <row r="7247" spans="13:13" ht="15" customHeight="1" x14ac:dyDescent="0.3">
      <c r="M7247" s="5"/>
    </row>
    <row r="7248" spans="13:13" ht="15" customHeight="1" x14ac:dyDescent="0.3">
      <c r="M7248" s="5"/>
    </row>
    <row r="7249" spans="13:13" ht="15" customHeight="1" x14ac:dyDescent="0.3">
      <c r="M7249" s="5"/>
    </row>
    <row r="7250" spans="13:13" ht="15" customHeight="1" x14ac:dyDescent="0.3">
      <c r="M7250" s="5"/>
    </row>
    <row r="7251" spans="13:13" ht="15" customHeight="1" x14ac:dyDescent="0.3">
      <c r="M7251" s="5"/>
    </row>
    <row r="7252" spans="13:13" ht="15" customHeight="1" x14ac:dyDescent="0.3">
      <c r="M7252" s="5"/>
    </row>
    <row r="7253" spans="13:13" ht="15" customHeight="1" x14ac:dyDescent="0.3">
      <c r="M7253" s="5"/>
    </row>
    <row r="7254" spans="13:13" ht="15" customHeight="1" x14ac:dyDescent="0.3">
      <c r="M7254" s="5"/>
    </row>
    <row r="7255" spans="13:13" ht="15" customHeight="1" x14ac:dyDescent="0.3">
      <c r="M7255" s="5"/>
    </row>
    <row r="7256" spans="13:13" ht="15" customHeight="1" x14ac:dyDescent="0.3">
      <c r="M7256" s="5"/>
    </row>
    <row r="7257" spans="13:13" ht="15" customHeight="1" x14ac:dyDescent="0.3">
      <c r="M7257" s="5"/>
    </row>
    <row r="7258" spans="13:13" ht="15" customHeight="1" x14ac:dyDescent="0.3">
      <c r="M7258" s="5"/>
    </row>
    <row r="7259" spans="13:13" ht="15" customHeight="1" x14ac:dyDescent="0.3">
      <c r="M7259" s="5"/>
    </row>
    <row r="7260" spans="13:13" ht="15" customHeight="1" x14ac:dyDescent="0.3">
      <c r="M7260" s="5"/>
    </row>
    <row r="7261" spans="13:13" ht="15" customHeight="1" x14ac:dyDescent="0.3">
      <c r="M7261" s="5"/>
    </row>
    <row r="7262" spans="13:13" ht="15" customHeight="1" x14ac:dyDescent="0.3">
      <c r="M7262" s="5"/>
    </row>
    <row r="7263" spans="13:13" ht="15" customHeight="1" x14ac:dyDescent="0.3">
      <c r="M7263" s="5"/>
    </row>
    <row r="7264" spans="13:13" ht="15" customHeight="1" x14ac:dyDescent="0.3">
      <c r="M7264" s="5"/>
    </row>
    <row r="7265" spans="13:13" ht="15" customHeight="1" x14ac:dyDescent="0.3">
      <c r="M7265" s="5"/>
    </row>
    <row r="7266" spans="13:13" ht="15" customHeight="1" x14ac:dyDescent="0.3">
      <c r="M7266" s="5"/>
    </row>
    <row r="7267" spans="13:13" ht="15" customHeight="1" x14ac:dyDescent="0.3">
      <c r="M7267" s="5"/>
    </row>
    <row r="7268" spans="13:13" ht="15" customHeight="1" x14ac:dyDescent="0.3">
      <c r="M7268" s="5"/>
    </row>
    <row r="7269" spans="13:13" ht="15" customHeight="1" x14ac:dyDescent="0.3">
      <c r="M7269" s="5"/>
    </row>
    <row r="7270" spans="13:13" ht="15" customHeight="1" x14ac:dyDescent="0.3">
      <c r="M7270" s="5"/>
    </row>
    <row r="7271" spans="13:13" ht="15" customHeight="1" x14ac:dyDescent="0.3">
      <c r="M7271" s="5"/>
    </row>
    <row r="7272" spans="13:13" ht="15" customHeight="1" x14ac:dyDescent="0.3">
      <c r="M7272" s="5"/>
    </row>
    <row r="7273" spans="13:13" ht="15" customHeight="1" x14ac:dyDescent="0.3">
      <c r="M7273" s="5"/>
    </row>
    <row r="7274" spans="13:13" ht="15" customHeight="1" x14ac:dyDescent="0.3">
      <c r="M7274" s="5"/>
    </row>
    <row r="7275" spans="13:13" ht="15" customHeight="1" x14ac:dyDescent="0.3">
      <c r="M7275" s="5"/>
    </row>
    <row r="7276" spans="13:13" ht="15" customHeight="1" x14ac:dyDescent="0.3">
      <c r="M7276" s="5"/>
    </row>
    <row r="7277" spans="13:13" ht="15" customHeight="1" x14ac:dyDescent="0.3">
      <c r="M7277" s="5"/>
    </row>
    <row r="7278" spans="13:13" ht="15" customHeight="1" x14ac:dyDescent="0.3">
      <c r="M7278" s="5"/>
    </row>
    <row r="7279" spans="13:13" ht="15" customHeight="1" x14ac:dyDescent="0.3">
      <c r="M7279" s="5"/>
    </row>
    <row r="7280" spans="13:13" ht="15" customHeight="1" x14ac:dyDescent="0.3">
      <c r="M7280" s="5"/>
    </row>
    <row r="7281" spans="13:13" ht="15" customHeight="1" x14ac:dyDescent="0.3">
      <c r="M7281" s="5"/>
    </row>
    <row r="7282" spans="13:13" ht="15" customHeight="1" x14ac:dyDescent="0.3">
      <c r="M7282" s="5"/>
    </row>
    <row r="7283" spans="13:13" ht="15" customHeight="1" x14ac:dyDescent="0.3">
      <c r="M7283" s="5"/>
    </row>
    <row r="7284" spans="13:13" ht="15" customHeight="1" x14ac:dyDescent="0.3">
      <c r="M7284" s="5"/>
    </row>
    <row r="7285" spans="13:13" ht="15" customHeight="1" x14ac:dyDescent="0.3">
      <c r="M7285" s="5"/>
    </row>
    <row r="7286" spans="13:13" ht="15" customHeight="1" x14ac:dyDescent="0.3">
      <c r="M7286" s="5"/>
    </row>
    <row r="7287" spans="13:13" ht="15" customHeight="1" x14ac:dyDescent="0.3">
      <c r="M7287" s="5"/>
    </row>
    <row r="7288" spans="13:13" ht="15" customHeight="1" x14ac:dyDescent="0.3">
      <c r="M7288" s="5"/>
    </row>
    <row r="7289" spans="13:13" ht="15" customHeight="1" x14ac:dyDescent="0.3">
      <c r="M7289" s="5"/>
    </row>
    <row r="7290" spans="13:13" ht="15" customHeight="1" x14ac:dyDescent="0.3">
      <c r="M7290" s="5"/>
    </row>
    <row r="7291" spans="13:13" ht="15" customHeight="1" x14ac:dyDescent="0.3">
      <c r="M7291" s="5"/>
    </row>
    <row r="7292" spans="13:13" ht="15" customHeight="1" x14ac:dyDescent="0.3">
      <c r="M7292" s="5"/>
    </row>
    <row r="7293" spans="13:13" ht="15" customHeight="1" x14ac:dyDescent="0.3">
      <c r="M7293" s="5"/>
    </row>
    <row r="7294" spans="13:13" ht="15" customHeight="1" x14ac:dyDescent="0.3">
      <c r="M7294" s="5"/>
    </row>
    <row r="7295" spans="13:13" ht="15" customHeight="1" x14ac:dyDescent="0.3">
      <c r="M7295" s="5"/>
    </row>
    <row r="7296" spans="13:13" ht="15" customHeight="1" x14ac:dyDescent="0.3">
      <c r="M7296" s="5"/>
    </row>
    <row r="7297" spans="13:13" ht="15" customHeight="1" x14ac:dyDescent="0.3">
      <c r="M7297" s="5"/>
    </row>
    <row r="7298" spans="13:13" ht="15" customHeight="1" x14ac:dyDescent="0.3">
      <c r="M7298" s="5"/>
    </row>
    <row r="7299" spans="13:13" ht="15" customHeight="1" x14ac:dyDescent="0.3">
      <c r="M7299" s="5"/>
    </row>
    <row r="7300" spans="13:13" ht="15" customHeight="1" x14ac:dyDescent="0.3">
      <c r="M7300" s="5"/>
    </row>
    <row r="7301" spans="13:13" ht="15" customHeight="1" x14ac:dyDescent="0.3">
      <c r="M7301" s="5"/>
    </row>
    <row r="7302" spans="13:13" ht="15" customHeight="1" x14ac:dyDescent="0.3">
      <c r="M7302" s="5"/>
    </row>
    <row r="7303" spans="13:13" ht="15" customHeight="1" x14ac:dyDescent="0.3">
      <c r="M7303" s="5"/>
    </row>
    <row r="7304" spans="13:13" ht="15" customHeight="1" x14ac:dyDescent="0.3">
      <c r="M7304" s="5"/>
    </row>
    <row r="7305" spans="13:13" ht="15" customHeight="1" x14ac:dyDescent="0.3">
      <c r="M7305" s="5"/>
    </row>
    <row r="7306" spans="13:13" ht="15" customHeight="1" x14ac:dyDescent="0.3">
      <c r="M7306" s="5"/>
    </row>
    <row r="7307" spans="13:13" ht="15" customHeight="1" x14ac:dyDescent="0.3">
      <c r="M7307" s="5"/>
    </row>
    <row r="7308" spans="13:13" ht="15" customHeight="1" x14ac:dyDescent="0.3">
      <c r="M7308" s="5"/>
    </row>
    <row r="7309" spans="13:13" ht="15" customHeight="1" x14ac:dyDescent="0.3">
      <c r="M7309" s="5"/>
    </row>
    <row r="7310" spans="13:13" ht="15" customHeight="1" x14ac:dyDescent="0.3">
      <c r="M7310" s="5"/>
    </row>
    <row r="7311" spans="13:13" ht="15" customHeight="1" x14ac:dyDescent="0.3">
      <c r="M7311" s="5"/>
    </row>
    <row r="7312" spans="13:13" ht="15" customHeight="1" x14ac:dyDescent="0.3">
      <c r="M7312" s="5"/>
    </row>
    <row r="7313" spans="13:13" ht="15" customHeight="1" x14ac:dyDescent="0.3">
      <c r="M7313" s="5"/>
    </row>
    <row r="7314" spans="13:13" ht="15" customHeight="1" x14ac:dyDescent="0.3">
      <c r="M7314" s="5"/>
    </row>
    <row r="7315" spans="13:13" ht="15" customHeight="1" x14ac:dyDescent="0.3">
      <c r="M7315" s="5"/>
    </row>
    <row r="7316" spans="13:13" ht="15" customHeight="1" x14ac:dyDescent="0.3">
      <c r="M7316" s="5"/>
    </row>
    <row r="7317" spans="13:13" ht="15" customHeight="1" x14ac:dyDescent="0.3">
      <c r="M7317" s="5"/>
    </row>
    <row r="7318" spans="13:13" ht="15" customHeight="1" x14ac:dyDescent="0.3">
      <c r="M7318" s="5"/>
    </row>
    <row r="7319" spans="13:13" ht="15" customHeight="1" x14ac:dyDescent="0.3">
      <c r="M7319" s="5"/>
    </row>
    <row r="7320" spans="13:13" ht="15" customHeight="1" x14ac:dyDescent="0.3">
      <c r="M7320" s="5"/>
    </row>
    <row r="7321" spans="13:13" ht="15" customHeight="1" x14ac:dyDescent="0.3">
      <c r="M7321" s="5"/>
    </row>
    <row r="7322" spans="13:13" ht="15" customHeight="1" x14ac:dyDescent="0.3">
      <c r="M7322" s="5"/>
    </row>
    <row r="7323" spans="13:13" ht="15" customHeight="1" x14ac:dyDescent="0.3">
      <c r="M7323" s="5"/>
    </row>
    <row r="7324" spans="13:13" ht="15" customHeight="1" x14ac:dyDescent="0.3">
      <c r="M7324" s="5"/>
    </row>
    <row r="7325" spans="13:13" ht="15" customHeight="1" x14ac:dyDescent="0.3">
      <c r="M7325" s="5"/>
    </row>
    <row r="7326" spans="13:13" ht="15" customHeight="1" x14ac:dyDescent="0.3">
      <c r="M7326" s="5"/>
    </row>
    <row r="7327" spans="13:13" ht="15" customHeight="1" x14ac:dyDescent="0.3">
      <c r="M7327" s="5"/>
    </row>
    <row r="7328" spans="13:13" ht="15" customHeight="1" x14ac:dyDescent="0.3">
      <c r="M7328" s="5"/>
    </row>
    <row r="7329" spans="13:13" ht="15" customHeight="1" x14ac:dyDescent="0.3">
      <c r="M7329" s="5"/>
    </row>
    <row r="7330" spans="13:13" ht="15" customHeight="1" x14ac:dyDescent="0.3">
      <c r="M7330" s="5"/>
    </row>
    <row r="7331" spans="13:13" ht="15" customHeight="1" x14ac:dyDescent="0.3">
      <c r="M7331" s="5"/>
    </row>
    <row r="7332" spans="13:13" ht="15" customHeight="1" x14ac:dyDescent="0.3">
      <c r="M7332" s="5"/>
    </row>
    <row r="7333" spans="13:13" ht="15" customHeight="1" x14ac:dyDescent="0.3">
      <c r="M7333" s="5"/>
    </row>
    <row r="7334" spans="13:13" ht="15" customHeight="1" x14ac:dyDescent="0.3">
      <c r="M7334" s="5"/>
    </row>
    <row r="7335" spans="13:13" ht="15" customHeight="1" x14ac:dyDescent="0.3">
      <c r="M7335" s="5"/>
    </row>
    <row r="7336" spans="13:13" ht="15" customHeight="1" x14ac:dyDescent="0.3">
      <c r="M7336" s="5"/>
    </row>
    <row r="7337" spans="13:13" ht="15" customHeight="1" x14ac:dyDescent="0.3">
      <c r="M7337" s="5"/>
    </row>
    <row r="7338" spans="13:13" ht="15" customHeight="1" x14ac:dyDescent="0.3">
      <c r="M7338" s="5"/>
    </row>
    <row r="7339" spans="13:13" ht="15" customHeight="1" x14ac:dyDescent="0.3">
      <c r="M7339" s="5"/>
    </row>
    <row r="7340" spans="13:13" ht="15" customHeight="1" x14ac:dyDescent="0.3">
      <c r="M7340" s="5"/>
    </row>
    <row r="7341" spans="13:13" ht="15" customHeight="1" x14ac:dyDescent="0.3">
      <c r="M7341" s="5"/>
    </row>
    <row r="7342" spans="13:13" ht="15" customHeight="1" x14ac:dyDescent="0.3">
      <c r="M7342" s="5"/>
    </row>
    <row r="7343" spans="13:13" ht="15" customHeight="1" x14ac:dyDescent="0.3">
      <c r="M7343" s="5"/>
    </row>
    <row r="7344" spans="13:13" ht="15" customHeight="1" x14ac:dyDescent="0.3">
      <c r="M7344" s="5"/>
    </row>
    <row r="7345" spans="13:13" ht="15" customHeight="1" x14ac:dyDescent="0.3">
      <c r="M7345" s="5"/>
    </row>
    <row r="7346" spans="13:13" ht="15" customHeight="1" x14ac:dyDescent="0.3">
      <c r="M7346" s="5"/>
    </row>
    <row r="7347" spans="13:13" ht="15" customHeight="1" x14ac:dyDescent="0.3">
      <c r="M7347" s="5"/>
    </row>
    <row r="7348" spans="13:13" ht="15" customHeight="1" x14ac:dyDescent="0.3">
      <c r="M7348" s="5"/>
    </row>
    <row r="7349" spans="13:13" ht="15" customHeight="1" x14ac:dyDescent="0.3">
      <c r="M7349" s="5"/>
    </row>
    <row r="7350" spans="13:13" ht="15" customHeight="1" x14ac:dyDescent="0.3">
      <c r="M7350" s="5"/>
    </row>
    <row r="7351" spans="13:13" ht="15" customHeight="1" x14ac:dyDescent="0.3">
      <c r="M7351" s="5"/>
    </row>
    <row r="7352" spans="13:13" ht="15" customHeight="1" x14ac:dyDescent="0.3">
      <c r="M7352" s="5"/>
    </row>
    <row r="7353" spans="13:13" ht="15" customHeight="1" x14ac:dyDescent="0.3">
      <c r="M7353" s="5"/>
    </row>
    <row r="7354" spans="13:13" ht="15" customHeight="1" x14ac:dyDescent="0.3">
      <c r="M7354" s="5"/>
    </row>
    <row r="7355" spans="13:13" ht="15" customHeight="1" x14ac:dyDescent="0.3">
      <c r="M7355" s="5"/>
    </row>
    <row r="7356" spans="13:13" ht="15" customHeight="1" x14ac:dyDescent="0.3">
      <c r="M7356" s="5"/>
    </row>
    <row r="7357" spans="13:13" ht="15" customHeight="1" x14ac:dyDescent="0.3">
      <c r="M7357" s="5"/>
    </row>
    <row r="7358" spans="13:13" ht="15" customHeight="1" x14ac:dyDescent="0.3">
      <c r="M7358" s="5"/>
    </row>
    <row r="7359" spans="13:13" ht="15" customHeight="1" x14ac:dyDescent="0.3">
      <c r="M7359" s="5"/>
    </row>
    <row r="7360" spans="13:13" ht="15" customHeight="1" x14ac:dyDescent="0.3">
      <c r="M7360" s="5"/>
    </row>
    <row r="7361" spans="13:13" ht="15" customHeight="1" x14ac:dyDescent="0.3">
      <c r="M7361" s="5"/>
    </row>
    <row r="7362" spans="13:13" ht="15" customHeight="1" x14ac:dyDescent="0.3">
      <c r="M7362" s="5"/>
    </row>
    <row r="7363" spans="13:13" ht="15" customHeight="1" x14ac:dyDescent="0.3">
      <c r="M7363" s="5"/>
    </row>
    <row r="7364" spans="13:13" ht="15" customHeight="1" x14ac:dyDescent="0.3">
      <c r="M7364" s="5"/>
    </row>
    <row r="7365" spans="13:13" ht="15" customHeight="1" x14ac:dyDescent="0.3">
      <c r="M7365" s="5"/>
    </row>
    <row r="7366" spans="13:13" ht="15" customHeight="1" x14ac:dyDescent="0.3">
      <c r="M7366" s="5"/>
    </row>
    <row r="7367" spans="13:13" ht="15" customHeight="1" x14ac:dyDescent="0.3">
      <c r="M7367" s="5"/>
    </row>
    <row r="7368" spans="13:13" ht="15" customHeight="1" x14ac:dyDescent="0.3">
      <c r="M7368" s="5"/>
    </row>
    <row r="7369" spans="13:13" ht="15" customHeight="1" x14ac:dyDescent="0.3">
      <c r="M7369" s="5"/>
    </row>
    <row r="7370" spans="13:13" ht="15" customHeight="1" x14ac:dyDescent="0.3">
      <c r="M7370" s="5"/>
    </row>
    <row r="7371" spans="13:13" ht="15" customHeight="1" x14ac:dyDescent="0.3">
      <c r="M7371" s="5"/>
    </row>
    <row r="7372" spans="13:13" ht="15" customHeight="1" x14ac:dyDescent="0.3">
      <c r="M7372" s="5"/>
    </row>
    <row r="7373" spans="13:13" ht="15" customHeight="1" x14ac:dyDescent="0.3">
      <c r="M7373" s="5"/>
    </row>
    <row r="7374" spans="13:13" ht="15" customHeight="1" x14ac:dyDescent="0.3">
      <c r="M7374" s="5"/>
    </row>
    <row r="7375" spans="13:13" ht="15" customHeight="1" x14ac:dyDescent="0.3">
      <c r="M7375" s="5"/>
    </row>
    <row r="7376" spans="13:13" ht="15" customHeight="1" x14ac:dyDescent="0.3">
      <c r="M7376" s="5"/>
    </row>
    <row r="7377" spans="13:13" ht="15" customHeight="1" x14ac:dyDescent="0.3">
      <c r="M7377" s="5"/>
    </row>
    <row r="7378" spans="13:13" ht="15" customHeight="1" x14ac:dyDescent="0.3">
      <c r="M7378" s="5"/>
    </row>
    <row r="7379" spans="13:13" ht="15" customHeight="1" x14ac:dyDescent="0.3">
      <c r="M7379" s="5"/>
    </row>
    <row r="7380" spans="13:13" ht="15" customHeight="1" x14ac:dyDescent="0.3">
      <c r="M7380" s="5"/>
    </row>
    <row r="7381" spans="13:13" ht="15" customHeight="1" x14ac:dyDescent="0.3">
      <c r="M7381" s="5"/>
    </row>
    <row r="7382" spans="13:13" ht="15" customHeight="1" x14ac:dyDescent="0.3">
      <c r="M7382" s="5"/>
    </row>
    <row r="7383" spans="13:13" ht="15" customHeight="1" x14ac:dyDescent="0.3">
      <c r="M7383" s="5"/>
    </row>
    <row r="7384" spans="13:13" ht="15" customHeight="1" x14ac:dyDescent="0.3">
      <c r="M7384" s="5"/>
    </row>
    <row r="7385" spans="13:13" ht="15" customHeight="1" x14ac:dyDescent="0.3">
      <c r="M7385" s="5"/>
    </row>
    <row r="7386" spans="13:13" ht="15" customHeight="1" x14ac:dyDescent="0.3">
      <c r="M7386" s="5"/>
    </row>
    <row r="7387" spans="13:13" ht="15" customHeight="1" x14ac:dyDescent="0.3">
      <c r="M7387" s="5"/>
    </row>
    <row r="7388" spans="13:13" ht="15" customHeight="1" x14ac:dyDescent="0.3">
      <c r="M7388" s="5"/>
    </row>
    <row r="7389" spans="13:13" ht="15" customHeight="1" x14ac:dyDescent="0.3">
      <c r="M7389" s="5"/>
    </row>
    <row r="7390" spans="13:13" ht="15" customHeight="1" x14ac:dyDescent="0.3">
      <c r="M7390" s="5"/>
    </row>
    <row r="7391" spans="13:13" ht="15" customHeight="1" x14ac:dyDescent="0.3">
      <c r="M7391" s="5"/>
    </row>
    <row r="7392" spans="13:13" ht="15" customHeight="1" x14ac:dyDescent="0.3">
      <c r="M7392" s="5"/>
    </row>
    <row r="7393" spans="13:13" ht="15" customHeight="1" x14ac:dyDescent="0.3">
      <c r="M7393" s="5"/>
    </row>
    <row r="7394" spans="13:13" ht="15" customHeight="1" x14ac:dyDescent="0.3">
      <c r="M7394" s="5"/>
    </row>
    <row r="7395" spans="13:13" ht="15" customHeight="1" x14ac:dyDescent="0.3">
      <c r="M7395" s="5"/>
    </row>
    <row r="7396" spans="13:13" ht="15" customHeight="1" x14ac:dyDescent="0.3">
      <c r="M7396" s="5"/>
    </row>
    <row r="7397" spans="13:13" ht="15" customHeight="1" x14ac:dyDescent="0.3">
      <c r="M7397" s="5"/>
    </row>
    <row r="7398" spans="13:13" ht="15" customHeight="1" x14ac:dyDescent="0.3">
      <c r="M7398" s="5"/>
    </row>
    <row r="7399" spans="13:13" ht="15" customHeight="1" x14ac:dyDescent="0.3">
      <c r="M7399" s="5"/>
    </row>
    <row r="7400" spans="13:13" ht="15" customHeight="1" x14ac:dyDescent="0.3">
      <c r="M7400" s="5"/>
    </row>
    <row r="7401" spans="13:13" ht="15" customHeight="1" x14ac:dyDescent="0.3">
      <c r="M7401" s="5"/>
    </row>
    <row r="7402" spans="13:13" ht="15" customHeight="1" x14ac:dyDescent="0.3">
      <c r="M7402" s="5"/>
    </row>
    <row r="7403" spans="13:13" ht="15" customHeight="1" x14ac:dyDescent="0.3">
      <c r="M7403" s="5"/>
    </row>
    <row r="7404" spans="13:13" ht="15" customHeight="1" x14ac:dyDescent="0.3">
      <c r="M7404" s="5"/>
    </row>
    <row r="7405" spans="13:13" ht="15" customHeight="1" x14ac:dyDescent="0.3">
      <c r="M7405" s="5"/>
    </row>
    <row r="7406" spans="13:13" ht="15" customHeight="1" x14ac:dyDescent="0.3">
      <c r="M7406" s="5"/>
    </row>
    <row r="7407" spans="13:13" ht="15" customHeight="1" x14ac:dyDescent="0.3">
      <c r="M7407" s="5"/>
    </row>
    <row r="7408" spans="13:13" ht="15" customHeight="1" x14ac:dyDescent="0.3">
      <c r="M7408" s="5"/>
    </row>
    <row r="7409" spans="13:13" ht="15" customHeight="1" x14ac:dyDescent="0.3">
      <c r="M7409" s="5"/>
    </row>
    <row r="7410" spans="13:13" ht="15" customHeight="1" x14ac:dyDescent="0.3">
      <c r="M7410" s="5"/>
    </row>
    <row r="7411" spans="13:13" ht="15" customHeight="1" x14ac:dyDescent="0.3">
      <c r="M7411" s="5"/>
    </row>
    <row r="7412" spans="13:13" ht="15" customHeight="1" x14ac:dyDescent="0.3">
      <c r="M7412" s="5"/>
    </row>
    <row r="7413" spans="13:13" ht="15" customHeight="1" x14ac:dyDescent="0.3">
      <c r="M7413" s="5"/>
    </row>
    <row r="7414" spans="13:13" ht="15" customHeight="1" x14ac:dyDescent="0.3">
      <c r="M7414" s="5"/>
    </row>
    <row r="7415" spans="13:13" ht="15" customHeight="1" x14ac:dyDescent="0.3">
      <c r="M7415" s="5"/>
    </row>
    <row r="7416" spans="13:13" ht="15" customHeight="1" x14ac:dyDescent="0.3">
      <c r="M7416" s="5"/>
    </row>
    <row r="7417" spans="13:13" ht="15" customHeight="1" x14ac:dyDescent="0.3">
      <c r="M7417" s="5"/>
    </row>
    <row r="7418" spans="13:13" ht="15" customHeight="1" x14ac:dyDescent="0.3">
      <c r="M7418" s="5"/>
    </row>
    <row r="7419" spans="13:13" ht="15" customHeight="1" x14ac:dyDescent="0.3">
      <c r="M7419" s="5"/>
    </row>
    <row r="7420" spans="13:13" ht="15" customHeight="1" x14ac:dyDescent="0.3">
      <c r="M7420" s="5"/>
    </row>
    <row r="7421" spans="13:13" ht="15" customHeight="1" x14ac:dyDescent="0.3">
      <c r="M7421" s="5"/>
    </row>
    <row r="7422" spans="13:13" ht="15" customHeight="1" x14ac:dyDescent="0.3">
      <c r="M7422" s="5"/>
    </row>
    <row r="7423" spans="13:13" ht="15" customHeight="1" x14ac:dyDescent="0.3">
      <c r="M7423" s="5"/>
    </row>
    <row r="7424" spans="13:13" ht="15" customHeight="1" x14ac:dyDescent="0.3">
      <c r="M7424" s="5"/>
    </row>
    <row r="7425" spans="13:13" ht="15" customHeight="1" x14ac:dyDescent="0.3">
      <c r="M7425" s="5"/>
    </row>
    <row r="7426" spans="13:13" ht="15" customHeight="1" x14ac:dyDescent="0.3">
      <c r="M7426" s="5"/>
    </row>
    <row r="7427" spans="13:13" ht="15" customHeight="1" x14ac:dyDescent="0.3">
      <c r="M7427" s="5"/>
    </row>
    <row r="7428" spans="13:13" ht="15" customHeight="1" x14ac:dyDescent="0.3">
      <c r="M7428" s="5"/>
    </row>
    <row r="7429" spans="13:13" ht="15" customHeight="1" x14ac:dyDescent="0.3">
      <c r="M7429" s="5"/>
    </row>
    <row r="7430" spans="13:13" ht="15" customHeight="1" x14ac:dyDescent="0.3">
      <c r="M7430" s="5"/>
    </row>
    <row r="7431" spans="13:13" ht="15" customHeight="1" x14ac:dyDescent="0.3">
      <c r="M7431" s="5"/>
    </row>
    <row r="7432" spans="13:13" ht="15" customHeight="1" x14ac:dyDescent="0.3">
      <c r="M7432" s="5"/>
    </row>
    <row r="7433" spans="13:13" ht="15" customHeight="1" x14ac:dyDescent="0.3">
      <c r="M7433" s="5"/>
    </row>
    <row r="7434" spans="13:13" ht="15" customHeight="1" x14ac:dyDescent="0.3">
      <c r="M7434" s="5"/>
    </row>
    <row r="7435" spans="13:13" ht="15" customHeight="1" x14ac:dyDescent="0.3">
      <c r="M7435" s="5"/>
    </row>
    <row r="7436" spans="13:13" ht="15" customHeight="1" x14ac:dyDescent="0.3">
      <c r="M7436" s="5"/>
    </row>
    <row r="7437" spans="13:13" ht="15" customHeight="1" x14ac:dyDescent="0.3">
      <c r="M7437" s="5"/>
    </row>
    <row r="7438" spans="13:13" ht="15" customHeight="1" x14ac:dyDescent="0.3">
      <c r="M7438" s="5"/>
    </row>
    <row r="7439" spans="13:13" ht="15" customHeight="1" x14ac:dyDescent="0.3">
      <c r="M7439" s="5"/>
    </row>
    <row r="7440" spans="13:13" ht="15" customHeight="1" x14ac:dyDescent="0.3">
      <c r="M7440" s="5"/>
    </row>
    <row r="7441" spans="13:13" ht="15" customHeight="1" x14ac:dyDescent="0.3">
      <c r="M7441" s="5"/>
    </row>
    <row r="7442" spans="13:13" ht="15" customHeight="1" x14ac:dyDescent="0.3">
      <c r="M7442" s="5"/>
    </row>
    <row r="7443" spans="13:13" ht="15" customHeight="1" x14ac:dyDescent="0.3">
      <c r="M7443" s="5"/>
    </row>
    <row r="7444" spans="13:13" ht="15" customHeight="1" x14ac:dyDescent="0.3">
      <c r="M7444" s="5"/>
    </row>
    <row r="7445" spans="13:13" ht="15" customHeight="1" x14ac:dyDescent="0.3">
      <c r="M7445" s="5"/>
    </row>
    <row r="7446" spans="13:13" ht="15" customHeight="1" x14ac:dyDescent="0.3">
      <c r="M7446" s="5"/>
    </row>
    <row r="7447" spans="13:13" ht="15" customHeight="1" x14ac:dyDescent="0.3">
      <c r="M7447" s="5"/>
    </row>
    <row r="7448" spans="13:13" ht="15" customHeight="1" x14ac:dyDescent="0.3">
      <c r="M7448" s="5"/>
    </row>
    <row r="7449" spans="13:13" ht="15" customHeight="1" x14ac:dyDescent="0.3">
      <c r="M7449" s="5"/>
    </row>
    <row r="7450" spans="13:13" ht="15" customHeight="1" x14ac:dyDescent="0.3">
      <c r="M7450" s="5"/>
    </row>
    <row r="7451" spans="13:13" ht="15" customHeight="1" x14ac:dyDescent="0.3">
      <c r="M7451" s="5"/>
    </row>
    <row r="7452" spans="13:13" ht="15" customHeight="1" x14ac:dyDescent="0.3">
      <c r="M7452" s="5"/>
    </row>
    <row r="7453" spans="13:13" ht="15" customHeight="1" x14ac:dyDescent="0.3">
      <c r="M7453" s="5"/>
    </row>
    <row r="7454" spans="13:13" ht="15" customHeight="1" x14ac:dyDescent="0.3">
      <c r="M7454" s="5"/>
    </row>
    <row r="7455" spans="13:13" ht="15" customHeight="1" x14ac:dyDescent="0.3">
      <c r="M7455" s="5"/>
    </row>
    <row r="7456" spans="13:13" ht="15" customHeight="1" x14ac:dyDescent="0.3">
      <c r="M7456" s="5"/>
    </row>
    <row r="7457" spans="13:13" ht="15" customHeight="1" x14ac:dyDescent="0.3">
      <c r="M7457" s="5"/>
    </row>
    <row r="7458" spans="13:13" ht="15" customHeight="1" x14ac:dyDescent="0.3">
      <c r="M7458" s="5"/>
    </row>
    <row r="7459" spans="13:13" ht="15" customHeight="1" x14ac:dyDescent="0.3">
      <c r="M7459" s="5"/>
    </row>
    <row r="7460" spans="13:13" ht="15" customHeight="1" x14ac:dyDescent="0.3">
      <c r="M7460" s="5"/>
    </row>
    <row r="7461" spans="13:13" ht="15" customHeight="1" x14ac:dyDescent="0.3">
      <c r="M7461" s="5"/>
    </row>
    <row r="7462" spans="13:13" ht="15" customHeight="1" x14ac:dyDescent="0.3">
      <c r="M7462" s="5"/>
    </row>
    <row r="7463" spans="13:13" ht="15" customHeight="1" x14ac:dyDescent="0.3">
      <c r="M7463" s="5"/>
    </row>
    <row r="7464" spans="13:13" ht="15" customHeight="1" x14ac:dyDescent="0.3">
      <c r="M7464" s="5"/>
    </row>
    <row r="7465" spans="13:13" ht="15" customHeight="1" x14ac:dyDescent="0.3">
      <c r="M7465" s="5"/>
    </row>
    <row r="7466" spans="13:13" ht="15" customHeight="1" x14ac:dyDescent="0.3">
      <c r="M7466" s="5"/>
    </row>
    <row r="7467" spans="13:13" ht="15" customHeight="1" x14ac:dyDescent="0.3">
      <c r="M7467" s="5"/>
    </row>
    <row r="7468" spans="13:13" ht="15" customHeight="1" x14ac:dyDescent="0.3">
      <c r="M7468" s="5"/>
    </row>
    <row r="7469" spans="13:13" ht="15" customHeight="1" x14ac:dyDescent="0.3">
      <c r="M7469" s="5"/>
    </row>
    <row r="7470" spans="13:13" ht="15" customHeight="1" x14ac:dyDescent="0.3">
      <c r="M7470" s="5"/>
    </row>
    <row r="7471" spans="13:13" ht="15" customHeight="1" x14ac:dyDescent="0.3">
      <c r="M7471" s="5"/>
    </row>
    <row r="7472" spans="13:13" ht="15" customHeight="1" x14ac:dyDescent="0.3">
      <c r="M7472" s="5"/>
    </row>
    <row r="7473" spans="13:13" ht="15" customHeight="1" x14ac:dyDescent="0.3">
      <c r="M7473" s="5"/>
    </row>
    <row r="7474" spans="13:13" ht="15" customHeight="1" x14ac:dyDescent="0.3">
      <c r="M7474" s="5"/>
    </row>
    <row r="7475" spans="13:13" ht="15" customHeight="1" x14ac:dyDescent="0.3">
      <c r="M7475" s="5"/>
    </row>
    <row r="7476" spans="13:13" ht="15" customHeight="1" x14ac:dyDescent="0.3">
      <c r="M7476" s="5"/>
    </row>
    <row r="7477" spans="13:13" ht="15" customHeight="1" x14ac:dyDescent="0.3">
      <c r="M7477" s="5"/>
    </row>
    <row r="7478" spans="13:13" ht="15" customHeight="1" x14ac:dyDescent="0.3">
      <c r="M7478" s="5"/>
    </row>
    <row r="7479" spans="13:13" ht="15" customHeight="1" x14ac:dyDescent="0.3">
      <c r="M7479" s="5"/>
    </row>
    <row r="7480" spans="13:13" ht="15" customHeight="1" x14ac:dyDescent="0.3">
      <c r="M7480" s="5"/>
    </row>
    <row r="7481" spans="13:13" ht="15" customHeight="1" x14ac:dyDescent="0.3">
      <c r="M7481" s="5"/>
    </row>
    <row r="7482" spans="13:13" ht="15" customHeight="1" x14ac:dyDescent="0.3">
      <c r="M7482" s="5"/>
    </row>
    <row r="7483" spans="13:13" ht="15" customHeight="1" x14ac:dyDescent="0.3">
      <c r="M7483" s="5"/>
    </row>
    <row r="7484" spans="13:13" ht="15" customHeight="1" x14ac:dyDescent="0.3">
      <c r="M7484" s="5"/>
    </row>
    <row r="7485" spans="13:13" ht="15" customHeight="1" x14ac:dyDescent="0.3">
      <c r="M7485" s="5"/>
    </row>
    <row r="7486" spans="13:13" ht="15" customHeight="1" x14ac:dyDescent="0.3">
      <c r="M7486" s="5"/>
    </row>
    <row r="7487" spans="13:13" ht="15" customHeight="1" x14ac:dyDescent="0.3">
      <c r="M7487" s="5"/>
    </row>
    <row r="7488" spans="13:13" ht="15" customHeight="1" x14ac:dyDescent="0.3">
      <c r="M7488" s="5"/>
    </row>
    <row r="7489" spans="13:13" ht="15" customHeight="1" x14ac:dyDescent="0.3">
      <c r="M7489" s="5"/>
    </row>
    <row r="7490" spans="13:13" ht="15" customHeight="1" x14ac:dyDescent="0.3">
      <c r="M7490" s="5"/>
    </row>
    <row r="7491" spans="13:13" ht="15" customHeight="1" x14ac:dyDescent="0.3">
      <c r="M7491" s="5"/>
    </row>
    <row r="7492" spans="13:13" ht="15" customHeight="1" x14ac:dyDescent="0.3">
      <c r="M7492" s="5"/>
    </row>
    <row r="7493" spans="13:13" ht="15" customHeight="1" x14ac:dyDescent="0.3">
      <c r="M7493" s="5"/>
    </row>
    <row r="7494" spans="13:13" ht="15" customHeight="1" x14ac:dyDescent="0.3">
      <c r="M7494" s="5"/>
    </row>
    <row r="7495" spans="13:13" ht="15" customHeight="1" x14ac:dyDescent="0.3">
      <c r="M7495" s="5"/>
    </row>
    <row r="7496" spans="13:13" ht="15" customHeight="1" x14ac:dyDescent="0.3">
      <c r="M7496" s="5"/>
    </row>
    <row r="7497" spans="13:13" ht="15" customHeight="1" x14ac:dyDescent="0.3">
      <c r="M7497" s="5"/>
    </row>
    <row r="7498" spans="13:13" ht="15" customHeight="1" x14ac:dyDescent="0.3">
      <c r="M7498" s="5"/>
    </row>
    <row r="7499" spans="13:13" ht="15" customHeight="1" x14ac:dyDescent="0.3">
      <c r="M7499" s="5"/>
    </row>
    <row r="7500" spans="13:13" ht="15" customHeight="1" x14ac:dyDescent="0.3">
      <c r="M7500" s="5"/>
    </row>
    <row r="7501" spans="13:13" ht="15" customHeight="1" x14ac:dyDescent="0.3">
      <c r="M7501" s="5"/>
    </row>
    <row r="7502" spans="13:13" ht="15" customHeight="1" x14ac:dyDescent="0.3">
      <c r="M7502" s="5"/>
    </row>
    <row r="7503" spans="13:13" ht="15" customHeight="1" x14ac:dyDescent="0.3">
      <c r="M7503" s="5"/>
    </row>
    <row r="7504" spans="13:13" ht="15" customHeight="1" x14ac:dyDescent="0.3">
      <c r="M7504" s="5"/>
    </row>
    <row r="7505" spans="13:13" ht="15" customHeight="1" x14ac:dyDescent="0.3">
      <c r="M7505" s="5"/>
    </row>
    <row r="7506" spans="13:13" ht="15" customHeight="1" x14ac:dyDescent="0.3">
      <c r="M7506" s="5"/>
    </row>
    <row r="7507" spans="13:13" ht="15" customHeight="1" x14ac:dyDescent="0.3">
      <c r="M7507" s="5"/>
    </row>
    <row r="7508" spans="13:13" ht="15" customHeight="1" x14ac:dyDescent="0.3">
      <c r="M7508" s="5"/>
    </row>
    <row r="7509" spans="13:13" ht="15" customHeight="1" x14ac:dyDescent="0.3">
      <c r="M7509" s="5"/>
    </row>
    <row r="7510" spans="13:13" ht="15" customHeight="1" x14ac:dyDescent="0.3">
      <c r="M7510" s="5"/>
    </row>
    <row r="7511" spans="13:13" ht="15" customHeight="1" x14ac:dyDescent="0.3">
      <c r="M7511" s="5"/>
    </row>
    <row r="7512" spans="13:13" ht="15" customHeight="1" x14ac:dyDescent="0.3">
      <c r="M7512" s="5"/>
    </row>
    <row r="7513" spans="13:13" ht="15" customHeight="1" x14ac:dyDescent="0.3">
      <c r="M7513" s="5"/>
    </row>
    <row r="7514" spans="13:13" ht="15" customHeight="1" x14ac:dyDescent="0.3">
      <c r="M7514" s="5"/>
    </row>
    <row r="7515" spans="13:13" ht="15" customHeight="1" x14ac:dyDescent="0.3">
      <c r="M7515" s="5"/>
    </row>
    <row r="7516" spans="13:13" ht="15" customHeight="1" x14ac:dyDescent="0.3">
      <c r="M7516" s="5"/>
    </row>
    <row r="7517" spans="13:13" ht="15" customHeight="1" x14ac:dyDescent="0.3">
      <c r="M7517" s="5"/>
    </row>
    <row r="7518" spans="13:13" ht="15" customHeight="1" x14ac:dyDescent="0.3">
      <c r="M7518" s="5"/>
    </row>
    <row r="7519" spans="13:13" ht="15" customHeight="1" x14ac:dyDescent="0.3">
      <c r="M7519" s="5"/>
    </row>
    <row r="7520" spans="13:13" ht="15" customHeight="1" x14ac:dyDescent="0.3">
      <c r="M7520" s="5"/>
    </row>
    <row r="7521" spans="13:13" ht="15" customHeight="1" x14ac:dyDescent="0.3">
      <c r="M7521" s="5"/>
    </row>
    <row r="7522" spans="13:13" ht="15" customHeight="1" x14ac:dyDescent="0.3">
      <c r="M7522" s="5"/>
    </row>
    <row r="7523" spans="13:13" ht="15" customHeight="1" x14ac:dyDescent="0.3">
      <c r="M7523" s="5"/>
    </row>
    <row r="7524" spans="13:13" ht="15" customHeight="1" x14ac:dyDescent="0.3">
      <c r="M7524" s="5"/>
    </row>
    <row r="7525" spans="13:13" ht="15" customHeight="1" x14ac:dyDescent="0.3">
      <c r="M7525" s="5"/>
    </row>
    <row r="7526" spans="13:13" ht="15" customHeight="1" x14ac:dyDescent="0.3">
      <c r="M7526" s="5"/>
    </row>
    <row r="7527" spans="13:13" ht="15" customHeight="1" x14ac:dyDescent="0.3">
      <c r="M7527" s="5"/>
    </row>
    <row r="7528" spans="13:13" ht="15" customHeight="1" x14ac:dyDescent="0.3">
      <c r="M7528" s="5"/>
    </row>
    <row r="7529" spans="13:13" ht="15" customHeight="1" x14ac:dyDescent="0.3">
      <c r="M7529" s="5"/>
    </row>
    <row r="7530" spans="13:13" ht="15" customHeight="1" x14ac:dyDescent="0.3">
      <c r="M7530" s="5"/>
    </row>
    <row r="7531" spans="13:13" ht="15" customHeight="1" x14ac:dyDescent="0.3">
      <c r="M7531" s="5"/>
    </row>
    <row r="7532" spans="13:13" ht="15" customHeight="1" x14ac:dyDescent="0.3">
      <c r="M7532" s="5"/>
    </row>
    <row r="7533" spans="13:13" ht="15" customHeight="1" x14ac:dyDescent="0.3">
      <c r="M7533" s="5"/>
    </row>
    <row r="7534" spans="13:13" ht="15" customHeight="1" x14ac:dyDescent="0.3">
      <c r="M7534" s="5"/>
    </row>
    <row r="7535" spans="13:13" ht="15" customHeight="1" x14ac:dyDescent="0.3">
      <c r="M7535" s="5"/>
    </row>
    <row r="7536" spans="13:13" ht="15" customHeight="1" x14ac:dyDescent="0.3">
      <c r="M7536" s="5"/>
    </row>
    <row r="7537" spans="13:13" ht="15" customHeight="1" x14ac:dyDescent="0.3">
      <c r="M7537" s="5"/>
    </row>
    <row r="7538" spans="13:13" ht="15" customHeight="1" x14ac:dyDescent="0.3">
      <c r="M7538" s="5"/>
    </row>
    <row r="7539" spans="13:13" ht="15" customHeight="1" x14ac:dyDescent="0.3">
      <c r="M7539" s="5"/>
    </row>
    <row r="7540" spans="13:13" ht="15" customHeight="1" x14ac:dyDescent="0.3">
      <c r="M7540" s="5"/>
    </row>
    <row r="7541" spans="13:13" ht="15" customHeight="1" x14ac:dyDescent="0.3">
      <c r="M7541" s="5"/>
    </row>
    <row r="7542" spans="13:13" ht="15" customHeight="1" x14ac:dyDescent="0.3">
      <c r="M7542" s="5"/>
    </row>
    <row r="7543" spans="13:13" ht="15" customHeight="1" x14ac:dyDescent="0.3">
      <c r="M7543" s="5"/>
    </row>
    <row r="7544" spans="13:13" ht="15" customHeight="1" x14ac:dyDescent="0.3">
      <c r="M7544" s="5"/>
    </row>
    <row r="7545" spans="13:13" ht="15" customHeight="1" x14ac:dyDescent="0.3">
      <c r="M7545" s="5"/>
    </row>
    <row r="7546" spans="13:13" ht="15" customHeight="1" x14ac:dyDescent="0.3">
      <c r="M7546" s="5"/>
    </row>
    <row r="7547" spans="13:13" ht="15" customHeight="1" x14ac:dyDescent="0.3">
      <c r="M7547" s="5"/>
    </row>
    <row r="7548" spans="13:13" ht="15" customHeight="1" x14ac:dyDescent="0.3">
      <c r="M7548" s="5"/>
    </row>
    <row r="7549" spans="13:13" ht="15" customHeight="1" x14ac:dyDescent="0.3">
      <c r="M7549" s="5"/>
    </row>
    <row r="7550" spans="13:13" ht="15" customHeight="1" x14ac:dyDescent="0.3">
      <c r="M7550" s="5"/>
    </row>
    <row r="7551" spans="13:13" ht="15" customHeight="1" x14ac:dyDescent="0.3">
      <c r="M7551" s="5"/>
    </row>
    <row r="7552" spans="13:13" ht="15" customHeight="1" x14ac:dyDescent="0.3">
      <c r="M7552" s="5"/>
    </row>
    <row r="7553" spans="13:13" ht="15" customHeight="1" x14ac:dyDescent="0.3">
      <c r="M7553" s="5"/>
    </row>
    <row r="7554" spans="13:13" ht="15" customHeight="1" x14ac:dyDescent="0.3">
      <c r="M7554" s="5"/>
    </row>
    <row r="7555" spans="13:13" ht="15" customHeight="1" x14ac:dyDescent="0.3">
      <c r="M7555" s="5"/>
    </row>
    <row r="7556" spans="13:13" ht="15" customHeight="1" x14ac:dyDescent="0.3">
      <c r="M7556" s="5"/>
    </row>
    <row r="7557" spans="13:13" ht="15" customHeight="1" x14ac:dyDescent="0.3">
      <c r="M7557" s="5"/>
    </row>
    <row r="7558" spans="13:13" ht="15" customHeight="1" x14ac:dyDescent="0.3">
      <c r="M7558" s="5"/>
    </row>
    <row r="7559" spans="13:13" ht="15" customHeight="1" x14ac:dyDescent="0.3">
      <c r="M7559" s="5"/>
    </row>
    <row r="7560" spans="13:13" ht="15" customHeight="1" x14ac:dyDescent="0.3">
      <c r="M7560" s="5"/>
    </row>
    <row r="7561" spans="13:13" ht="15" customHeight="1" x14ac:dyDescent="0.3">
      <c r="M7561" s="5"/>
    </row>
    <row r="7562" spans="13:13" ht="15" customHeight="1" x14ac:dyDescent="0.3">
      <c r="M7562" s="5"/>
    </row>
    <row r="7563" spans="13:13" ht="15" customHeight="1" x14ac:dyDescent="0.3">
      <c r="M7563" s="5"/>
    </row>
    <row r="7564" spans="13:13" ht="15" customHeight="1" x14ac:dyDescent="0.3">
      <c r="M7564" s="5"/>
    </row>
    <row r="7565" spans="13:13" ht="15" customHeight="1" x14ac:dyDescent="0.3">
      <c r="M7565" s="5"/>
    </row>
    <row r="7566" spans="13:13" ht="15" customHeight="1" x14ac:dyDescent="0.3">
      <c r="M7566" s="5"/>
    </row>
    <row r="7567" spans="13:13" ht="15" customHeight="1" x14ac:dyDescent="0.3">
      <c r="M7567" s="5"/>
    </row>
    <row r="7568" spans="13:13" ht="15" customHeight="1" x14ac:dyDescent="0.3">
      <c r="M7568" s="5"/>
    </row>
    <row r="7569" spans="13:13" ht="15" customHeight="1" x14ac:dyDescent="0.3">
      <c r="M7569" s="5"/>
    </row>
    <row r="7570" spans="13:13" ht="15" customHeight="1" x14ac:dyDescent="0.3">
      <c r="M7570" s="5"/>
    </row>
    <row r="7571" spans="13:13" ht="15" customHeight="1" x14ac:dyDescent="0.3">
      <c r="M7571" s="5"/>
    </row>
    <row r="7572" spans="13:13" ht="15" customHeight="1" x14ac:dyDescent="0.3">
      <c r="M7572" s="5"/>
    </row>
    <row r="7573" spans="13:13" ht="15" customHeight="1" x14ac:dyDescent="0.3">
      <c r="M7573" s="5"/>
    </row>
    <row r="7574" spans="13:13" ht="15" customHeight="1" x14ac:dyDescent="0.3">
      <c r="M7574" s="5"/>
    </row>
    <row r="7575" spans="13:13" ht="15" customHeight="1" x14ac:dyDescent="0.3">
      <c r="M7575" s="5"/>
    </row>
    <row r="7576" spans="13:13" ht="15" customHeight="1" x14ac:dyDescent="0.3">
      <c r="M7576" s="5"/>
    </row>
    <row r="7577" spans="13:13" ht="15" customHeight="1" x14ac:dyDescent="0.3">
      <c r="M7577" s="5"/>
    </row>
    <row r="7578" spans="13:13" ht="15" customHeight="1" x14ac:dyDescent="0.3">
      <c r="M7578" s="5"/>
    </row>
    <row r="7579" spans="13:13" ht="15" customHeight="1" x14ac:dyDescent="0.3">
      <c r="M7579" s="5"/>
    </row>
    <row r="7580" spans="13:13" ht="15" customHeight="1" x14ac:dyDescent="0.3">
      <c r="M7580" s="5"/>
    </row>
    <row r="7581" spans="13:13" ht="15" customHeight="1" x14ac:dyDescent="0.3">
      <c r="M7581" s="5"/>
    </row>
    <row r="7582" spans="13:13" ht="15" customHeight="1" x14ac:dyDescent="0.3">
      <c r="M7582" s="5"/>
    </row>
    <row r="7583" spans="13:13" ht="15" customHeight="1" x14ac:dyDescent="0.3">
      <c r="M7583" s="5"/>
    </row>
    <row r="7584" spans="13:13" ht="15" customHeight="1" x14ac:dyDescent="0.3">
      <c r="M7584" s="5"/>
    </row>
    <row r="7585" spans="13:13" ht="15" customHeight="1" x14ac:dyDescent="0.3">
      <c r="M7585" s="5"/>
    </row>
    <row r="7586" spans="13:13" ht="15" customHeight="1" x14ac:dyDescent="0.3">
      <c r="M7586" s="5"/>
    </row>
    <row r="7587" spans="13:13" ht="15" customHeight="1" x14ac:dyDescent="0.3">
      <c r="M7587" s="5"/>
    </row>
    <row r="7588" spans="13:13" ht="15" customHeight="1" x14ac:dyDescent="0.3">
      <c r="M7588" s="5"/>
    </row>
    <row r="7589" spans="13:13" ht="15" customHeight="1" x14ac:dyDescent="0.3">
      <c r="M7589" s="5"/>
    </row>
    <row r="7590" spans="13:13" ht="15" customHeight="1" x14ac:dyDescent="0.3">
      <c r="M7590" s="5"/>
    </row>
    <row r="7591" spans="13:13" ht="15" customHeight="1" x14ac:dyDescent="0.3">
      <c r="M7591" s="5"/>
    </row>
    <row r="7592" spans="13:13" ht="15" customHeight="1" x14ac:dyDescent="0.3">
      <c r="M7592" s="5"/>
    </row>
    <row r="7593" spans="13:13" ht="15" customHeight="1" x14ac:dyDescent="0.3">
      <c r="M7593" s="5"/>
    </row>
    <row r="7594" spans="13:13" ht="15" customHeight="1" x14ac:dyDescent="0.3">
      <c r="M7594" s="5"/>
    </row>
    <row r="7595" spans="13:13" ht="15" customHeight="1" x14ac:dyDescent="0.3">
      <c r="M7595" s="5"/>
    </row>
    <row r="7596" spans="13:13" ht="15" customHeight="1" x14ac:dyDescent="0.3">
      <c r="M7596" s="5"/>
    </row>
    <row r="7597" spans="13:13" ht="15" customHeight="1" x14ac:dyDescent="0.3">
      <c r="M7597" s="5"/>
    </row>
    <row r="7598" spans="13:13" ht="15" customHeight="1" x14ac:dyDescent="0.3">
      <c r="M7598" s="5"/>
    </row>
    <row r="7599" spans="13:13" ht="15" customHeight="1" x14ac:dyDescent="0.3">
      <c r="M7599" s="5"/>
    </row>
    <row r="7600" spans="13:13" ht="15" customHeight="1" x14ac:dyDescent="0.3">
      <c r="M7600" s="5"/>
    </row>
    <row r="7601" spans="13:13" ht="15" customHeight="1" x14ac:dyDescent="0.3">
      <c r="M7601" s="5"/>
    </row>
    <row r="7602" spans="13:13" ht="15" customHeight="1" x14ac:dyDescent="0.3">
      <c r="M7602" s="5"/>
    </row>
    <row r="7603" spans="13:13" ht="15" customHeight="1" x14ac:dyDescent="0.3">
      <c r="M7603" s="5"/>
    </row>
    <row r="7604" spans="13:13" ht="15" customHeight="1" x14ac:dyDescent="0.3">
      <c r="M7604" s="5"/>
    </row>
    <row r="7605" spans="13:13" ht="15" customHeight="1" x14ac:dyDescent="0.3">
      <c r="M7605" s="5"/>
    </row>
    <row r="7606" spans="13:13" ht="15" customHeight="1" x14ac:dyDescent="0.3">
      <c r="M7606" s="5"/>
    </row>
    <row r="7607" spans="13:13" ht="15" customHeight="1" x14ac:dyDescent="0.3">
      <c r="M7607" s="5"/>
    </row>
    <row r="7608" spans="13:13" ht="15" customHeight="1" x14ac:dyDescent="0.3">
      <c r="M7608" s="5"/>
    </row>
    <row r="7609" spans="13:13" ht="15" customHeight="1" x14ac:dyDescent="0.3">
      <c r="M7609" s="5"/>
    </row>
    <row r="7610" spans="13:13" ht="15" customHeight="1" x14ac:dyDescent="0.3">
      <c r="M7610" s="5"/>
    </row>
    <row r="7611" spans="13:13" ht="15" customHeight="1" x14ac:dyDescent="0.3">
      <c r="M7611" s="5"/>
    </row>
    <row r="7612" spans="13:13" ht="15" customHeight="1" x14ac:dyDescent="0.3">
      <c r="M7612" s="5"/>
    </row>
    <row r="7613" spans="13:13" ht="15" customHeight="1" x14ac:dyDescent="0.3">
      <c r="M7613" s="5"/>
    </row>
    <row r="7614" spans="13:13" ht="15" customHeight="1" x14ac:dyDescent="0.3">
      <c r="M7614" s="5"/>
    </row>
    <row r="7615" spans="13:13" ht="15" customHeight="1" x14ac:dyDescent="0.3">
      <c r="M7615" s="5"/>
    </row>
    <row r="7616" spans="13:13" ht="15" customHeight="1" x14ac:dyDescent="0.3">
      <c r="M7616" s="5"/>
    </row>
    <row r="7617" spans="13:13" ht="15" customHeight="1" x14ac:dyDescent="0.3">
      <c r="M7617" s="5"/>
    </row>
    <row r="7618" spans="13:13" ht="15" customHeight="1" x14ac:dyDescent="0.3">
      <c r="M7618" s="5"/>
    </row>
    <row r="7619" spans="13:13" ht="15" customHeight="1" x14ac:dyDescent="0.3">
      <c r="M7619" s="5"/>
    </row>
    <row r="7620" spans="13:13" ht="15" customHeight="1" x14ac:dyDescent="0.3">
      <c r="M7620" s="5"/>
    </row>
    <row r="7621" spans="13:13" ht="15" customHeight="1" x14ac:dyDescent="0.3">
      <c r="M7621" s="5"/>
    </row>
    <row r="7622" spans="13:13" ht="15" customHeight="1" x14ac:dyDescent="0.3">
      <c r="M7622" s="5"/>
    </row>
    <row r="7623" spans="13:13" ht="15" customHeight="1" x14ac:dyDescent="0.3">
      <c r="M7623" s="5"/>
    </row>
    <row r="7624" spans="13:13" ht="15" customHeight="1" x14ac:dyDescent="0.3">
      <c r="M7624" s="5"/>
    </row>
    <row r="7625" spans="13:13" ht="15" customHeight="1" x14ac:dyDescent="0.3">
      <c r="M7625" s="5"/>
    </row>
    <row r="7626" spans="13:13" ht="15" customHeight="1" x14ac:dyDescent="0.3">
      <c r="M7626" s="5"/>
    </row>
    <row r="7627" spans="13:13" ht="15" customHeight="1" x14ac:dyDescent="0.3">
      <c r="M7627" s="5"/>
    </row>
    <row r="7628" spans="13:13" ht="15" customHeight="1" x14ac:dyDescent="0.3">
      <c r="M7628" s="5"/>
    </row>
    <row r="7629" spans="13:13" ht="15" customHeight="1" x14ac:dyDescent="0.3">
      <c r="M7629" s="5"/>
    </row>
    <row r="7630" spans="13:13" ht="15" customHeight="1" x14ac:dyDescent="0.3">
      <c r="M7630" s="5"/>
    </row>
    <row r="7631" spans="13:13" ht="15" customHeight="1" x14ac:dyDescent="0.3">
      <c r="M7631" s="5"/>
    </row>
    <row r="7632" spans="13:13" ht="15" customHeight="1" x14ac:dyDescent="0.3">
      <c r="M7632" s="5"/>
    </row>
    <row r="7633" spans="13:13" ht="15" customHeight="1" x14ac:dyDescent="0.3">
      <c r="M7633" s="5"/>
    </row>
    <row r="7634" spans="13:13" ht="15" customHeight="1" x14ac:dyDescent="0.3">
      <c r="M7634" s="5"/>
    </row>
    <row r="7635" spans="13:13" ht="15" customHeight="1" x14ac:dyDescent="0.3">
      <c r="M7635" s="5"/>
    </row>
    <row r="7636" spans="13:13" ht="15" customHeight="1" x14ac:dyDescent="0.3">
      <c r="M7636" s="5"/>
    </row>
    <row r="7637" spans="13:13" ht="15" customHeight="1" x14ac:dyDescent="0.3">
      <c r="M7637" s="5"/>
    </row>
    <row r="7638" spans="13:13" ht="15" customHeight="1" x14ac:dyDescent="0.3">
      <c r="M7638" s="5"/>
    </row>
    <row r="7639" spans="13:13" ht="15" customHeight="1" x14ac:dyDescent="0.3">
      <c r="M7639" s="5"/>
    </row>
    <row r="7640" spans="13:13" ht="15" customHeight="1" x14ac:dyDescent="0.3">
      <c r="M7640" s="5"/>
    </row>
    <row r="7641" spans="13:13" ht="15" customHeight="1" x14ac:dyDescent="0.3">
      <c r="M7641" s="5"/>
    </row>
    <row r="7642" spans="13:13" ht="15" customHeight="1" x14ac:dyDescent="0.3">
      <c r="M7642" s="5"/>
    </row>
    <row r="7643" spans="13:13" ht="15" customHeight="1" x14ac:dyDescent="0.3">
      <c r="M7643" s="5"/>
    </row>
    <row r="7644" spans="13:13" ht="15" customHeight="1" x14ac:dyDescent="0.3">
      <c r="M7644" s="5"/>
    </row>
    <row r="7645" spans="13:13" ht="15" customHeight="1" x14ac:dyDescent="0.3">
      <c r="M7645" s="5"/>
    </row>
    <row r="7646" spans="13:13" ht="15" customHeight="1" x14ac:dyDescent="0.3">
      <c r="M7646" s="5"/>
    </row>
    <row r="7647" spans="13:13" ht="15" customHeight="1" x14ac:dyDescent="0.3">
      <c r="M7647" s="5"/>
    </row>
    <row r="7648" spans="13:13" ht="15" customHeight="1" x14ac:dyDescent="0.3">
      <c r="M7648" s="5"/>
    </row>
    <row r="7649" spans="13:13" ht="15" customHeight="1" x14ac:dyDescent="0.3">
      <c r="M7649" s="5"/>
    </row>
    <row r="7650" spans="13:13" ht="15" customHeight="1" x14ac:dyDescent="0.3">
      <c r="M7650" s="5"/>
    </row>
    <row r="7651" spans="13:13" ht="15" customHeight="1" x14ac:dyDescent="0.3">
      <c r="M7651" s="5"/>
    </row>
    <row r="7652" spans="13:13" ht="15" customHeight="1" x14ac:dyDescent="0.3">
      <c r="M7652" s="5"/>
    </row>
    <row r="7653" spans="13:13" ht="15" customHeight="1" x14ac:dyDescent="0.3">
      <c r="M7653" s="5"/>
    </row>
    <row r="7654" spans="13:13" ht="15" customHeight="1" x14ac:dyDescent="0.3">
      <c r="M7654" s="5"/>
    </row>
    <row r="7655" spans="13:13" ht="15" customHeight="1" x14ac:dyDescent="0.3">
      <c r="M7655" s="5"/>
    </row>
    <row r="7656" spans="13:13" ht="15" customHeight="1" x14ac:dyDescent="0.3">
      <c r="M7656" s="5"/>
    </row>
    <row r="7657" spans="13:13" ht="15" customHeight="1" x14ac:dyDescent="0.3">
      <c r="M7657" s="5"/>
    </row>
    <row r="7658" spans="13:13" ht="15" customHeight="1" x14ac:dyDescent="0.3">
      <c r="M7658" s="5"/>
    </row>
    <row r="7659" spans="13:13" ht="15" customHeight="1" x14ac:dyDescent="0.3">
      <c r="M7659" s="5"/>
    </row>
    <row r="7660" spans="13:13" ht="15" customHeight="1" x14ac:dyDescent="0.3">
      <c r="M7660" s="5"/>
    </row>
    <row r="7661" spans="13:13" ht="15" customHeight="1" x14ac:dyDescent="0.3">
      <c r="M7661" s="5"/>
    </row>
    <row r="7662" spans="13:13" ht="15" customHeight="1" x14ac:dyDescent="0.3">
      <c r="M7662" s="5"/>
    </row>
    <row r="7663" spans="13:13" ht="15" customHeight="1" x14ac:dyDescent="0.3">
      <c r="M7663" s="5"/>
    </row>
    <row r="7664" spans="13:13" ht="15" customHeight="1" x14ac:dyDescent="0.3">
      <c r="M7664" s="5"/>
    </row>
    <row r="7665" spans="13:13" ht="15" customHeight="1" x14ac:dyDescent="0.3">
      <c r="M7665" s="5"/>
    </row>
    <row r="7666" spans="13:13" ht="15" customHeight="1" x14ac:dyDescent="0.3">
      <c r="M7666" s="5"/>
    </row>
    <row r="7667" spans="13:13" ht="15" customHeight="1" x14ac:dyDescent="0.3">
      <c r="M7667" s="5"/>
    </row>
    <row r="7668" spans="13:13" ht="15" customHeight="1" x14ac:dyDescent="0.3">
      <c r="M7668" s="5"/>
    </row>
    <row r="7669" spans="13:13" ht="15" customHeight="1" x14ac:dyDescent="0.3">
      <c r="M7669" s="5"/>
    </row>
    <row r="7670" spans="13:13" ht="15" customHeight="1" x14ac:dyDescent="0.3">
      <c r="M7670" s="5"/>
    </row>
    <row r="7671" spans="13:13" ht="15" customHeight="1" x14ac:dyDescent="0.3">
      <c r="M7671" s="5"/>
    </row>
    <row r="7672" spans="13:13" ht="15" customHeight="1" x14ac:dyDescent="0.3">
      <c r="M7672" s="5"/>
    </row>
    <row r="7673" spans="13:13" ht="15" customHeight="1" x14ac:dyDescent="0.3">
      <c r="M7673" s="5"/>
    </row>
    <row r="7674" spans="13:13" ht="15" customHeight="1" x14ac:dyDescent="0.3">
      <c r="M7674" s="5"/>
    </row>
    <row r="7675" spans="13:13" ht="15" customHeight="1" x14ac:dyDescent="0.3">
      <c r="M7675" s="5"/>
    </row>
    <row r="7676" spans="13:13" ht="15" customHeight="1" x14ac:dyDescent="0.3">
      <c r="M7676" s="5"/>
    </row>
    <row r="7677" spans="13:13" ht="15" customHeight="1" x14ac:dyDescent="0.3">
      <c r="M7677" s="5"/>
    </row>
    <row r="7678" spans="13:13" ht="15" customHeight="1" x14ac:dyDescent="0.3">
      <c r="M7678" s="5"/>
    </row>
    <row r="7679" spans="13:13" ht="15" customHeight="1" x14ac:dyDescent="0.3">
      <c r="M7679" s="5"/>
    </row>
    <row r="7680" spans="13:13" ht="15" customHeight="1" x14ac:dyDescent="0.3">
      <c r="M7680" s="5"/>
    </row>
    <row r="7681" spans="13:13" ht="15" customHeight="1" x14ac:dyDescent="0.3">
      <c r="M7681" s="5"/>
    </row>
    <row r="7682" spans="13:13" ht="15" customHeight="1" x14ac:dyDescent="0.3">
      <c r="M7682" s="5"/>
    </row>
    <row r="7683" spans="13:13" ht="15" customHeight="1" x14ac:dyDescent="0.3">
      <c r="M7683" s="5"/>
    </row>
    <row r="7684" spans="13:13" ht="15" customHeight="1" x14ac:dyDescent="0.3">
      <c r="M7684" s="5"/>
    </row>
    <row r="7685" spans="13:13" ht="15" customHeight="1" x14ac:dyDescent="0.3">
      <c r="M7685" s="5"/>
    </row>
    <row r="7686" spans="13:13" ht="15" customHeight="1" x14ac:dyDescent="0.3">
      <c r="M7686" s="5"/>
    </row>
    <row r="7687" spans="13:13" ht="15" customHeight="1" x14ac:dyDescent="0.3">
      <c r="M7687" s="5"/>
    </row>
    <row r="7688" spans="13:13" ht="15" customHeight="1" x14ac:dyDescent="0.3">
      <c r="M7688" s="5"/>
    </row>
    <row r="7689" spans="13:13" ht="15" customHeight="1" x14ac:dyDescent="0.3">
      <c r="M7689" s="5"/>
    </row>
    <row r="7690" spans="13:13" ht="15" customHeight="1" x14ac:dyDescent="0.3">
      <c r="M7690" s="5"/>
    </row>
    <row r="7691" spans="13:13" ht="15" customHeight="1" x14ac:dyDescent="0.3">
      <c r="M7691" s="5"/>
    </row>
    <row r="7692" spans="13:13" ht="15" customHeight="1" x14ac:dyDescent="0.3">
      <c r="M7692" s="5"/>
    </row>
    <row r="7693" spans="13:13" ht="15" customHeight="1" x14ac:dyDescent="0.3">
      <c r="M7693" s="5"/>
    </row>
    <row r="7694" spans="13:13" ht="15" customHeight="1" x14ac:dyDescent="0.3">
      <c r="M7694" s="5"/>
    </row>
    <row r="7695" spans="13:13" ht="15" customHeight="1" x14ac:dyDescent="0.3">
      <c r="M7695" s="5"/>
    </row>
    <row r="7696" spans="13:13" ht="15" customHeight="1" x14ac:dyDescent="0.3">
      <c r="M7696" s="5"/>
    </row>
    <row r="7697" spans="13:13" ht="15" customHeight="1" x14ac:dyDescent="0.3">
      <c r="M7697" s="5"/>
    </row>
    <row r="7698" spans="13:13" ht="15" customHeight="1" x14ac:dyDescent="0.3">
      <c r="M7698" s="5"/>
    </row>
    <row r="7699" spans="13:13" ht="15" customHeight="1" x14ac:dyDescent="0.3">
      <c r="M7699" s="5"/>
    </row>
    <row r="7700" spans="13:13" ht="15" customHeight="1" x14ac:dyDescent="0.3">
      <c r="M7700" s="5"/>
    </row>
    <row r="7701" spans="13:13" ht="15" customHeight="1" x14ac:dyDescent="0.3">
      <c r="M7701" s="5"/>
    </row>
    <row r="7702" spans="13:13" ht="15" customHeight="1" x14ac:dyDescent="0.3">
      <c r="M7702" s="5"/>
    </row>
    <row r="7703" spans="13:13" ht="15" customHeight="1" x14ac:dyDescent="0.3">
      <c r="M7703" s="5"/>
    </row>
    <row r="7704" spans="13:13" ht="15" customHeight="1" x14ac:dyDescent="0.3">
      <c r="M7704" s="5"/>
    </row>
    <row r="7705" spans="13:13" ht="15" customHeight="1" x14ac:dyDescent="0.3">
      <c r="M7705" s="5"/>
    </row>
    <row r="7706" spans="13:13" ht="15" customHeight="1" x14ac:dyDescent="0.3">
      <c r="M7706" s="5"/>
    </row>
    <row r="7707" spans="13:13" ht="15" customHeight="1" x14ac:dyDescent="0.3">
      <c r="M7707" s="5"/>
    </row>
    <row r="7708" spans="13:13" ht="15" customHeight="1" x14ac:dyDescent="0.3">
      <c r="M7708" s="5"/>
    </row>
    <row r="7709" spans="13:13" ht="15" customHeight="1" x14ac:dyDescent="0.3">
      <c r="M7709" s="5"/>
    </row>
    <row r="7710" spans="13:13" ht="15" customHeight="1" x14ac:dyDescent="0.3">
      <c r="M7710" s="5"/>
    </row>
    <row r="7711" spans="13:13" ht="15" customHeight="1" x14ac:dyDescent="0.3">
      <c r="M7711" s="5"/>
    </row>
    <row r="7712" spans="13:13" ht="15" customHeight="1" x14ac:dyDescent="0.3">
      <c r="M7712" s="5"/>
    </row>
    <row r="7713" spans="13:13" ht="15" customHeight="1" x14ac:dyDescent="0.3">
      <c r="M7713" s="5"/>
    </row>
    <row r="7714" spans="13:13" ht="15" customHeight="1" x14ac:dyDescent="0.3">
      <c r="M7714" s="5"/>
    </row>
    <row r="7715" spans="13:13" ht="15" customHeight="1" x14ac:dyDescent="0.3">
      <c r="M7715" s="5"/>
    </row>
    <row r="7716" spans="13:13" ht="15" customHeight="1" x14ac:dyDescent="0.3">
      <c r="M7716" s="5"/>
    </row>
    <row r="7717" spans="13:13" ht="15" customHeight="1" x14ac:dyDescent="0.3">
      <c r="M7717" s="5"/>
    </row>
    <row r="7718" spans="13:13" ht="15" customHeight="1" x14ac:dyDescent="0.3">
      <c r="M7718" s="5"/>
    </row>
    <row r="7719" spans="13:13" ht="15" customHeight="1" x14ac:dyDescent="0.3">
      <c r="M7719" s="5"/>
    </row>
    <row r="7720" spans="13:13" ht="15" customHeight="1" x14ac:dyDescent="0.3">
      <c r="M7720" s="5"/>
    </row>
    <row r="7721" spans="13:13" ht="15" customHeight="1" x14ac:dyDescent="0.3">
      <c r="M7721" s="5"/>
    </row>
    <row r="7722" spans="13:13" ht="15" customHeight="1" x14ac:dyDescent="0.3">
      <c r="M7722" s="5"/>
    </row>
    <row r="7723" spans="13:13" ht="15" customHeight="1" x14ac:dyDescent="0.3">
      <c r="M7723" s="5"/>
    </row>
    <row r="7724" spans="13:13" ht="15" customHeight="1" x14ac:dyDescent="0.3">
      <c r="M7724" s="5"/>
    </row>
    <row r="7725" spans="13:13" ht="15" customHeight="1" x14ac:dyDescent="0.3">
      <c r="M7725" s="5"/>
    </row>
    <row r="7726" spans="13:13" ht="15" customHeight="1" x14ac:dyDescent="0.3">
      <c r="M7726" s="5"/>
    </row>
    <row r="7727" spans="13:13" ht="15" customHeight="1" x14ac:dyDescent="0.3">
      <c r="M7727" s="5"/>
    </row>
    <row r="7728" spans="13:13" ht="15" customHeight="1" x14ac:dyDescent="0.3">
      <c r="M7728" s="5"/>
    </row>
    <row r="7729" spans="13:13" ht="15" customHeight="1" x14ac:dyDescent="0.3">
      <c r="M7729" s="5"/>
    </row>
    <row r="7730" spans="13:13" ht="15" customHeight="1" x14ac:dyDescent="0.3">
      <c r="M7730" s="5"/>
    </row>
    <row r="7731" spans="13:13" ht="15" customHeight="1" x14ac:dyDescent="0.3">
      <c r="M7731" s="5"/>
    </row>
    <row r="7732" spans="13:13" ht="15" customHeight="1" x14ac:dyDescent="0.3">
      <c r="M7732" s="5"/>
    </row>
    <row r="7733" spans="13:13" ht="15" customHeight="1" x14ac:dyDescent="0.3">
      <c r="M7733" s="5"/>
    </row>
    <row r="7734" spans="13:13" ht="15" customHeight="1" x14ac:dyDescent="0.3">
      <c r="M7734" s="5"/>
    </row>
    <row r="7735" spans="13:13" ht="15" customHeight="1" x14ac:dyDescent="0.3">
      <c r="M7735" s="5"/>
    </row>
    <row r="7736" spans="13:13" ht="15" customHeight="1" x14ac:dyDescent="0.3">
      <c r="M7736" s="5"/>
    </row>
    <row r="7737" spans="13:13" ht="15" customHeight="1" x14ac:dyDescent="0.3">
      <c r="M7737" s="5"/>
    </row>
    <row r="7738" spans="13:13" ht="15" customHeight="1" x14ac:dyDescent="0.3">
      <c r="M7738" s="5"/>
    </row>
    <row r="7739" spans="13:13" ht="15" customHeight="1" x14ac:dyDescent="0.3">
      <c r="M7739" s="5"/>
    </row>
    <row r="7740" spans="13:13" ht="15" customHeight="1" x14ac:dyDescent="0.3">
      <c r="M7740" s="5"/>
    </row>
    <row r="7741" spans="13:13" ht="15" customHeight="1" x14ac:dyDescent="0.3">
      <c r="M7741" s="5"/>
    </row>
    <row r="7742" spans="13:13" ht="15" customHeight="1" x14ac:dyDescent="0.3">
      <c r="M7742" s="5"/>
    </row>
    <row r="7743" spans="13:13" ht="15" customHeight="1" x14ac:dyDescent="0.3">
      <c r="M7743" s="5"/>
    </row>
    <row r="7744" spans="13:13" ht="15" customHeight="1" x14ac:dyDescent="0.3">
      <c r="M7744" s="5"/>
    </row>
    <row r="7745" spans="13:13" ht="15" customHeight="1" x14ac:dyDescent="0.3">
      <c r="M7745" s="5"/>
    </row>
    <row r="7746" spans="13:13" ht="15" customHeight="1" x14ac:dyDescent="0.3">
      <c r="M7746" s="5"/>
    </row>
    <row r="7747" spans="13:13" ht="15" customHeight="1" x14ac:dyDescent="0.3">
      <c r="M7747" s="5"/>
    </row>
    <row r="7748" spans="13:13" ht="15" customHeight="1" x14ac:dyDescent="0.3">
      <c r="M7748" s="5"/>
    </row>
    <row r="7749" spans="13:13" ht="15" customHeight="1" x14ac:dyDescent="0.3">
      <c r="M7749" s="5"/>
    </row>
    <row r="7750" spans="13:13" ht="15" customHeight="1" x14ac:dyDescent="0.3">
      <c r="M7750" s="5"/>
    </row>
    <row r="7751" spans="13:13" ht="15" customHeight="1" x14ac:dyDescent="0.3">
      <c r="M7751" s="5"/>
    </row>
    <row r="7752" spans="13:13" ht="15" customHeight="1" x14ac:dyDescent="0.3">
      <c r="M7752" s="5"/>
    </row>
    <row r="7753" spans="13:13" ht="15" customHeight="1" x14ac:dyDescent="0.3">
      <c r="M7753" s="5"/>
    </row>
    <row r="7754" spans="13:13" ht="15" customHeight="1" x14ac:dyDescent="0.3">
      <c r="M7754" s="5"/>
    </row>
    <row r="7755" spans="13:13" ht="15" customHeight="1" x14ac:dyDescent="0.3">
      <c r="M7755" s="5"/>
    </row>
    <row r="7756" spans="13:13" ht="15" customHeight="1" x14ac:dyDescent="0.3">
      <c r="M7756" s="5"/>
    </row>
    <row r="7757" spans="13:13" ht="15" customHeight="1" x14ac:dyDescent="0.3">
      <c r="M7757" s="5"/>
    </row>
    <row r="7758" spans="13:13" ht="15" customHeight="1" x14ac:dyDescent="0.3">
      <c r="M7758" s="5"/>
    </row>
    <row r="7759" spans="13:13" ht="15" customHeight="1" x14ac:dyDescent="0.3">
      <c r="M7759" s="5"/>
    </row>
    <row r="7760" spans="13:13" ht="15" customHeight="1" x14ac:dyDescent="0.3">
      <c r="M7760" s="5"/>
    </row>
    <row r="7761" spans="13:13" ht="15" customHeight="1" x14ac:dyDescent="0.3">
      <c r="M7761" s="5"/>
    </row>
    <row r="7762" spans="13:13" ht="15" customHeight="1" x14ac:dyDescent="0.3">
      <c r="M7762" s="5"/>
    </row>
    <row r="7763" spans="13:13" ht="15" customHeight="1" x14ac:dyDescent="0.3">
      <c r="M7763" s="5"/>
    </row>
    <row r="7764" spans="13:13" ht="15" customHeight="1" x14ac:dyDescent="0.3">
      <c r="M7764" s="5"/>
    </row>
    <row r="7765" spans="13:13" ht="15" customHeight="1" x14ac:dyDescent="0.3">
      <c r="M7765" s="5"/>
    </row>
    <row r="7766" spans="13:13" ht="15" customHeight="1" x14ac:dyDescent="0.3">
      <c r="M7766" s="5"/>
    </row>
    <row r="7767" spans="13:13" ht="15" customHeight="1" x14ac:dyDescent="0.3">
      <c r="M7767" s="5"/>
    </row>
    <row r="7768" spans="13:13" ht="15" customHeight="1" x14ac:dyDescent="0.3">
      <c r="M7768" s="5"/>
    </row>
    <row r="7769" spans="13:13" ht="15" customHeight="1" x14ac:dyDescent="0.3">
      <c r="M7769" s="5"/>
    </row>
    <row r="7770" spans="13:13" ht="15" customHeight="1" x14ac:dyDescent="0.3">
      <c r="M7770" s="5"/>
    </row>
    <row r="7771" spans="13:13" ht="15" customHeight="1" x14ac:dyDescent="0.3">
      <c r="M7771" s="5"/>
    </row>
    <row r="7772" spans="13:13" ht="15" customHeight="1" x14ac:dyDescent="0.3">
      <c r="M7772" s="5"/>
    </row>
    <row r="7773" spans="13:13" ht="15" customHeight="1" x14ac:dyDescent="0.3">
      <c r="M7773" s="5"/>
    </row>
    <row r="7774" spans="13:13" ht="15" customHeight="1" x14ac:dyDescent="0.3">
      <c r="M7774" s="5"/>
    </row>
    <row r="7775" spans="13:13" ht="15" customHeight="1" x14ac:dyDescent="0.3">
      <c r="M7775" s="5"/>
    </row>
    <row r="7776" spans="13:13" ht="15" customHeight="1" x14ac:dyDescent="0.3">
      <c r="M7776" s="5"/>
    </row>
    <row r="7777" spans="13:13" ht="15" customHeight="1" x14ac:dyDescent="0.3">
      <c r="M7777" s="5"/>
    </row>
    <row r="7778" spans="13:13" ht="15" customHeight="1" x14ac:dyDescent="0.3">
      <c r="M7778" s="5"/>
    </row>
    <row r="7779" spans="13:13" ht="15" customHeight="1" x14ac:dyDescent="0.3">
      <c r="M7779" s="5"/>
    </row>
    <row r="7780" spans="13:13" ht="15" customHeight="1" x14ac:dyDescent="0.3">
      <c r="M7780" s="5"/>
    </row>
    <row r="7781" spans="13:13" ht="15" customHeight="1" x14ac:dyDescent="0.3">
      <c r="M7781" s="5"/>
    </row>
    <row r="7782" spans="13:13" ht="15" customHeight="1" x14ac:dyDescent="0.3">
      <c r="M7782" s="5"/>
    </row>
    <row r="7783" spans="13:13" ht="15" customHeight="1" x14ac:dyDescent="0.3">
      <c r="M7783" s="5"/>
    </row>
    <row r="7784" spans="13:13" ht="15" customHeight="1" x14ac:dyDescent="0.3">
      <c r="M7784" s="5"/>
    </row>
    <row r="7785" spans="13:13" ht="15" customHeight="1" x14ac:dyDescent="0.3">
      <c r="M7785" s="5"/>
    </row>
    <row r="7786" spans="13:13" ht="15" customHeight="1" x14ac:dyDescent="0.3">
      <c r="M7786" s="5"/>
    </row>
    <row r="7787" spans="13:13" ht="15" customHeight="1" x14ac:dyDescent="0.3">
      <c r="M7787" s="5"/>
    </row>
    <row r="7788" spans="13:13" ht="15" customHeight="1" x14ac:dyDescent="0.3">
      <c r="M7788" s="5"/>
    </row>
    <row r="7789" spans="13:13" ht="15" customHeight="1" x14ac:dyDescent="0.3">
      <c r="M7789" s="5"/>
    </row>
    <row r="7790" spans="13:13" ht="15" customHeight="1" x14ac:dyDescent="0.3">
      <c r="M7790" s="5"/>
    </row>
    <row r="7791" spans="13:13" ht="15" customHeight="1" x14ac:dyDescent="0.3">
      <c r="M7791" s="5"/>
    </row>
    <row r="7792" spans="13:13" ht="15" customHeight="1" x14ac:dyDescent="0.3">
      <c r="M7792" s="5"/>
    </row>
    <row r="7793" spans="13:13" ht="15" customHeight="1" x14ac:dyDescent="0.3">
      <c r="M7793" s="5"/>
    </row>
    <row r="7794" spans="13:13" ht="15" customHeight="1" x14ac:dyDescent="0.3">
      <c r="M7794" s="5"/>
    </row>
    <row r="7795" spans="13:13" ht="15" customHeight="1" x14ac:dyDescent="0.3">
      <c r="M7795" s="5"/>
    </row>
    <row r="7796" spans="13:13" ht="15" customHeight="1" x14ac:dyDescent="0.3">
      <c r="M7796" s="5"/>
    </row>
    <row r="7797" spans="13:13" ht="15" customHeight="1" x14ac:dyDescent="0.3">
      <c r="M7797" s="5"/>
    </row>
    <row r="7798" spans="13:13" ht="15" customHeight="1" x14ac:dyDescent="0.3">
      <c r="M7798" s="5"/>
    </row>
    <row r="7799" spans="13:13" ht="15" customHeight="1" x14ac:dyDescent="0.3">
      <c r="M7799" s="5"/>
    </row>
    <row r="7800" spans="13:13" ht="15" customHeight="1" x14ac:dyDescent="0.3">
      <c r="M7800" s="5"/>
    </row>
    <row r="7801" spans="13:13" ht="15" customHeight="1" x14ac:dyDescent="0.3">
      <c r="M7801" s="5"/>
    </row>
    <row r="7802" spans="13:13" ht="15" customHeight="1" x14ac:dyDescent="0.3">
      <c r="M7802" s="5"/>
    </row>
    <row r="7803" spans="13:13" ht="15" customHeight="1" x14ac:dyDescent="0.3">
      <c r="M7803" s="5"/>
    </row>
    <row r="7804" spans="13:13" ht="15" customHeight="1" x14ac:dyDescent="0.3">
      <c r="M7804" s="5"/>
    </row>
    <row r="7805" spans="13:13" ht="15" customHeight="1" x14ac:dyDescent="0.3">
      <c r="M7805" s="5"/>
    </row>
    <row r="7806" spans="13:13" ht="15" customHeight="1" x14ac:dyDescent="0.3">
      <c r="M7806" s="5"/>
    </row>
    <row r="7807" spans="13:13" ht="15" customHeight="1" x14ac:dyDescent="0.3">
      <c r="M7807" s="5"/>
    </row>
    <row r="7808" spans="13:13" ht="15" customHeight="1" x14ac:dyDescent="0.3">
      <c r="M7808" s="5"/>
    </row>
    <row r="7809" spans="13:13" ht="15" customHeight="1" x14ac:dyDescent="0.3">
      <c r="M7809" s="5"/>
    </row>
    <row r="7810" spans="13:13" ht="15" customHeight="1" x14ac:dyDescent="0.3">
      <c r="M7810" s="5"/>
    </row>
    <row r="7811" spans="13:13" ht="15" customHeight="1" x14ac:dyDescent="0.3">
      <c r="M7811" s="5"/>
    </row>
    <row r="7812" spans="13:13" ht="15" customHeight="1" x14ac:dyDescent="0.3">
      <c r="M7812" s="5"/>
    </row>
    <row r="7813" spans="13:13" ht="15" customHeight="1" x14ac:dyDescent="0.3">
      <c r="M7813" s="5"/>
    </row>
    <row r="7814" spans="13:13" ht="15" customHeight="1" x14ac:dyDescent="0.3">
      <c r="M7814" s="5"/>
    </row>
    <row r="7815" spans="13:13" ht="15" customHeight="1" x14ac:dyDescent="0.3">
      <c r="M7815" s="5"/>
    </row>
    <row r="7816" spans="13:13" ht="15" customHeight="1" x14ac:dyDescent="0.3">
      <c r="M7816" s="5"/>
    </row>
    <row r="7817" spans="13:13" ht="15" customHeight="1" x14ac:dyDescent="0.3">
      <c r="M7817" s="5"/>
    </row>
    <row r="7818" spans="13:13" ht="15" customHeight="1" x14ac:dyDescent="0.3">
      <c r="M7818" s="5"/>
    </row>
    <row r="7819" spans="13:13" ht="15" customHeight="1" x14ac:dyDescent="0.3">
      <c r="M7819" s="5"/>
    </row>
    <row r="7820" spans="13:13" ht="15" customHeight="1" x14ac:dyDescent="0.3">
      <c r="M7820" s="5"/>
    </row>
    <row r="7821" spans="13:13" ht="15" customHeight="1" x14ac:dyDescent="0.3">
      <c r="M7821" s="5"/>
    </row>
    <row r="7822" spans="13:13" ht="15" customHeight="1" x14ac:dyDescent="0.3">
      <c r="M7822" s="5"/>
    </row>
    <row r="7823" spans="13:13" ht="15" customHeight="1" x14ac:dyDescent="0.3">
      <c r="M7823" s="5"/>
    </row>
    <row r="7824" spans="13:13" ht="15" customHeight="1" x14ac:dyDescent="0.3">
      <c r="M7824" s="5"/>
    </row>
    <row r="7825" spans="13:13" ht="15" customHeight="1" x14ac:dyDescent="0.3">
      <c r="M7825" s="5"/>
    </row>
    <row r="7826" spans="13:13" ht="15" customHeight="1" x14ac:dyDescent="0.3">
      <c r="M7826" s="5"/>
    </row>
    <row r="7827" spans="13:13" ht="15" customHeight="1" x14ac:dyDescent="0.3">
      <c r="M7827" s="5"/>
    </row>
    <row r="7828" spans="13:13" ht="15" customHeight="1" x14ac:dyDescent="0.3">
      <c r="M7828" s="5"/>
    </row>
    <row r="7829" spans="13:13" ht="15" customHeight="1" x14ac:dyDescent="0.3">
      <c r="M7829" s="5"/>
    </row>
    <row r="7830" spans="13:13" ht="15" customHeight="1" x14ac:dyDescent="0.3">
      <c r="M7830" s="5"/>
    </row>
    <row r="7831" spans="13:13" ht="15" customHeight="1" x14ac:dyDescent="0.3">
      <c r="M7831" s="5"/>
    </row>
    <row r="7832" spans="13:13" ht="15" customHeight="1" x14ac:dyDescent="0.3">
      <c r="M7832" s="5"/>
    </row>
    <row r="7833" spans="13:13" ht="15" customHeight="1" x14ac:dyDescent="0.3">
      <c r="M7833" s="5"/>
    </row>
    <row r="7834" spans="13:13" ht="15" customHeight="1" x14ac:dyDescent="0.3">
      <c r="M7834" s="5"/>
    </row>
    <row r="7835" spans="13:13" ht="15" customHeight="1" x14ac:dyDescent="0.3">
      <c r="M7835" s="5"/>
    </row>
    <row r="7836" spans="13:13" ht="15" customHeight="1" x14ac:dyDescent="0.3">
      <c r="M7836" s="5"/>
    </row>
    <row r="7837" spans="13:13" ht="15" customHeight="1" x14ac:dyDescent="0.3">
      <c r="M7837" s="5"/>
    </row>
    <row r="7838" spans="13:13" ht="15" customHeight="1" x14ac:dyDescent="0.3">
      <c r="M7838" s="5"/>
    </row>
    <row r="7839" spans="13:13" ht="15" customHeight="1" x14ac:dyDescent="0.3">
      <c r="M7839" s="5"/>
    </row>
    <row r="7840" spans="13:13" ht="15" customHeight="1" x14ac:dyDescent="0.3">
      <c r="M7840" s="5"/>
    </row>
    <row r="7841" spans="13:13" ht="15" customHeight="1" x14ac:dyDescent="0.3">
      <c r="M7841" s="5"/>
    </row>
    <row r="7842" spans="13:13" ht="15" customHeight="1" x14ac:dyDescent="0.3">
      <c r="M7842" s="5"/>
    </row>
    <row r="7843" spans="13:13" ht="15" customHeight="1" x14ac:dyDescent="0.3">
      <c r="M7843" s="5"/>
    </row>
    <row r="7844" spans="13:13" ht="15" customHeight="1" x14ac:dyDescent="0.3">
      <c r="M7844" s="5"/>
    </row>
    <row r="7845" spans="13:13" ht="15" customHeight="1" x14ac:dyDescent="0.3">
      <c r="M7845" s="5"/>
    </row>
    <row r="7846" spans="13:13" ht="15" customHeight="1" x14ac:dyDescent="0.3">
      <c r="M7846" s="5"/>
    </row>
    <row r="7847" spans="13:13" ht="15" customHeight="1" x14ac:dyDescent="0.3">
      <c r="M7847" s="5"/>
    </row>
    <row r="7848" spans="13:13" ht="15" customHeight="1" x14ac:dyDescent="0.3">
      <c r="M7848" s="5"/>
    </row>
    <row r="7849" spans="13:13" ht="15" customHeight="1" x14ac:dyDescent="0.3">
      <c r="M7849" s="5"/>
    </row>
    <row r="7850" spans="13:13" ht="15" customHeight="1" x14ac:dyDescent="0.3">
      <c r="M7850" s="5"/>
    </row>
    <row r="7851" spans="13:13" ht="15" customHeight="1" x14ac:dyDescent="0.3">
      <c r="M7851" s="5"/>
    </row>
    <row r="7852" spans="13:13" ht="15" customHeight="1" x14ac:dyDescent="0.3">
      <c r="M7852" s="5"/>
    </row>
    <row r="7853" spans="13:13" ht="15" customHeight="1" x14ac:dyDescent="0.3">
      <c r="M7853" s="5"/>
    </row>
    <row r="7854" spans="13:13" ht="15" customHeight="1" x14ac:dyDescent="0.3">
      <c r="M7854" s="5"/>
    </row>
    <row r="7855" spans="13:13" ht="15" customHeight="1" x14ac:dyDescent="0.3">
      <c r="M7855" s="5"/>
    </row>
    <row r="7856" spans="13:13" ht="15" customHeight="1" x14ac:dyDescent="0.3">
      <c r="M7856" s="5"/>
    </row>
    <row r="7857" spans="13:13" ht="15" customHeight="1" x14ac:dyDescent="0.3">
      <c r="M7857" s="5"/>
    </row>
    <row r="7858" spans="13:13" ht="15" customHeight="1" x14ac:dyDescent="0.3">
      <c r="M7858" s="5"/>
    </row>
    <row r="7859" spans="13:13" ht="15" customHeight="1" x14ac:dyDescent="0.3">
      <c r="M7859" s="5"/>
    </row>
    <row r="7860" spans="13:13" ht="15" customHeight="1" x14ac:dyDescent="0.3">
      <c r="M7860" s="5"/>
    </row>
    <row r="7861" spans="13:13" ht="15" customHeight="1" x14ac:dyDescent="0.3">
      <c r="M7861" s="5"/>
    </row>
    <row r="7862" spans="13:13" ht="15" customHeight="1" x14ac:dyDescent="0.3">
      <c r="M7862" s="5"/>
    </row>
    <row r="7863" spans="13:13" ht="15" customHeight="1" x14ac:dyDescent="0.3">
      <c r="M7863" s="5"/>
    </row>
    <row r="7864" spans="13:13" ht="15" customHeight="1" x14ac:dyDescent="0.3">
      <c r="M7864" s="5"/>
    </row>
    <row r="7865" spans="13:13" ht="15" customHeight="1" x14ac:dyDescent="0.3">
      <c r="M7865" s="5"/>
    </row>
    <row r="7866" spans="13:13" ht="15" customHeight="1" x14ac:dyDescent="0.3">
      <c r="M7866" s="5"/>
    </row>
    <row r="7867" spans="13:13" ht="15" customHeight="1" x14ac:dyDescent="0.3">
      <c r="M7867" s="5"/>
    </row>
    <row r="7868" spans="13:13" ht="15" customHeight="1" x14ac:dyDescent="0.3">
      <c r="M7868" s="5"/>
    </row>
    <row r="7869" spans="13:13" ht="15" customHeight="1" x14ac:dyDescent="0.3">
      <c r="M7869" s="5"/>
    </row>
    <row r="7870" spans="13:13" ht="15" customHeight="1" x14ac:dyDescent="0.3">
      <c r="M7870" s="5"/>
    </row>
    <row r="7871" spans="13:13" ht="15" customHeight="1" x14ac:dyDescent="0.3">
      <c r="M7871" s="5"/>
    </row>
    <row r="7872" spans="13:13" ht="15" customHeight="1" x14ac:dyDescent="0.3">
      <c r="M7872" s="5"/>
    </row>
    <row r="7873" spans="13:13" ht="15" customHeight="1" x14ac:dyDescent="0.3">
      <c r="M7873" s="5"/>
    </row>
    <row r="7874" spans="13:13" ht="15" customHeight="1" x14ac:dyDescent="0.3">
      <c r="M7874" s="5"/>
    </row>
    <row r="7875" spans="13:13" ht="15" customHeight="1" x14ac:dyDescent="0.3">
      <c r="M7875" s="5"/>
    </row>
    <row r="7876" spans="13:13" ht="15" customHeight="1" x14ac:dyDescent="0.3">
      <c r="M7876" s="5"/>
    </row>
    <row r="7877" spans="13:13" ht="15" customHeight="1" x14ac:dyDescent="0.3">
      <c r="M7877" s="5"/>
    </row>
    <row r="7878" spans="13:13" ht="15" customHeight="1" x14ac:dyDescent="0.3">
      <c r="M7878" s="5"/>
    </row>
    <row r="7879" spans="13:13" ht="15" customHeight="1" x14ac:dyDescent="0.3">
      <c r="M7879" s="5"/>
    </row>
    <row r="7880" spans="13:13" ht="15" customHeight="1" x14ac:dyDescent="0.3">
      <c r="M7880" s="5"/>
    </row>
    <row r="7881" spans="13:13" ht="15" customHeight="1" x14ac:dyDescent="0.3">
      <c r="M7881" s="5"/>
    </row>
    <row r="7882" spans="13:13" ht="15" customHeight="1" x14ac:dyDescent="0.3">
      <c r="M7882" s="5"/>
    </row>
    <row r="7883" spans="13:13" ht="15" customHeight="1" x14ac:dyDescent="0.3">
      <c r="M7883" s="5"/>
    </row>
    <row r="7884" spans="13:13" ht="15" customHeight="1" x14ac:dyDescent="0.3">
      <c r="M7884" s="5"/>
    </row>
    <row r="7885" spans="13:13" ht="15" customHeight="1" x14ac:dyDescent="0.3">
      <c r="M7885" s="5"/>
    </row>
    <row r="7886" spans="13:13" ht="15" customHeight="1" x14ac:dyDescent="0.3">
      <c r="M7886" s="5"/>
    </row>
    <row r="7887" spans="13:13" ht="15" customHeight="1" x14ac:dyDescent="0.3">
      <c r="M7887" s="5"/>
    </row>
    <row r="7888" spans="13:13" ht="15" customHeight="1" x14ac:dyDescent="0.3">
      <c r="M7888" s="5"/>
    </row>
    <row r="7889" spans="13:13" ht="15" customHeight="1" x14ac:dyDescent="0.3">
      <c r="M7889" s="5"/>
    </row>
    <row r="7890" spans="13:13" ht="15" customHeight="1" x14ac:dyDescent="0.3">
      <c r="M7890" s="5"/>
    </row>
    <row r="7891" spans="13:13" ht="15" customHeight="1" x14ac:dyDescent="0.3">
      <c r="M7891" s="5"/>
    </row>
    <row r="7892" spans="13:13" ht="15" customHeight="1" x14ac:dyDescent="0.3">
      <c r="M7892" s="5"/>
    </row>
    <row r="7893" spans="13:13" ht="15" customHeight="1" x14ac:dyDescent="0.3">
      <c r="M7893" s="5"/>
    </row>
    <row r="7894" spans="13:13" ht="15" customHeight="1" x14ac:dyDescent="0.3">
      <c r="M7894" s="5"/>
    </row>
    <row r="7895" spans="13:13" ht="15" customHeight="1" x14ac:dyDescent="0.3">
      <c r="M7895" s="5"/>
    </row>
    <row r="7896" spans="13:13" ht="15" customHeight="1" x14ac:dyDescent="0.3">
      <c r="M7896" s="5"/>
    </row>
    <row r="7897" spans="13:13" ht="15" customHeight="1" x14ac:dyDescent="0.3">
      <c r="M7897" s="5"/>
    </row>
    <row r="7898" spans="13:13" ht="15" customHeight="1" x14ac:dyDescent="0.3">
      <c r="M7898" s="5"/>
    </row>
    <row r="7899" spans="13:13" ht="15" customHeight="1" x14ac:dyDescent="0.3">
      <c r="M7899" s="5"/>
    </row>
    <row r="7900" spans="13:13" ht="15" customHeight="1" x14ac:dyDescent="0.3">
      <c r="M7900" s="5"/>
    </row>
    <row r="7901" spans="13:13" ht="15" customHeight="1" x14ac:dyDescent="0.3">
      <c r="M7901" s="5"/>
    </row>
    <row r="7902" spans="13:13" ht="15" customHeight="1" x14ac:dyDescent="0.3">
      <c r="M7902" s="5"/>
    </row>
    <row r="7903" spans="13:13" ht="15" customHeight="1" x14ac:dyDescent="0.3">
      <c r="M7903" s="5"/>
    </row>
    <row r="7904" spans="13:13" ht="15" customHeight="1" x14ac:dyDescent="0.3">
      <c r="M7904" s="5"/>
    </row>
    <row r="7905" spans="13:13" ht="15" customHeight="1" x14ac:dyDescent="0.3">
      <c r="M7905" s="5"/>
    </row>
    <row r="7906" spans="13:13" ht="15" customHeight="1" x14ac:dyDescent="0.3">
      <c r="M7906" s="5"/>
    </row>
    <row r="7907" spans="13:13" ht="15" customHeight="1" x14ac:dyDescent="0.3">
      <c r="M7907" s="5"/>
    </row>
    <row r="7908" spans="13:13" ht="15" customHeight="1" x14ac:dyDescent="0.3">
      <c r="M7908" s="5"/>
    </row>
    <row r="7909" spans="13:13" ht="15" customHeight="1" x14ac:dyDescent="0.3">
      <c r="M7909" s="5"/>
    </row>
    <row r="7910" spans="13:13" ht="15" customHeight="1" x14ac:dyDescent="0.3">
      <c r="M7910" s="5"/>
    </row>
    <row r="7911" spans="13:13" ht="15" customHeight="1" x14ac:dyDescent="0.3">
      <c r="M7911" s="5"/>
    </row>
    <row r="7912" spans="13:13" ht="15" customHeight="1" x14ac:dyDescent="0.3">
      <c r="M7912" s="5"/>
    </row>
    <row r="7913" spans="13:13" ht="15" customHeight="1" x14ac:dyDescent="0.3">
      <c r="M7913" s="5"/>
    </row>
    <row r="7914" spans="13:13" ht="15" customHeight="1" x14ac:dyDescent="0.3">
      <c r="M7914" s="5"/>
    </row>
    <row r="7915" spans="13:13" ht="15" customHeight="1" x14ac:dyDescent="0.3">
      <c r="M7915" s="5"/>
    </row>
    <row r="7916" spans="13:13" ht="15" customHeight="1" x14ac:dyDescent="0.3">
      <c r="M7916" s="5"/>
    </row>
    <row r="7917" spans="13:13" ht="15" customHeight="1" x14ac:dyDescent="0.3">
      <c r="M7917" s="5"/>
    </row>
    <row r="7918" spans="13:13" ht="15" customHeight="1" x14ac:dyDescent="0.3">
      <c r="M7918" s="5"/>
    </row>
    <row r="7919" spans="13:13" ht="15" customHeight="1" x14ac:dyDescent="0.3">
      <c r="M7919" s="5"/>
    </row>
    <row r="7920" spans="13:13" ht="15" customHeight="1" x14ac:dyDescent="0.3">
      <c r="M7920" s="5"/>
    </row>
    <row r="7921" spans="13:13" ht="15" customHeight="1" x14ac:dyDescent="0.3">
      <c r="M7921" s="5"/>
    </row>
    <row r="7922" spans="13:13" ht="15" customHeight="1" x14ac:dyDescent="0.3">
      <c r="M7922" s="5"/>
    </row>
    <row r="7923" spans="13:13" ht="15" customHeight="1" x14ac:dyDescent="0.3">
      <c r="M7923" s="5"/>
    </row>
    <row r="7924" spans="13:13" ht="15" customHeight="1" x14ac:dyDescent="0.3">
      <c r="M7924" s="5"/>
    </row>
    <row r="7925" spans="13:13" ht="15" customHeight="1" x14ac:dyDescent="0.3">
      <c r="M7925" s="5"/>
    </row>
    <row r="7926" spans="13:13" ht="15" customHeight="1" x14ac:dyDescent="0.3">
      <c r="M7926" s="5"/>
    </row>
    <row r="7927" spans="13:13" ht="15" customHeight="1" x14ac:dyDescent="0.3">
      <c r="M7927" s="5"/>
    </row>
    <row r="7928" spans="13:13" ht="15" customHeight="1" x14ac:dyDescent="0.3">
      <c r="M7928" s="5"/>
    </row>
    <row r="7929" spans="13:13" ht="15" customHeight="1" x14ac:dyDescent="0.3">
      <c r="M7929" s="5"/>
    </row>
    <row r="7930" spans="13:13" ht="15" customHeight="1" x14ac:dyDescent="0.3">
      <c r="M7930" s="5"/>
    </row>
    <row r="7931" spans="13:13" ht="15" customHeight="1" x14ac:dyDescent="0.3">
      <c r="M7931" s="5"/>
    </row>
    <row r="7932" spans="13:13" ht="15" customHeight="1" x14ac:dyDescent="0.3">
      <c r="M7932" s="5"/>
    </row>
    <row r="7933" spans="13:13" ht="15" customHeight="1" x14ac:dyDescent="0.3">
      <c r="M7933" s="5"/>
    </row>
    <row r="7934" spans="13:13" ht="15" customHeight="1" x14ac:dyDescent="0.3">
      <c r="M7934" s="5"/>
    </row>
    <row r="7935" spans="13:13" ht="15" customHeight="1" x14ac:dyDescent="0.3">
      <c r="M7935" s="5"/>
    </row>
    <row r="7936" spans="13:13" ht="15" customHeight="1" x14ac:dyDescent="0.3">
      <c r="M7936" s="5"/>
    </row>
    <row r="7937" spans="13:13" ht="15" customHeight="1" x14ac:dyDescent="0.3">
      <c r="M7937" s="5"/>
    </row>
    <row r="7938" spans="13:13" ht="15" customHeight="1" x14ac:dyDescent="0.3">
      <c r="M7938" s="5"/>
    </row>
    <row r="7939" spans="13:13" ht="15" customHeight="1" x14ac:dyDescent="0.3">
      <c r="M7939" s="5"/>
    </row>
    <row r="7940" spans="13:13" ht="15" customHeight="1" x14ac:dyDescent="0.3">
      <c r="M7940" s="5"/>
    </row>
    <row r="7941" spans="13:13" ht="15" customHeight="1" x14ac:dyDescent="0.3">
      <c r="M7941" s="5"/>
    </row>
    <row r="7942" spans="13:13" ht="15" customHeight="1" x14ac:dyDescent="0.3">
      <c r="M7942" s="5"/>
    </row>
    <row r="7943" spans="13:13" ht="15" customHeight="1" x14ac:dyDescent="0.3">
      <c r="M7943" s="5"/>
    </row>
    <row r="7944" spans="13:13" ht="15" customHeight="1" x14ac:dyDescent="0.3">
      <c r="M7944" s="5"/>
    </row>
    <row r="7945" spans="13:13" ht="15" customHeight="1" x14ac:dyDescent="0.3">
      <c r="M7945" s="5"/>
    </row>
    <row r="7946" spans="13:13" ht="15" customHeight="1" x14ac:dyDescent="0.3">
      <c r="M7946" s="5"/>
    </row>
    <row r="7947" spans="13:13" ht="15" customHeight="1" x14ac:dyDescent="0.3">
      <c r="M7947" s="5"/>
    </row>
    <row r="7948" spans="13:13" ht="15" customHeight="1" x14ac:dyDescent="0.3">
      <c r="M7948" s="5"/>
    </row>
    <row r="7949" spans="13:13" ht="15" customHeight="1" x14ac:dyDescent="0.3">
      <c r="M7949" s="5"/>
    </row>
    <row r="7950" spans="13:13" ht="15" customHeight="1" x14ac:dyDescent="0.3">
      <c r="M7950" s="5"/>
    </row>
    <row r="7951" spans="13:13" ht="15" customHeight="1" x14ac:dyDescent="0.3">
      <c r="M7951" s="5"/>
    </row>
    <row r="7952" spans="13:13" ht="15" customHeight="1" x14ac:dyDescent="0.3">
      <c r="M7952" s="5"/>
    </row>
    <row r="7953" spans="13:13" ht="15" customHeight="1" x14ac:dyDescent="0.3">
      <c r="M7953" s="5"/>
    </row>
    <row r="7954" spans="13:13" ht="15" customHeight="1" x14ac:dyDescent="0.3">
      <c r="M7954" s="5"/>
    </row>
    <row r="7955" spans="13:13" ht="15" customHeight="1" x14ac:dyDescent="0.3">
      <c r="M7955" s="5"/>
    </row>
    <row r="7956" spans="13:13" ht="15" customHeight="1" x14ac:dyDescent="0.3">
      <c r="M7956" s="5"/>
    </row>
    <row r="7957" spans="13:13" ht="15" customHeight="1" x14ac:dyDescent="0.3">
      <c r="M7957" s="5"/>
    </row>
    <row r="7958" spans="13:13" ht="15" customHeight="1" x14ac:dyDescent="0.3">
      <c r="M7958" s="5"/>
    </row>
    <row r="7959" spans="13:13" ht="15" customHeight="1" x14ac:dyDescent="0.3">
      <c r="M7959" s="5"/>
    </row>
    <row r="7960" spans="13:13" ht="15" customHeight="1" x14ac:dyDescent="0.3">
      <c r="M7960" s="5"/>
    </row>
    <row r="7961" spans="13:13" ht="15" customHeight="1" x14ac:dyDescent="0.3">
      <c r="M7961" s="5"/>
    </row>
    <row r="7962" spans="13:13" ht="15" customHeight="1" x14ac:dyDescent="0.3">
      <c r="M7962" s="5"/>
    </row>
    <row r="7963" spans="13:13" ht="15" customHeight="1" x14ac:dyDescent="0.3">
      <c r="M7963" s="5"/>
    </row>
    <row r="7964" spans="13:13" ht="15" customHeight="1" x14ac:dyDescent="0.3">
      <c r="M7964" s="5"/>
    </row>
    <row r="7965" spans="13:13" ht="15" customHeight="1" x14ac:dyDescent="0.3">
      <c r="M7965" s="5"/>
    </row>
    <row r="7966" spans="13:13" ht="15" customHeight="1" x14ac:dyDescent="0.3">
      <c r="M7966" s="5"/>
    </row>
    <row r="7967" spans="13:13" ht="15" customHeight="1" x14ac:dyDescent="0.3">
      <c r="M7967" s="5"/>
    </row>
    <row r="7968" spans="13:13" ht="15" customHeight="1" x14ac:dyDescent="0.3">
      <c r="M7968" s="5"/>
    </row>
    <row r="7969" spans="13:13" ht="15" customHeight="1" x14ac:dyDescent="0.3">
      <c r="M7969" s="5"/>
    </row>
    <row r="7970" spans="13:13" ht="15" customHeight="1" x14ac:dyDescent="0.3">
      <c r="M7970" s="5"/>
    </row>
    <row r="7971" spans="13:13" ht="15" customHeight="1" x14ac:dyDescent="0.3">
      <c r="M7971" s="5"/>
    </row>
    <row r="7972" spans="13:13" ht="15" customHeight="1" x14ac:dyDescent="0.3">
      <c r="M7972" s="5"/>
    </row>
    <row r="7973" spans="13:13" ht="15" customHeight="1" x14ac:dyDescent="0.3">
      <c r="M7973" s="5"/>
    </row>
    <row r="7974" spans="13:13" ht="15" customHeight="1" x14ac:dyDescent="0.3">
      <c r="M7974" s="5"/>
    </row>
    <row r="7975" spans="13:13" ht="15" customHeight="1" x14ac:dyDescent="0.3">
      <c r="M7975" s="5"/>
    </row>
    <row r="7976" spans="13:13" ht="15" customHeight="1" x14ac:dyDescent="0.3">
      <c r="M7976" s="5"/>
    </row>
    <row r="7977" spans="13:13" ht="15" customHeight="1" x14ac:dyDescent="0.3">
      <c r="M7977" s="5"/>
    </row>
    <row r="7978" spans="13:13" ht="15" customHeight="1" x14ac:dyDescent="0.3">
      <c r="M7978" s="5"/>
    </row>
    <row r="7979" spans="13:13" ht="15" customHeight="1" x14ac:dyDescent="0.3">
      <c r="M7979" s="5"/>
    </row>
    <row r="7980" spans="13:13" ht="15" customHeight="1" x14ac:dyDescent="0.3">
      <c r="M7980" s="5"/>
    </row>
    <row r="7981" spans="13:13" ht="15" customHeight="1" x14ac:dyDescent="0.3">
      <c r="M7981" s="5"/>
    </row>
    <row r="7982" spans="13:13" ht="15" customHeight="1" x14ac:dyDescent="0.3">
      <c r="M7982" s="5"/>
    </row>
    <row r="7983" spans="13:13" ht="15" customHeight="1" x14ac:dyDescent="0.3">
      <c r="M7983" s="5"/>
    </row>
    <row r="7984" spans="13:13" ht="15" customHeight="1" x14ac:dyDescent="0.3">
      <c r="M7984" s="5"/>
    </row>
    <row r="7985" spans="13:13" ht="15" customHeight="1" x14ac:dyDescent="0.3">
      <c r="M7985" s="5"/>
    </row>
    <row r="7986" spans="13:13" ht="15" customHeight="1" x14ac:dyDescent="0.3">
      <c r="M7986" s="5"/>
    </row>
    <row r="7987" spans="13:13" ht="15" customHeight="1" x14ac:dyDescent="0.3">
      <c r="M7987" s="5"/>
    </row>
    <row r="7988" spans="13:13" ht="15" customHeight="1" x14ac:dyDescent="0.3">
      <c r="M7988" s="5"/>
    </row>
    <row r="7989" spans="13:13" ht="15" customHeight="1" x14ac:dyDescent="0.3">
      <c r="M7989" s="5"/>
    </row>
    <row r="7990" spans="13:13" ht="15" customHeight="1" x14ac:dyDescent="0.3">
      <c r="M7990" s="5"/>
    </row>
    <row r="7991" spans="13:13" ht="15" customHeight="1" x14ac:dyDescent="0.3">
      <c r="M7991" s="5"/>
    </row>
    <row r="7992" spans="13:13" ht="15" customHeight="1" x14ac:dyDescent="0.3">
      <c r="M7992" s="5"/>
    </row>
    <row r="7993" spans="13:13" ht="15" customHeight="1" x14ac:dyDescent="0.3">
      <c r="M7993" s="5"/>
    </row>
    <row r="7994" spans="13:13" ht="15" customHeight="1" x14ac:dyDescent="0.3">
      <c r="M7994" s="5"/>
    </row>
    <row r="7995" spans="13:13" ht="15" customHeight="1" x14ac:dyDescent="0.3">
      <c r="M7995" s="5"/>
    </row>
    <row r="7996" spans="13:13" ht="15" customHeight="1" x14ac:dyDescent="0.3">
      <c r="M7996" s="5"/>
    </row>
    <row r="7997" spans="13:13" ht="15" customHeight="1" x14ac:dyDescent="0.3">
      <c r="M7997" s="5"/>
    </row>
    <row r="7998" spans="13:13" ht="15" customHeight="1" x14ac:dyDescent="0.3">
      <c r="M7998" s="5"/>
    </row>
    <row r="7999" spans="13:13" ht="15" customHeight="1" x14ac:dyDescent="0.3">
      <c r="M7999" s="5"/>
    </row>
    <row r="8000" spans="13:13" ht="15" customHeight="1" x14ac:dyDescent="0.3">
      <c r="M8000" s="5"/>
    </row>
    <row r="8001" spans="13:13" ht="15" customHeight="1" x14ac:dyDescent="0.3">
      <c r="M8001" s="5"/>
    </row>
    <row r="8002" spans="13:13" ht="15" customHeight="1" x14ac:dyDescent="0.3">
      <c r="M8002" s="5"/>
    </row>
    <row r="8003" spans="13:13" ht="15" customHeight="1" x14ac:dyDescent="0.3">
      <c r="M8003" s="5"/>
    </row>
    <row r="8004" spans="13:13" ht="15" customHeight="1" x14ac:dyDescent="0.3">
      <c r="M8004" s="5"/>
    </row>
    <row r="8005" spans="13:13" ht="15" customHeight="1" x14ac:dyDescent="0.3">
      <c r="M8005" s="5"/>
    </row>
    <row r="8006" spans="13:13" ht="15" customHeight="1" x14ac:dyDescent="0.3">
      <c r="M8006" s="5"/>
    </row>
    <row r="8007" spans="13:13" ht="15" customHeight="1" x14ac:dyDescent="0.3">
      <c r="M8007" s="5"/>
    </row>
    <row r="8008" spans="13:13" ht="15" customHeight="1" x14ac:dyDescent="0.3">
      <c r="M8008" s="5"/>
    </row>
    <row r="8009" spans="13:13" ht="15" customHeight="1" x14ac:dyDescent="0.3">
      <c r="M8009" s="5"/>
    </row>
    <row r="8010" spans="13:13" ht="15" customHeight="1" x14ac:dyDescent="0.3">
      <c r="M8010" s="5"/>
    </row>
    <row r="8011" spans="13:13" ht="15" customHeight="1" x14ac:dyDescent="0.3">
      <c r="M8011" s="5"/>
    </row>
    <row r="8012" spans="13:13" ht="15" customHeight="1" x14ac:dyDescent="0.3">
      <c r="M8012" s="5"/>
    </row>
    <row r="8013" spans="13:13" ht="15" customHeight="1" x14ac:dyDescent="0.3">
      <c r="M8013" s="5"/>
    </row>
    <row r="8014" spans="13:13" ht="15" customHeight="1" x14ac:dyDescent="0.3">
      <c r="M8014" s="5"/>
    </row>
    <row r="8015" spans="13:13" ht="15" customHeight="1" x14ac:dyDescent="0.3">
      <c r="M8015" s="5"/>
    </row>
    <row r="8016" spans="13:13" ht="15" customHeight="1" x14ac:dyDescent="0.3">
      <c r="M8016" s="5"/>
    </row>
    <row r="8017" spans="13:13" ht="15" customHeight="1" x14ac:dyDescent="0.3">
      <c r="M8017" s="5"/>
    </row>
    <row r="8018" spans="13:13" ht="15" customHeight="1" x14ac:dyDescent="0.3">
      <c r="M8018" s="5"/>
    </row>
    <row r="8019" spans="13:13" ht="15" customHeight="1" x14ac:dyDescent="0.3">
      <c r="M8019" s="5"/>
    </row>
    <row r="8020" spans="13:13" ht="15" customHeight="1" x14ac:dyDescent="0.3">
      <c r="M8020" s="5"/>
    </row>
    <row r="8021" spans="13:13" ht="15" customHeight="1" x14ac:dyDescent="0.3">
      <c r="M8021" s="5"/>
    </row>
    <row r="8022" spans="13:13" ht="15" customHeight="1" x14ac:dyDescent="0.3">
      <c r="M8022" s="5"/>
    </row>
    <row r="8023" spans="13:13" ht="15" customHeight="1" x14ac:dyDescent="0.3">
      <c r="M8023" s="5"/>
    </row>
    <row r="8024" spans="13:13" ht="15" customHeight="1" x14ac:dyDescent="0.3">
      <c r="M8024" s="5"/>
    </row>
    <row r="8025" spans="13:13" ht="15" customHeight="1" x14ac:dyDescent="0.3">
      <c r="M8025" s="5"/>
    </row>
    <row r="8026" spans="13:13" ht="15" customHeight="1" x14ac:dyDescent="0.3">
      <c r="M8026" s="5"/>
    </row>
    <row r="8027" spans="13:13" ht="15" customHeight="1" x14ac:dyDescent="0.3">
      <c r="M8027" s="5"/>
    </row>
    <row r="8028" spans="13:13" ht="15" customHeight="1" x14ac:dyDescent="0.3">
      <c r="M8028" s="5"/>
    </row>
    <row r="8029" spans="13:13" ht="15" customHeight="1" x14ac:dyDescent="0.3">
      <c r="M8029" s="5"/>
    </row>
    <row r="8030" spans="13:13" ht="15" customHeight="1" x14ac:dyDescent="0.3">
      <c r="M8030" s="5"/>
    </row>
    <row r="8031" spans="13:13" ht="15" customHeight="1" x14ac:dyDescent="0.3">
      <c r="M8031" s="5"/>
    </row>
    <row r="8032" spans="13:13" ht="15" customHeight="1" x14ac:dyDescent="0.3">
      <c r="M8032" s="5"/>
    </row>
    <row r="8033" spans="13:13" ht="15" customHeight="1" x14ac:dyDescent="0.3">
      <c r="M8033" s="5"/>
    </row>
    <row r="8034" spans="13:13" ht="15" customHeight="1" x14ac:dyDescent="0.3">
      <c r="M8034" s="5"/>
    </row>
    <row r="8035" spans="13:13" ht="15" customHeight="1" x14ac:dyDescent="0.3">
      <c r="M8035" s="5"/>
    </row>
    <row r="8036" spans="13:13" ht="15" customHeight="1" x14ac:dyDescent="0.3">
      <c r="M8036" s="5"/>
    </row>
    <row r="8037" spans="13:13" ht="15" customHeight="1" x14ac:dyDescent="0.3">
      <c r="M8037" s="5"/>
    </row>
    <row r="8038" spans="13:13" ht="15" customHeight="1" x14ac:dyDescent="0.3">
      <c r="M8038" s="5"/>
    </row>
    <row r="8039" spans="13:13" ht="15" customHeight="1" x14ac:dyDescent="0.3">
      <c r="M8039" s="5"/>
    </row>
    <row r="8040" spans="13:13" ht="15" customHeight="1" x14ac:dyDescent="0.3">
      <c r="M8040" s="5"/>
    </row>
    <row r="8041" spans="13:13" ht="15" customHeight="1" x14ac:dyDescent="0.3">
      <c r="M8041" s="5"/>
    </row>
    <row r="8042" spans="13:13" ht="15" customHeight="1" x14ac:dyDescent="0.3">
      <c r="M8042" s="5"/>
    </row>
    <row r="8043" spans="13:13" ht="15" customHeight="1" x14ac:dyDescent="0.3">
      <c r="M8043" s="5"/>
    </row>
    <row r="8044" spans="13:13" ht="15" customHeight="1" x14ac:dyDescent="0.3">
      <c r="M8044" s="5"/>
    </row>
    <row r="8045" spans="13:13" ht="15" customHeight="1" x14ac:dyDescent="0.3">
      <c r="M8045" s="5"/>
    </row>
    <row r="8046" spans="13:13" ht="15" customHeight="1" x14ac:dyDescent="0.3">
      <c r="M8046" s="5"/>
    </row>
    <row r="8047" spans="13:13" ht="15" customHeight="1" x14ac:dyDescent="0.3">
      <c r="M8047" s="5"/>
    </row>
    <row r="8048" spans="13:13" ht="15" customHeight="1" x14ac:dyDescent="0.3">
      <c r="M8048" s="5"/>
    </row>
    <row r="8049" spans="13:13" ht="15" customHeight="1" x14ac:dyDescent="0.3">
      <c r="M8049" s="5"/>
    </row>
    <row r="8050" spans="13:13" ht="15" customHeight="1" x14ac:dyDescent="0.3">
      <c r="M8050" s="5"/>
    </row>
    <row r="8051" spans="13:13" ht="15" customHeight="1" x14ac:dyDescent="0.3">
      <c r="M8051" s="5"/>
    </row>
    <row r="8052" spans="13:13" ht="15" customHeight="1" x14ac:dyDescent="0.3">
      <c r="M8052" s="5"/>
    </row>
    <row r="8053" spans="13:13" ht="15" customHeight="1" x14ac:dyDescent="0.3">
      <c r="M8053" s="5"/>
    </row>
    <row r="8054" spans="13:13" ht="15" customHeight="1" x14ac:dyDescent="0.3">
      <c r="M8054" s="5"/>
    </row>
    <row r="8055" spans="13:13" ht="15" customHeight="1" x14ac:dyDescent="0.3">
      <c r="M8055" s="5"/>
    </row>
    <row r="8056" spans="13:13" ht="15" customHeight="1" x14ac:dyDescent="0.3">
      <c r="M8056" s="5"/>
    </row>
    <row r="8057" spans="13:13" ht="15" customHeight="1" x14ac:dyDescent="0.3">
      <c r="M8057" s="5"/>
    </row>
    <row r="8058" spans="13:13" ht="15" customHeight="1" x14ac:dyDescent="0.3">
      <c r="M8058" s="5"/>
    </row>
    <row r="8059" spans="13:13" ht="15" customHeight="1" x14ac:dyDescent="0.3">
      <c r="M8059" s="5"/>
    </row>
    <row r="8060" spans="13:13" ht="15" customHeight="1" x14ac:dyDescent="0.3">
      <c r="M8060" s="5"/>
    </row>
    <row r="8061" spans="13:13" ht="15" customHeight="1" x14ac:dyDescent="0.3">
      <c r="M8061" s="5"/>
    </row>
    <row r="8062" spans="13:13" ht="15" customHeight="1" x14ac:dyDescent="0.3">
      <c r="M8062" s="5"/>
    </row>
    <row r="8063" spans="13:13" ht="15" customHeight="1" x14ac:dyDescent="0.3">
      <c r="M8063" s="5"/>
    </row>
    <row r="8064" spans="13:13" ht="15" customHeight="1" x14ac:dyDescent="0.3">
      <c r="M8064" s="5"/>
    </row>
    <row r="8065" spans="13:13" ht="15" customHeight="1" x14ac:dyDescent="0.3">
      <c r="M8065" s="5"/>
    </row>
    <row r="8066" spans="13:13" ht="15" customHeight="1" x14ac:dyDescent="0.3">
      <c r="M8066" s="5"/>
    </row>
    <row r="8067" spans="13:13" ht="15" customHeight="1" x14ac:dyDescent="0.3">
      <c r="M8067" s="5"/>
    </row>
    <row r="8068" spans="13:13" ht="15" customHeight="1" x14ac:dyDescent="0.3">
      <c r="M8068" s="5"/>
    </row>
    <row r="8069" spans="13:13" ht="15" customHeight="1" x14ac:dyDescent="0.3">
      <c r="M8069" s="5"/>
    </row>
    <row r="8070" spans="13:13" ht="15" customHeight="1" x14ac:dyDescent="0.3">
      <c r="M8070" s="5"/>
    </row>
    <row r="8071" spans="13:13" ht="15" customHeight="1" x14ac:dyDescent="0.3">
      <c r="M8071" s="5"/>
    </row>
    <row r="8072" spans="13:13" ht="15" customHeight="1" x14ac:dyDescent="0.3">
      <c r="M8072" s="5"/>
    </row>
    <row r="8073" spans="13:13" ht="15" customHeight="1" x14ac:dyDescent="0.3">
      <c r="M8073" s="5"/>
    </row>
    <row r="8074" spans="13:13" ht="15" customHeight="1" x14ac:dyDescent="0.3">
      <c r="M8074" s="5"/>
    </row>
    <row r="8075" spans="13:13" ht="15" customHeight="1" x14ac:dyDescent="0.3">
      <c r="M8075" s="5"/>
    </row>
    <row r="8076" spans="13:13" ht="15" customHeight="1" x14ac:dyDescent="0.3">
      <c r="M8076" s="5"/>
    </row>
    <row r="8077" spans="13:13" ht="15" customHeight="1" x14ac:dyDescent="0.3">
      <c r="M8077" s="5"/>
    </row>
    <row r="8078" spans="13:13" ht="15" customHeight="1" x14ac:dyDescent="0.3">
      <c r="M8078" s="5"/>
    </row>
    <row r="8079" spans="13:13" ht="15" customHeight="1" x14ac:dyDescent="0.3">
      <c r="M8079" s="5"/>
    </row>
    <row r="8080" spans="13:13" ht="15" customHeight="1" x14ac:dyDescent="0.3">
      <c r="M8080" s="5"/>
    </row>
    <row r="8081" spans="13:13" ht="15" customHeight="1" x14ac:dyDescent="0.3">
      <c r="M8081" s="5"/>
    </row>
    <row r="8082" spans="13:13" ht="15" customHeight="1" x14ac:dyDescent="0.3">
      <c r="M8082" s="5"/>
    </row>
    <row r="8083" spans="13:13" ht="15" customHeight="1" x14ac:dyDescent="0.3">
      <c r="M8083" s="5"/>
    </row>
    <row r="8084" spans="13:13" ht="15" customHeight="1" x14ac:dyDescent="0.3">
      <c r="M8084" s="5"/>
    </row>
    <row r="8085" spans="13:13" ht="15" customHeight="1" x14ac:dyDescent="0.3">
      <c r="M8085" s="5"/>
    </row>
    <row r="8086" spans="13:13" ht="15" customHeight="1" x14ac:dyDescent="0.3">
      <c r="M8086" s="5"/>
    </row>
    <row r="8087" spans="13:13" ht="15" customHeight="1" x14ac:dyDescent="0.3">
      <c r="M8087" s="5"/>
    </row>
    <row r="8088" spans="13:13" ht="15" customHeight="1" x14ac:dyDescent="0.3">
      <c r="M8088" s="5"/>
    </row>
    <row r="8089" spans="13:13" ht="15" customHeight="1" x14ac:dyDescent="0.3">
      <c r="M8089" s="5"/>
    </row>
    <row r="8090" spans="13:13" ht="15" customHeight="1" x14ac:dyDescent="0.3">
      <c r="M8090" s="5"/>
    </row>
    <row r="8091" spans="13:13" ht="15" customHeight="1" x14ac:dyDescent="0.3">
      <c r="M8091" s="5"/>
    </row>
    <row r="8092" spans="13:13" ht="15" customHeight="1" x14ac:dyDescent="0.3">
      <c r="M8092" s="5"/>
    </row>
    <row r="8093" spans="13:13" ht="15" customHeight="1" x14ac:dyDescent="0.3">
      <c r="M8093" s="5"/>
    </row>
    <row r="8094" spans="13:13" ht="15" customHeight="1" x14ac:dyDescent="0.3">
      <c r="M8094" s="5"/>
    </row>
    <row r="8095" spans="13:13" ht="15" customHeight="1" x14ac:dyDescent="0.3">
      <c r="M8095" s="5"/>
    </row>
    <row r="8096" spans="13:13" ht="15" customHeight="1" x14ac:dyDescent="0.3">
      <c r="M8096" s="5"/>
    </row>
    <row r="8097" spans="13:13" ht="15" customHeight="1" x14ac:dyDescent="0.3">
      <c r="M8097" s="5"/>
    </row>
    <row r="8098" spans="13:13" ht="15" customHeight="1" x14ac:dyDescent="0.3">
      <c r="M8098" s="5"/>
    </row>
    <row r="8099" spans="13:13" ht="15" customHeight="1" x14ac:dyDescent="0.3">
      <c r="M8099" s="5"/>
    </row>
    <row r="8100" spans="13:13" ht="15" customHeight="1" x14ac:dyDescent="0.3">
      <c r="M8100" s="5"/>
    </row>
    <row r="8101" spans="13:13" ht="15" customHeight="1" x14ac:dyDescent="0.3">
      <c r="M8101" s="5"/>
    </row>
    <row r="8102" spans="13:13" ht="15" customHeight="1" x14ac:dyDescent="0.3">
      <c r="M8102" s="5"/>
    </row>
    <row r="8103" spans="13:13" ht="15" customHeight="1" x14ac:dyDescent="0.3">
      <c r="M8103" s="5"/>
    </row>
    <row r="8104" spans="13:13" ht="15" customHeight="1" x14ac:dyDescent="0.3">
      <c r="M8104" s="5"/>
    </row>
    <row r="8105" spans="13:13" ht="15" customHeight="1" x14ac:dyDescent="0.3">
      <c r="M8105" s="5"/>
    </row>
    <row r="8106" spans="13:13" ht="15" customHeight="1" x14ac:dyDescent="0.3">
      <c r="M8106" s="5"/>
    </row>
    <row r="8107" spans="13:13" ht="15" customHeight="1" x14ac:dyDescent="0.3">
      <c r="M8107" s="5"/>
    </row>
    <row r="8108" spans="13:13" ht="15" customHeight="1" x14ac:dyDescent="0.3">
      <c r="M8108" s="5"/>
    </row>
    <row r="8109" spans="13:13" ht="15" customHeight="1" x14ac:dyDescent="0.3">
      <c r="M8109" s="5"/>
    </row>
    <row r="8110" spans="13:13" ht="15" customHeight="1" x14ac:dyDescent="0.3">
      <c r="M8110" s="5"/>
    </row>
    <row r="8111" spans="13:13" ht="15" customHeight="1" x14ac:dyDescent="0.3">
      <c r="M8111" s="5"/>
    </row>
    <row r="8112" spans="13:13" ht="15" customHeight="1" x14ac:dyDescent="0.3">
      <c r="M8112" s="5"/>
    </row>
    <row r="8113" spans="13:13" ht="15" customHeight="1" x14ac:dyDescent="0.3">
      <c r="M8113" s="5"/>
    </row>
    <row r="8114" spans="13:13" ht="15" customHeight="1" x14ac:dyDescent="0.3">
      <c r="M8114" s="5"/>
    </row>
    <row r="8115" spans="13:13" ht="15" customHeight="1" x14ac:dyDescent="0.3">
      <c r="M8115" s="5"/>
    </row>
    <row r="8116" spans="13:13" ht="15" customHeight="1" x14ac:dyDescent="0.3">
      <c r="M8116" s="5"/>
    </row>
    <row r="8117" spans="13:13" ht="15" customHeight="1" x14ac:dyDescent="0.3">
      <c r="M8117" s="5"/>
    </row>
    <row r="8118" spans="13:13" ht="15" customHeight="1" x14ac:dyDescent="0.3">
      <c r="M8118" s="5"/>
    </row>
    <row r="8119" spans="13:13" ht="15" customHeight="1" x14ac:dyDescent="0.3">
      <c r="M8119" s="5"/>
    </row>
    <row r="8120" spans="13:13" ht="15" customHeight="1" x14ac:dyDescent="0.3">
      <c r="M8120" s="5"/>
    </row>
    <row r="8121" spans="13:13" ht="15" customHeight="1" x14ac:dyDescent="0.3">
      <c r="M8121" s="5"/>
    </row>
    <row r="8122" spans="13:13" ht="15" customHeight="1" x14ac:dyDescent="0.3">
      <c r="M8122" s="5"/>
    </row>
    <row r="8123" spans="13:13" ht="15" customHeight="1" x14ac:dyDescent="0.3">
      <c r="M8123" s="5"/>
    </row>
    <row r="8124" spans="13:13" ht="15" customHeight="1" x14ac:dyDescent="0.3">
      <c r="M8124" s="5"/>
    </row>
    <row r="8125" spans="13:13" ht="15" customHeight="1" x14ac:dyDescent="0.3">
      <c r="M8125" s="5"/>
    </row>
    <row r="8126" spans="13:13" ht="15" customHeight="1" x14ac:dyDescent="0.3">
      <c r="M8126" s="5"/>
    </row>
    <row r="8127" spans="13:13" ht="15" customHeight="1" x14ac:dyDescent="0.3">
      <c r="M8127" s="5"/>
    </row>
    <row r="8128" spans="13:13" ht="15" customHeight="1" x14ac:dyDescent="0.3">
      <c r="M8128" s="5"/>
    </row>
    <row r="8129" spans="13:13" ht="15" customHeight="1" x14ac:dyDescent="0.3">
      <c r="M8129" s="5"/>
    </row>
    <row r="8130" spans="13:13" ht="15" customHeight="1" x14ac:dyDescent="0.3">
      <c r="M8130" s="5"/>
    </row>
    <row r="8131" spans="13:13" ht="15" customHeight="1" x14ac:dyDescent="0.3">
      <c r="M8131" s="5"/>
    </row>
    <row r="8132" spans="13:13" ht="15" customHeight="1" x14ac:dyDescent="0.3">
      <c r="M8132" s="5"/>
    </row>
    <row r="8133" spans="13:13" ht="15" customHeight="1" x14ac:dyDescent="0.3">
      <c r="M8133" s="5"/>
    </row>
    <row r="8134" spans="13:13" ht="15" customHeight="1" x14ac:dyDescent="0.3">
      <c r="M8134" s="5"/>
    </row>
    <row r="8135" spans="13:13" ht="15" customHeight="1" x14ac:dyDescent="0.3">
      <c r="M8135" s="5"/>
    </row>
    <row r="8136" spans="13:13" ht="15" customHeight="1" x14ac:dyDescent="0.3">
      <c r="M8136" s="5"/>
    </row>
    <row r="8137" spans="13:13" ht="15" customHeight="1" x14ac:dyDescent="0.3">
      <c r="M8137" s="5"/>
    </row>
    <row r="8138" spans="13:13" ht="15" customHeight="1" x14ac:dyDescent="0.3">
      <c r="M8138" s="5"/>
    </row>
    <row r="8139" spans="13:13" ht="15" customHeight="1" x14ac:dyDescent="0.3">
      <c r="M8139" s="5"/>
    </row>
    <row r="8140" spans="13:13" ht="15" customHeight="1" x14ac:dyDescent="0.3">
      <c r="M8140" s="5"/>
    </row>
    <row r="8141" spans="13:13" ht="15" customHeight="1" x14ac:dyDescent="0.3">
      <c r="M8141" s="5"/>
    </row>
    <row r="8142" spans="13:13" ht="15" customHeight="1" x14ac:dyDescent="0.3">
      <c r="M8142" s="5"/>
    </row>
    <row r="8143" spans="13:13" ht="15" customHeight="1" x14ac:dyDescent="0.3">
      <c r="M8143" s="5"/>
    </row>
    <row r="8144" spans="13:13" ht="15" customHeight="1" x14ac:dyDescent="0.3">
      <c r="M8144" s="5"/>
    </row>
    <row r="8145" spans="13:13" ht="15" customHeight="1" x14ac:dyDescent="0.3">
      <c r="M8145" s="5"/>
    </row>
    <row r="8146" spans="13:13" ht="15" customHeight="1" x14ac:dyDescent="0.3">
      <c r="M8146" s="5"/>
    </row>
    <row r="8147" spans="13:13" ht="15" customHeight="1" x14ac:dyDescent="0.3">
      <c r="M8147" s="5"/>
    </row>
    <row r="8148" spans="13:13" ht="15" customHeight="1" x14ac:dyDescent="0.3">
      <c r="M8148" s="5"/>
    </row>
    <row r="8149" spans="13:13" ht="15" customHeight="1" x14ac:dyDescent="0.3">
      <c r="M8149" s="5"/>
    </row>
    <row r="8150" spans="13:13" ht="15" customHeight="1" x14ac:dyDescent="0.3">
      <c r="M8150" s="5"/>
    </row>
    <row r="8151" spans="13:13" ht="15" customHeight="1" x14ac:dyDescent="0.3">
      <c r="M8151" s="5"/>
    </row>
    <row r="8152" spans="13:13" ht="15" customHeight="1" x14ac:dyDescent="0.3">
      <c r="M8152" s="5"/>
    </row>
    <row r="8153" spans="13:13" ht="15" customHeight="1" x14ac:dyDescent="0.3">
      <c r="M8153" s="5"/>
    </row>
    <row r="8154" spans="13:13" ht="15" customHeight="1" x14ac:dyDescent="0.3">
      <c r="M8154" s="5"/>
    </row>
    <row r="8155" spans="13:13" ht="15" customHeight="1" x14ac:dyDescent="0.3">
      <c r="M8155" s="5"/>
    </row>
    <row r="8156" spans="13:13" ht="15" customHeight="1" x14ac:dyDescent="0.3">
      <c r="M8156" s="5"/>
    </row>
    <row r="8157" spans="13:13" ht="15" customHeight="1" x14ac:dyDescent="0.3">
      <c r="M8157" s="5"/>
    </row>
    <row r="8158" spans="13:13" ht="15" customHeight="1" x14ac:dyDescent="0.3">
      <c r="M8158" s="5"/>
    </row>
    <row r="8159" spans="13:13" ht="15" customHeight="1" x14ac:dyDescent="0.3">
      <c r="M8159" s="5"/>
    </row>
    <row r="8160" spans="13:13" ht="15" customHeight="1" x14ac:dyDescent="0.3">
      <c r="M8160" s="5"/>
    </row>
    <row r="8161" spans="13:13" ht="15" customHeight="1" x14ac:dyDescent="0.3">
      <c r="M8161" s="5"/>
    </row>
    <row r="8162" spans="13:13" ht="15" customHeight="1" x14ac:dyDescent="0.3">
      <c r="M8162" s="5"/>
    </row>
    <row r="8163" spans="13:13" ht="15" customHeight="1" x14ac:dyDescent="0.3">
      <c r="M8163" s="5"/>
    </row>
    <row r="8164" spans="13:13" ht="15" customHeight="1" x14ac:dyDescent="0.3">
      <c r="M8164" s="5"/>
    </row>
    <row r="8165" spans="13:13" ht="15" customHeight="1" x14ac:dyDescent="0.3">
      <c r="M8165" s="5"/>
    </row>
    <row r="8166" spans="13:13" ht="15" customHeight="1" x14ac:dyDescent="0.3">
      <c r="M8166" s="5"/>
    </row>
    <row r="8167" spans="13:13" ht="15" customHeight="1" x14ac:dyDescent="0.3">
      <c r="M8167" s="5"/>
    </row>
    <row r="8168" spans="13:13" ht="15" customHeight="1" x14ac:dyDescent="0.3">
      <c r="M8168" s="5"/>
    </row>
    <row r="8169" spans="13:13" ht="15" customHeight="1" x14ac:dyDescent="0.3">
      <c r="M8169" s="5"/>
    </row>
    <row r="8170" spans="13:13" ht="15" customHeight="1" x14ac:dyDescent="0.3">
      <c r="M8170" s="5"/>
    </row>
    <row r="8171" spans="13:13" ht="15" customHeight="1" x14ac:dyDescent="0.3">
      <c r="M8171" s="5"/>
    </row>
    <row r="8172" spans="13:13" ht="15" customHeight="1" x14ac:dyDescent="0.3">
      <c r="M8172" s="5"/>
    </row>
    <row r="8173" spans="13:13" ht="15" customHeight="1" x14ac:dyDescent="0.3">
      <c r="M8173" s="5"/>
    </row>
    <row r="8174" spans="13:13" ht="15" customHeight="1" x14ac:dyDescent="0.3">
      <c r="M8174" s="5"/>
    </row>
    <row r="8175" spans="13:13" ht="15" customHeight="1" x14ac:dyDescent="0.3">
      <c r="M8175" s="5"/>
    </row>
    <row r="8176" spans="13:13" ht="15" customHeight="1" x14ac:dyDescent="0.3">
      <c r="M8176" s="5"/>
    </row>
    <row r="8177" spans="13:13" ht="15" customHeight="1" x14ac:dyDescent="0.3">
      <c r="M8177" s="5"/>
    </row>
    <row r="8178" spans="13:13" ht="15" customHeight="1" x14ac:dyDescent="0.3">
      <c r="M8178" s="5"/>
    </row>
    <row r="8179" spans="13:13" ht="15" customHeight="1" x14ac:dyDescent="0.3">
      <c r="M8179" s="5"/>
    </row>
    <row r="8180" spans="13:13" ht="15" customHeight="1" x14ac:dyDescent="0.3">
      <c r="M8180" s="5"/>
    </row>
    <row r="8181" spans="13:13" ht="15" customHeight="1" x14ac:dyDescent="0.3">
      <c r="M8181" s="5"/>
    </row>
    <row r="8182" spans="13:13" ht="15" customHeight="1" x14ac:dyDescent="0.3">
      <c r="M8182" s="5"/>
    </row>
    <row r="8183" spans="13:13" ht="15" customHeight="1" x14ac:dyDescent="0.3">
      <c r="M8183" s="5"/>
    </row>
    <row r="8184" spans="13:13" ht="15" customHeight="1" x14ac:dyDescent="0.3">
      <c r="M8184" s="5"/>
    </row>
    <row r="8185" spans="13:13" ht="15" customHeight="1" x14ac:dyDescent="0.3">
      <c r="M8185" s="5"/>
    </row>
    <row r="8186" spans="13:13" ht="15" customHeight="1" x14ac:dyDescent="0.3">
      <c r="M8186" s="5"/>
    </row>
    <row r="8187" spans="13:13" ht="15" customHeight="1" x14ac:dyDescent="0.3">
      <c r="M8187" s="5"/>
    </row>
    <row r="8188" spans="13:13" ht="15" customHeight="1" x14ac:dyDescent="0.3">
      <c r="M8188" s="5"/>
    </row>
    <row r="8189" spans="13:13" ht="15" customHeight="1" x14ac:dyDescent="0.3">
      <c r="M8189" s="5"/>
    </row>
    <row r="8190" spans="13:13" ht="15" customHeight="1" x14ac:dyDescent="0.3">
      <c r="M8190" s="5"/>
    </row>
    <row r="8191" spans="13:13" ht="15" customHeight="1" x14ac:dyDescent="0.3">
      <c r="M8191" s="5"/>
    </row>
    <row r="8192" spans="13:13" ht="15" customHeight="1" x14ac:dyDescent="0.3">
      <c r="M8192" s="5"/>
    </row>
    <row r="8193" spans="13:13" ht="15" customHeight="1" x14ac:dyDescent="0.3">
      <c r="M8193" s="5"/>
    </row>
    <row r="8194" spans="13:13" ht="15" customHeight="1" x14ac:dyDescent="0.3">
      <c r="M8194" s="5"/>
    </row>
    <row r="8195" spans="13:13" ht="15" customHeight="1" x14ac:dyDescent="0.3">
      <c r="M8195" s="5"/>
    </row>
    <row r="8196" spans="13:13" ht="15" customHeight="1" x14ac:dyDescent="0.3">
      <c r="M8196" s="5"/>
    </row>
    <row r="8197" spans="13:13" ht="15" customHeight="1" x14ac:dyDescent="0.3">
      <c r="M8197" s="5"/>
    </row>
    <row r="8198" spans="13:13" ht="15" customHeight="1" x14ac:dyDescent="0.3">
      <c r="M8198" s="5"/>
    </row>
    <row r="8199" spans="13:13" ht="15" customHeight="1" x14ac:dyDescent="0.3">
      <c r="M8199" s="5"/>
    </row>
    <row r="8200" spans="13:13" ht="15" customHeight="1" x14ac:dyDescent="0.3">
      <c r="M8200" s="5"/>
    </row>
    <row r="8201" spans="13:13" ht="15" customHeight="1" x14ac:dyDescent="0.3">
      <c r="M8201" s="5"/>
    </row>
    <row r="8202" spans="13:13" ht="15" customHeight="1" x14ac:dyDescent="0.3">
      <c r="M8202" s="5"/>
    </row>
    <row r="8203" spans="13:13" ht="15" customHeight="1" x14ac:dyDescent="0.3">
      <c r="M8203" s="5"/>
    </row>
    <row r="8204" spans="13:13" ht="15" customHeight="1" x14ac:dyDescent="0.3">
      <c r="M8204" s="5"/>
    </row>
    <row r="8205" spans="13:13" ht="15" customHeight="1" x14ac:dyDescent="0.3">
      <c r="M8205" s="5"/>
    </row>
    <row r="8206" spans="13:13" ht="15" customHeight="1" x14ac:dyDescent="0.3">
      <c r="M8206" s="5"/>
    </row>
    <row r="8207" spans="13:13" ht="15" customHeight="1" x14ac:dyDescent="0.3">
      <c r="M8207" s="5"/>
    </row>
    <row r="8208" spans="13:13" ht="15" customHeight="1" x14ac:dyDescent="0.3">
      <c r="M8208" s="5"/>
    </row>
    <row r="8209" spans="13:13" ht="15" customHeight="1" x14ac:dyDescent="0.3">
      <c r="M8209" s="5"/>
    </row>
    <row r="8210" spans="13:13" ht="15" customHeight="1" x14ac:dyDescent="0.3">
      <c r="M8210" s="5"/>
    </row>
    <row r="8211" spans="13:13" ht="15" customHeight="1" x14ac:dyDescent="0.3">
      <c r="M8211" s="5"/>
    </row>
    <row r="8212" spans="13:13" ht="15" customHeight="1" x14ac:dyDescent="0.3">
      <c r="M8212" s="5"/>
    </row>
    <row r="8213" spans="13:13" ht="15" customHeight="1" x14ac:dyDescent="0.3">
      <c r="M8213" s="5"/>
    </row>
    <row r="8214" spans="13:13" ht="15" customHeight="1" x14ac:dyDescent="0.3">
      <c r="M8214" s="5"/>
    </row>
    <row r="8215" spans="13:13" ht="15" customHeight="1" x14ac:dyDescent="0.3">
      <c r="M8215" s="5"/>
    </row>
    <row r="8216" spans="13:13" ht="15" customHeight="1" x14ac:dyDescent="0.3">
      <c r="M8216" s="5"/>
    </row>
    <row r="8217" spans="13:13" ht="15" customHeight="1" x14ac:dyDescent="0.3">
      <c r="M8217" s="5"/>
    </row>
    <row r="8218" spans="13:13" ht="15" customHeight="1" x14ac:dyDescent="0.3">
      <c r="M8218" s="5"/>
    </row>
    <row r="8219" spans="13:13" ht="15" customHeight="1" x14ac:dyDescent="0.3">
      <c r="M8219" s="5"/>
    </row>
    <row r="8220" spans="13:13" ht="15" customHeight="1" x14ac:dyDescent="0.3">
      <c r="M8220" s="5"/>
    </row>
    <row r="8221" spans="13:13" ht="15" customHeight="1" x14ac:dyDescent="0.3">
      <c r="M8221" s="5"/>
    </row>
    <row r="8222" spans="13:13" ht="15" customHeight="1" x14ac:dyDescent="0.3">
      <c r="M8222" s="5"/>
    </row>
    <row r="8223" spans="13:13" ht="15" customHeight="1" x14ac:dyDescent="0.3">
      <c r="M8223" s="5"/>
    </row>
    <row r="8224" spans="13:13" ht="15" customHeight="1" x14ac:dyDescent="0.3">
      <c r="M8224" s="5"/>
    </row>
    <row r="8225" spans="13:13" ht="15" customHeight="1" x14ac:dyDescent="0.3">
      <c r="M8225" s="5"/>
    </row>
    <row r="8226" spans="13:13" ht="15" customHeight="1" x14ac:dyDescent="0.3">
      <c r="M8226" s="5"/>
    </row>
    <row r="8227" spans="13:13" ht="15" customHeight="1" x14ac:dyDescent="0.3">
      <c r="M8227" s="5"/>
    </row>
    <row r="8228" spans="13:13" ht="15" customHeight="1" x14ac:dyDescent="0.3">
      <c r="M8228" s="5"/>
    </row>
    <row r="8229" spans="13:13" ht="15" customHeight="1" x14ac:dyDescent="0.3">
      <c r="M8229" s="5"/>
    </row>
    <row r="8230" spans="13:13" ht="15" customHeight="1" x14ac:dyDescent="0.3">
      <c r="M8230" s="5"/>
    </row>
    <row r="8231" spans="13:13" ht="15" customHeight="1" x14ac:dyDescent="0.3">
      <c r="M8231" s="5"/>
    </row>
    <row r="8232" spans="13:13" ht="15" customHeight="1" x14ac:dyDescent="0.3">
      <c r="M8232" s="5"/>
    </row>
    <row r="8233" spans="13:13" ht="15" customHeight="1" x14ac:dyDescent="0.3">
      <c r="M8233" s="5"/>
    </row>
    <row r="8234" spans="13:13" ht="15" customHeight="1" x14ac:dyDescent="0.3">
      <c r="M8234" s="5"/>
    </row>
    <row r="8235" spans="13:13" ht="15" customHeight="1" x14ac:dyDescent="0.3">
      <c r="M8235" s="5"/>
    </row>
    <row r="8236" spans="13:13" ht="15" customHeight="1" x14ac:dyDescent="0.3">
      <c r="M8236" s="5"/>
    </row>
    <row r="8237" spans="13:13" ht="15" customHeight="1" x14ac:dyDescent="0.3">
      <c r="M8237" s="5"/>
    </row>
    <row r="8238" spans="13:13" ht="15" customHeight="1" x14ac:dyDescent="0.3">
      <c r="M8238" s="5"/>
    </row>
    <row r="8239" spans="13:13" ht="15" customHeight="1" x14ac:dyDescent="0.3">
      <c r="M8239" s="5"/>
    </row>
    <row r="8240" spans="13:13" ht="15" customHeight="1" x14ac:dyDescent="0.3">
      <c r="M8240" s="5"/>
    </row>
    <row r="8241" spans="13:13" ht="15" customHeight="1" x14ac:dyDescent="0.3">
      <c r="M8241" s="5"/>
    </row>
    <row r="8242" spans="13:13" ht="15" customHeight="1" x14ac:dyDescent="0.3">
      <c r="M8242" s="5"/>
    </row>
    <row r="8243" spans="13:13" ht="15" customHeight="1" x14ac:dyDescent="0.3">
      <c r="M8243" s="5"/>
    </row>
    <row r="8244" spans="13:13" ht="15" customHeight="1" x14ac:dyDescent="0.3">
      <c r="M8244" s="5"/>
    </row>
    <row r="8245" spans="13:13" ht="15" customHeight="1" x14ac:dyDescent="0.3">
      <c r="M8245" s="5"/>
    </row>
    <row r="8246" spans="13:13" ht="15" customHeight="1" x14ac:dyDescent="0.3">
      <c r="M8246" s="5"/>
    </row>
    <row r="8247" spans="13:13" ht="15" customHeight="1" x14ac:dyDescent="0.3">
      <c r="M8247" s="5"/>
    </row>
    <row r="8248" spans="13:13" ht="15" customHeight="1" x14ac:dyDescent="0.3">
      <c r="M8248" s="5"/>
    </row>
    <row r="8249" spans="13:13" ht="15" customHeight="1" x14ac:dyDescent="0.3">
      <c r="M8249" s="5"/>
    </row>
    <row r="8250" spans="13:13" ht="15" customHeight="1" x14ac:dyDescent="0.3">
      <c r="M8250" s="5"/>
    </row>
    <row r="8251" spans="13:13" ht="15" customHeight="1" x14ac:dyDescent="0.3">
      <c r="M8251" s="5"/>
    </row>
    <row r="8252" spans="13:13" ht="15" customHeight="1" x14ac:dyDescent="0.3">
      <c r="M8252" s="5"/>
    </row>
    <row r="8253" spans="13:13" ht="15" customHeight="1" x14ac:dyDescent="0.3">
      <c r="M8253" s="5"/>
    </row>
    <row r="8254" spans="13:13" ht="15" customHeight="1" x14ac:dyDescent="0.3">
      <c r="M8254" s="5"/>
    </row>
    <row r="8255" spans="13:13" ht="15" customHeight="1" x14ac:dyDescent="0.3">
      <c r="M8255" s="5"/>
    </row>
    <row r="8256" spans="13:13" ht="15" customHeight="1" x14ac:dyDescent="0.3">
      <c r="M8256" s="5"/>
    </row>
    <row r="8257" spans="13:13" ht="15" customHeight="1" x14ac:dyDescent="0.3">
      <c r="M8257" s="5"/>
    </row>
    <row r="8258" spans="13:13" ht="15" customHeight="1" x14ac:dyDescent="0.3">
      <c r="M8258" s="5"/>
    </row>
    <row r="8259" spans="13:13" ht="15" customHeight="1" x14ac:dyDescent="0.3">
      <c r="M8259" s="5"/>
    </row>
    <row r="8260" spans="13:13" ht="15" customHeight="1" x14ac:dyDescent="0.3">
      <c r="M8260" s="5"/>
    </row>
    <row r="8261" spans="13:13" ht="15" customHeight="1" x14ac:dyDescent="0.3">
      <c r="M8261" s="5"/>
    </row>
    <row r="8262" spans="13:13" ht="15" customHeight="1" x14ac:dyDescent="0.3">
      <c r="M8262" s="5"/>
    </row>
    <row r="8263" spans="13:13" ht="15" customHeight="1" x14ac:dyDescent="0.3">
      <c r="M8263" s="5"/>
    </row>
    <row r="8264" spans="13:13" ht="15" customHeight="1" x14ac:dyDescent="0.3">
      <c r="M8264" s="5"/>
    </row>
    <row r="8265" spans="13:13" ht="15" customHeight="1" x14ac:dyDescent="0.3">
      <c r="M8265" s="5"/>
    </row>
    <row r="8266" spans="13:13" ht="15" customHeight="1" x14ac:dyDescent="0.3">
      <c r="M8266" s="5"/>
    </row>
    <row r="8267" spans="13:13" ht="15" customHeight="1" x14ac:dyDescent="0.3">
      <c r="M8267" s="5"/>
    </row>
    <row r="8268" spans="13:13" ht="15" customHeight="1" x14ac:dyDescent="0.3">
      <c r="M8268" s="5"/>
    </row>
    <row r="8269" spans="13:13" ht="15" customHeight="1" x14ac:dyDescent="0.3">
      <c r="M8269" s="5"/>
    </row>
    <row r="8270" spans="13:13" ht="15" customHeight="1" x14ac:dyDescent="0.3">
      <c r="M8270" s="5"/>
    </row>
    <row r="8271" spans="13:13" ht="15" customHeight="1" x14ac:dyDescent="0.3">
      <c r="M8271" s="5"/>
    </row>
    <row r="8272" spans="13:13" ht="15" customHeight="1" x14ac:dyDescent="0.3">
      <c r="M8272" s="5"/>
    </row>
    <row r="8273" spans="13:13" ht="15" customHeight="1" x14ac:dyDescent="0.3">
      <c r="M8273" s="5"/>
    </row>
    <row r="8274" spans="13:13" ht="15" customHeight="1" x14ac:dyDescent="0.3">
      <c r="M8274" s="5"/>
    </row>
    <row r="8275" spans="13:13" ht="15" customHeight="1" x14ac:dyDescent="0.3">
      <c r="M8275" s="5"/>
    </row>
    <row r="8276" spans="13:13" ht="15" customHeight="1" x14ac:dyDescent="0.3">
      <c r="M8276" s="5"/>
    </row>
    <row r="8277" spans="13:13" ht="15" customHeight="1" x14ac:dyDescent="0.3">
      <c r="M8277" s="5"/>
    </row>
    <row r="8278" spans="13:13" ht="15" customHeight="1" x14ac:dyDescent="0.3">
      <c r="M8278" s="5"/>
    </row>
    <row r="8279" spans="13:13" ht="15" customHeight="1" x14ac:dyDescent="0.3">
      <c r="M8279" s="5"/>
    </row>
    <row r="8280" spans="13:13" ht="15" customHeight="1" x14ac:dyDescent="0.3">
      <c r="M8280" s="5"/>
    </row>
    <row r="8281" spans="13:13" ht="15" customHeight="1" x14ac:dyDescent="0.3">
      <c r="M8281" s="5"/>
    </row>
    <row r="8282" spans="13:13" ht="15" customHeight="1" x14ac:dyDescent="0.3">
      <c r="M8282" s="5"/>
    </row>
    <row r="8283" spans="13:13" ht="15" customHeight="1" x14ac:dyDescent="0.3">
      <c r="M8283" s="5"/>
    </row>
    <row r="8284" spans="13:13" ht="15" customHeight="1" x14ac:dyDescent="0.3">
      <c r="M8284" s="5"/>
    </row>
    <row r="8285" spans="13:13" ht="15" customHeight="1" x14ac:dyDescent="0.3">
      <c r="M8285" s="5"/>
    </row>
    <row r="8286" spans="13:13" ht="15" customHeight="1" x14ac:dyDescent="0.3">
      <c r="M8286" s="5"/>
    </row>
    <row r="8287" spans="13:13" ht="15" customHeight="1" x14ac:dyDescent="0.3">
      <c r="M8287" s="5"/>
    </row>
    <row r="8288" spans="13:13" ht="15" customHeight="1" x14ac:dyDescent="0.3">
      <c r="M8288" s="5"/>
    </row>
    <row r="8289" spans="13:13" ht="15" customHeight="1" x14ac:dyDescent="0.3">
      <c r="M8289" s="5"/>
    </row>
    <row r="8290" spans="13:13" ht="15" customHeight="1" x14ac:dyDescent="0.3">
      <c r="M8290" s="5"/>
    </row>
    <row r="8291" spans="13:13" ht="15" customHeight="1" x14ac:dyDescent="0.3">
      <c r="M8291" s="5"/>
    </row>
    <row r="8292" spans="13:13" ht="15" customHeight="1" x14ac:dyDescent="0.3">
      <c r="M8292" s="5"/>
    </row>
    <row r="8293" spans="13:13" ht="15" customHeight="1" x14ac:dyDescent="0.3">
      <c r="M8293" s="5"/>
    </row>
    <row r="8294" spans="13:13" ht="15" customHeight="1" x14ac:dyDescent="0.3">
      <c r="M8294" s="5"/>
    </row>
    <row r="8295" spans="13:13" ht="15" customHeight="1" x14ac:dyDescent="0.3">
      <c r="M8295" s="5"/>
    </row>
    <row r="8296" spans="13:13" ht="15" customHeight="1" x14ac:dyDescent="0.3">
      <c r="M8296" s="5"/>
    </row>
    <row r="8297" spans="13:13" ht="15" customHeight="1" x14ac:dyDescent="0.3">
      <c r="M8297" s="5"/>
    </row>
    <row r="8298" spans="13:13" ht="15" customHeight="1" x14ac:dyDescent="0.3">
      <c r="M8298" s="5"/>
    </row>
    <row r="8299" spans="13:13" ht="15" customHeight="1" x14ac:dyDescent="0.3">
      <c r="M8299" s="5"/>
    </row>
    <row r="8300" spans="13:13" ht="15" customHeight="1" x14ac:dyDescent="0.3">
      <c r="M8300" s="5"/>
    </row>
    <row r="8301" spans="13:13" ht="15" customHeight="1" x14ac:dyDescent="0.3">
      <c r="M8301" s="5"/>
    </row>
    <row r="8302" spans="13:13" ht="15" customHeight="1" x14ac:dyDescent="0.3">
      <c r="M8302" s="5"/>
    </row>
    <row r="8303" spans="13:13" ht="15" customHeight="1" x14ac:dyDescent="0.3">
      <c r="M8303" s="5"/>
    </row>
    <row r="8304" spans="13:13" ht="15" customHeight="1" x14ac:dyDescent="0.3">
      <c r="M8304" s="5"/>
    </row>
    <row r="8305" spans="13:13" ht="15" customHeight="1" x14ac:dyDescent="0.3">
      <c r="M8305" s="5"/>
    </row>
    <row r="8306" spans="13:13" ht="15" customHeight="1" x14ac:dyDescent="0.3">
      <c r="M8306" s="5"/>
    </row>
    <row r="8307" spans="13:13" ht="15" customHeight="1" x14ac:dyDescent="0.3">
      <c r="M8307" s="5"/>
    </row>
    <row r="8308" spans="13:13" ht="15" customHeight="1" x14ac:dyDescent="0.3">
      <c r="M8308" s="5"/>
    </row>
    <row r="8309" spans="13:13" ht="15" customHeight="1" x14ac:dyDescent="0.3">
      <c r="M8309" s="5"/>
    </row>
    <row r="8310" spans="13:13" ht="15" customHeight="1" x14ac:dyDescent="0.3">
      <c r="M8310" s="5"/>
    </row>
    <row r="8311" spans="13:13" ht="15" customHeight="1" x14ac:dyDescent="0.3">
      <c r="M8311" s="5"/>
    </row>
    <row r="8312" spans="13:13" ht="15" customHeight="1" x14ac:dyDescent="0.3">
      <c r="M8312" s="5"/>
    </row>
    <row r="8313" spans="13:13" ht="15" customHeight="1" x14ac:dyDescent="0.3">
      <c r="M8313" s="5"/>
    </row>
    <row r="8314" spans="13:13" ht="15" customHeight="1" x14ac:dyDescent="0.3">
      <c r="M8314" s="5"/>
    </row>
    <row r="8315" spans="13:13" ht="15" customHeight="1" x14ac:dyDescent="0.3">
      <c r="M8315" s="5"/>
    </row>
    <row r="8316" spans="13:13" ht="15" customHeight="1" x14ac:dyDescent="0.3">
      <c r="M8316" s="5"/>
    </row>
    <row r="8317" spans="13:13" ht="15" customHeight="1" x14ac:dyDescent="0.3">
      <c r="M8317" s="5"/>
    </row>
    <row r="8318" spans="13:13" ht="15" customHeight="1" x14ac:dyDescent="0.3">
      <c r="M8318" s="5"/>
    </row>
    <row r="8319" spans="13:13" ht="15" customHeight="1" x14ac:dyDescent="0.3">
      <c r="M8319" s="5"/>
    </row>
    <row r="8320" spans="13:13" ht="15" customHeight="1" x14ac:dyDescent="0.3">
      <c r="M8320" s="5"/>
    </row>
    <row r="8321" spans="13:13" ht="15" customHeight="1" x14ac:dyDescent="0.3">
      <c r="M8321" s="5"/>
    </row>
    <row r="8322" spans="13:13" ht="15" customHeight="1" x14ac:dyDescent="0.3">
      <c r="M8322" s="5"/>
    </row>
    <row r="8323" spans="13:13" ht="15" customHeight="1" x14ac:dyDescent="0.3">
      <c r="M8323" s="5"/>
    </row>
    <row r="8324" spans="13:13" ht="15" customHeight="1" x14ac:dyDescent="0.3">
      <c r="M8324" s="5"/>
    </row>
    <row r="8325" spans="13:13" ht="15" customHeight="1" x14ac:dyDescent="0.3">
      <c r="M8325" s="5"/>
    </row>
    <row r="8326" spans="13:13" ht="15" customHeight="1" x14ac:dyDescent="0.3">
      <c r="M8326" s="5"/>
    </row>
    <row r="8327" spans="13:13" ht="15" customHeight="1" x14ac:dyDescent="0.3">
      <c r="M8327" s="5"/>
    </row>
    <row r="8328" spans="13:13" ht="15" customHeight="1" x14ac:dyDescent="0.3">
      <c r="M8328" s="5"/>
    </row>
    <row r="8329" spans="13:13" ht="15" customHeight="1" x14ac:dyDescent="0.3">
      <c r="M8329" s="5"/>
    </row>
    <row r="8330" spans="13:13" ht="15" customHeight="1" x14ac:dyDescent="0.3">
      <c r="M8330" s="5"/>
    </row>
    <row r="8331" spans="13:13" ht="15" customHeight="1" x14ac:dyDescent="0.3">
      <c r="M8331" s="5"/>
    </row>
    <row r="8332" spans="13:13" ht="15" customHeight="1" x14ac:dyDescent="0.3">
      <c r="M8332" s="5"/>
    </row>
    <row r="8333" spans="13:13" ht="15" customHeight="1" x14ac:dyDescent="0.3">
      <c r="M8333" s="5"/>
    </row>
    <row r="8334" spans="13:13" ht="15" customHeight="1" x14ac:dyDescent="0.3">
      <c r="M8334" s="5"/>
    </row>
    <row r="8335" spans="13:13" ht="15" customHeight="1" x14ac:dyDescent="0.3">
      <c r="M8335" s="5"/>
    </row>
    <row r="8336" spans="13:13" ht="15" customHeight="1" x14ac:dyDescent="0.3">
      <c r="M8336" s="5"/>
    </row>
    <row r="8337" spans="13:13" ht="15" customHeight="1" x14ac:dyDescent="0.3">
      <c r="M8337" s="5"/>
    </row>
    <row r="8338" spans="13:13" ht="15" customHeight="1" x14ac:dyDescent="0.3">
      <c r="M8338" s="5"/>
    </row>
    <row r="8339" spans="13:13" ht="15" customHeight="1" x14ac:dyDescent="0.3">
      <c r="M8339" s="5"/>
    </row>
    <row r="8340" spans="13:13" ht="15" customHeight="1" x14ac:dyDescent="0.3">
      <c r="M8340" s="5"/>
    </row>
    <row r="8341" spans="13:13" ht="15" customHeight="1" x14ac:dyDescent="0.3">
      <c r="M8341" s="5"/>
    </row>
    <row r="8342" spans="13:13" ht="15" customHeight="1" x14ac:dyDescent="0.3">
      <c r="M8342" s="5"/>
    </row>
    <row r="8343" spans="13:13" ht="15" customHeight="1" x14ac:dyDescent="0.3">
      <c r="M8343" s="5"/>
    </row>
    <row r="8344" spans="13:13" ht="15" customHeight="1" x14ac:dyDescent="0.3">
      <c r="M8344" s="5"/>
    </row>
    <row r="8345" spans="13:13" ht="15" customHeight="1" x14ac:dyDescent="0.3">
      <c r="M8345" s="5"/>
    </row>
    <row r="8346" spans="13:13" ht="15" customHeight="1" x14ac:dyDescent="0.3">
      <c r="M8346" s="5"/>
    </row>
    <row r="8347" spans="13:13" ht="15" customHeight="1" x14ac:dyDescent="0.3">
      <c r="M8347" s="5"/>
    </row>
    <row r="8348" spans="13:13" ht="15" customHeight="1" x14ac:dyDescent="0.3">
      <c r="M8348" s="5"/>
    </row>
    <row r="8349" spans="13:13" ht="15" customHeight="1" x14ac:dyDescent="0.3">
      <c r="M8349" s="5"/>
    </row>
    <row r="8350" spans="13:13" ht="15" customHeight="1" x14ac:dyDescent="0.3">
      <c r="M8350" s="5"/>
    </row>
    <row r="8351" spans="13:13" ht="15" customHeight="1" x14ac:dyDescent="0.3">
      <c r="M8351" s="5"/>
    </row>
    <row r="8352" spans="13:13" ht="15" customHeight="1" x14ac:dyDescent="0.3">
      <c r="M8352" s="5"/>
    </row>
    <row r="8353" spans="13:13" ht="15" customHeight="1" x14ac:dyDescent="0.3">
      <c r="M8353" s="5"/>
    </row>
    <row r="8354" spans="13:13" ht="15" customHeight="1" x14ac:dyDescent="0.3">
      <c r="M8354" s="5"/>
    </row>
    <row r="8355" spans="13:13" ht="15" customHeight="1" x14ac:dyDescent="0.3">
      <c r="M8355" s="5"/>
    </row>
    <row r="8356" spans="13:13" ht="15" customHeight="1" x14ac:dyDescent="0.3">
      <c r="M8356" s="5"/>
    </row>
    <row r="8357" spans="13:13" ht="15" customHeight="1" x14ac:dyDescent="0.3">
      <c r="M8357" s="5"/>
    </row>
    <row r="8358" spans="13:13" ht="15" customHeight="1" x14ac:dyDescent="0.3">
      <c r="M8358" s="5"/>
    </row>
    <row r="8359" spans="13:13" ht="15" customHeight="1" x14ac:dyDescent="0.3">
      <c r="M8359" s="5"/>
    </row>
    <row r="8360" spans="13:13" ht="15" customHeight="1" x14ac:dyDescent="0.3">
      <c r="M8360" s="5"/>
    </row>
    <row r="8361" spans="13:13" ht="15" customHeight="1" x14ac:dyDescent="0.3">
      <c r="M8361" s="5"/>
    </row>
    <row r="8362" spans="13:13" ht="15" customHeight="1" x14ac:dyDescent="0.3">
      <c r="M8362" s="5"/>
    </row>
    <row r="8363" spans="13:13" ht="15" customHeight="1" x14ac:dyDescent="0.3">
      <c r="M8363" s="5"/>
    </row>
    <row r="8364" spans="13:13" ht="15" customHeight="1" x14ac:dyDescent="0.3">
      <c r="M8364" s="5"/>
    </row>
    <row r="8365" spans="13:13" ht="15" customHeight="1" x14ac:dyDescent="0.3">
      <c r="M8365" s="5"/>
    </row>
    <row r="8366" spans="13:13" ht="15" customHeight="1" x14ac:dyDescent="0.3">
      <c r="M8366" s="5"/>
    </row>
    <row r="8367" spans="13:13" ht="15" customHeight="1" x14ac:dyDescent="0.3">
      <c r="M8367" s="5"/>
    </row>
    <row r="8368" spans="13:13" ht="15" customHeight="1" x14ac:dyDescent="0.3">
      <c r="M8368" s="5"/>
    </row>
    <row r="8369" spans="13:13" ht="15" customHeight="1" x14ac:dyDescent="0.3">
      <c r="M8369" s="5"/>
    </row>
    <row r="8370" spans="13:13" ht="15" customHeight="1" x14ac:dyDescent="0.3">
      <c r="M8370" s="5"/>
    </row>
    <row r="8371" spans="13:13" ht="15" customHeight="1" x14ac:dyDescent="0.3">
      <c r="M8371" s="5"/>
    </row>
    <row r="8372" spans="13:13" ht="15" customHeight="1" x14ac:dyDescent="0.3">
      <c r="M8372" s="5"/>
    </row>
    <row r="8373" spans="13:13" ht="15" customHeight="1" x14ac:dyDescent="0.3">
      <c r="M8373" s="5"/>
    </row>
    <row r="8374" spans="13:13" ht="15" customHeight="1" x14ac:dyDescent="0.3">
      <c r="M8374" s="5"/>
    </row>
    <row r="8375" spans="13:13" ht="15" customHeight="1" x14ac:dyDescent="0.3">
      <c r="M8375" s="5"/>
    </row>
    <row r="8376" spans="13:13" ht="15" customHeight="1" x14ac:dyDescent="0.3">
      <c r="M8376" s="5"/>
    </row>
    <row r="8377" spans="13:13" ht="15" customHeight="1" x14ac:dyDescent="0.3">
      <c r="M8377" s="5"/>
    </row>
    <row r="8378" spans="13:13" ht="15" customHeight="1" x14ac:dyDescent="0.3">
      <c r="M8378" s="5"/>
    </row>
    <row r="8379" spans="13:13" ht="15" customHeight="1" x14ac:dyDescent="0.3">
      <c r="M8379" s="5"/>
    </row>
    <row r="8380" spans="13:13" ht="15" customHeight="1" x14ac:dyDescent="0.3">
      <c r="M8380" s="5"/>
    </row>
    <row r="8381" spans="13:13" ht="15" customHeight="1" x14ac:dyDescent="0.3">
      <c r="M8381" s="5"/>
    </row>
    <row r="8382" spans="13:13" ht="15" customHeight="1" x14ac:dyDescent="0.3">
      <c r="M8382" s="5"/>
    </row>
    <row r="8383" spans="13:13" ht="15" customHeight="1" x14ac:dyDescent="0.3">
      <c r="M8383" s="5"/>
    </row>
    <row r="8384" spans="13:13" ht="15" customHeight="1" x14ac:dyDescent="0.3">
      <c r="M8384" s="5"/>
    </row>
    <row r="8385" spans="13:13" ht="15" customHeight="1" x14ac:dyDescent="0.3">
      <c r="M8385" s="5"/>
    </row>
    <row r="8386" spans="13:13" ht="15" customHeight="1" x14ac:dyDescent="0.3">
      <c r="M8386" s="5"/>
    </row>
    <row r="8387" spans="13:13" ht="15" customHeight="1" x14ac:dyDescent="0.3">
      <c r="M8387" s="5"/>
    </row>
    <row r="8388" spans="13:13" ht="15" customHeight="1" x14ac:dyDescent="0.3">
      <c r="M8388" s="5"/>
    </row>
    <row r="8389" spans="13:13" ht="15" customHeight="1" x14ac:dyDescent="0.3">
      <c r="M8389" s="5"/>
    </row>
    <row r="8390" spans="13:13" ht="15" customHeight="1" x14ac:dyDescent="0.3">
      <c r="M8390" s="5"/>
    </row>
    <row r="8391" spans="13:13" ht="15" customHeight="1" x14ac:dyDescent="0.3">
      <c r="M8391" s="5"/>
    </row>
    <row r="8392" spans="13:13" ht="15" customHeight="1" x14ac:dyDescent="0.3">
      <c r="M8392" s="5"/>
    </row>
    <row r="8393" spans="13:13" ht="15" customHeight="1" x14ac:dyDescent="0.3">
      <c r="M8393" s="5"/>
    </row>
    <row r="8394" spans="13:13" ht="15" customHeight="1" x14ac:dyDescent="0.3">
      <c r="M8394" s="5"/>
    </row>
    <row r="8395" spans="13:13" ht="15" customHeight="1" x14ac:dyDescent="0.3">
      <c r="M8395" s="5"/>
    </row>
    <row r="8396" spans="13:13" ht="15" customHeight="1" x14ac:dyDescent="0.3">
      <c r="M8396" s="5"/>
    </row>
    <row r="8397" spans="13:13" ht="15" customHeight="1" x14ac:dyDescent="0.3">
      <c r="M8397" s="5"/>
    </row>
    <row r="8398" spans="13:13" ht="15" customHeight="1" x14ac:dyDescent="0.3">
      <c r="M8398" s="5"/>
    </row>
    <row r="8399" spans="13:13" ht="15" customHeight="1" x14ac:dyDescent="0.3">
      <c r="M8399" s="5"/>
    </row>
    <row r="8400" spans="13:13" ht="15" customHeight="1" x14ac:dyDescent="0.3">
      <c r="M8400" s="5"/>
    </row>
    <row r="8401" spans="13:13" ht="15" customHeight="1" x14ac:dyDescent="0.3">
      <c r="M8401" s="5"/>
    </row>
    <row r="8402" spans="13:13" ht="15" customHeight="1" x14ac:dyDescent="0.3">
      <c r="M8402" s="5"/>
    </row>
    <row r="8403" spans="13:13" ht="15" customHeight="1" x14ac:dyDescent="0.3">
      <c r="M8403" s="5"/>
    </row>
    <row r="8404" spans="13:13" ht="15" customHeight="1" x14ac:dyDescent="0.3">
      <c r="M8404" s="5"/>
    </row>
    <row r="8405" spans="13:13" ht="15" customHeight="1" x14ac:dyDescent="0.3">
      <c r="M8405" s="5"/>
    </row>
    <row r="8406" spans="13:13" ht="15" customHeight="1" x14ac:dyDescent="0.3">
      <c r="M8406" s="5"/>
    </row>
    <row r="8407" spans="13:13" ht="15" customHeight="1" x14ac:dyDescent="0.3">
      <c r="M8407" s="5"/>
    </row>
    <row r="8408" spans="13:13" ht="15" customHeight="1" x14ac:dyDescent="0.3">
      <c r="M8408" s="5"/>
    </row>
    <row r="8409" spans="13:13" ht="15" customHeight="1" x14ac:dyDescent="0.3">
      <c r="M8409" s="5"/>
    </row>
    <row r="8410" spans="13:13" ht="15" customHeight="1" x14ac:dyDescent="0.3">
      <c r="M8410" s="5"/>
    </row>
    <row r="8411" spans="13:13" ht="15" customHeight="1" x14ac:dyDescent="0.3">
      <c r="M8411" s="5"/>
    </row>
    <row r="8412" spans="13:13" ht="15" customHeight="1" x14ac:dyDescent="0.3">
      <c r="M8412" s="5"/>
    </row>
    <row r="8413" spans="13:13" ht="15" customHeight="1" x14ac:dyDescent="0.3">
      <c r="M8413" s="5"/>
    </row>
    <row r="8414" spans="13:13" ht="15" customHeight="1" x14ac:dyDescent="0.3">
      <c r="M8414" s="5"/>
    </row>
    <row r="8415" spans="13:13" ht="15" customHeight="1" x14ac:dyDescent="0.3">
      <c r="M8415" s="5"/>
    </row>
    <row r="8416" spans="13:13" ht="15" customHeight="1" x14ac:dyDescent="0.3">
      <c r="M8416" s="5"/>
    </row>
    <row r="8417" spans="13:13" ht="15" customHeight="1" x14ac:dyDescent="0.3">
      <c r="M8417" s="5"/>
    </row>
    <row r="8418" spans="13:13" ht="15" customHeight="1" x14ac:dyDescent="0.3">
      <c r="M8418" s="5"/>
    </row>
    <row r="8419" spans="13:13" ht="15" customHeight="1" x14ac:dyDescent="0.3">
      <c r="M8419" s="5"/>
    </row>
    <row r="8420" spans="13:13" ht="15" customHeight="1" x14ac:dyDescent="0.3">
      <c r="M8420" s="5"/>
    </row>
    <row r="8421" spans="13:13" ht="15" customHeight="1" x14ac:dyDescent="0.3">
      <c r="M8421" s="5"/>
    </row>
    <row r="8422" spans="13:13" ht="15" customHeight="1" x14ac:dyDescent="0.3">
      <c r="M8422" s="5"/>
    </row>
    <row r="8423" spans="13:13" ht="15" customHeight="1" x14ac:dyDescent="0.3">
      <c r="M8423" s="5"/>
    </row>
    <row r="8424" spans="13:13" ht="15" customHeight="1" x14ac:dyDescent="0.3">
      <c r="M8424" s="5"/>
    </row>
    <row r="8425" spans="13:13" ht="15" customHeight="1" x14ac:dyDescent="0.3">
      <c r="M8425" s="5"/>
    </row>
    <row r="8426" spans="13:13" ht="15" customHeight="1" x14ac:dyDescent="0.3">
      <c r="M8426" s="5"/>
    </row>
    <row r="8427" spans="13:13" ht="15" customHeight="1" x14ac:dyDescent="0.3">
      <c r="M8427" s="5"/>
    </row>
    <row r="8428" spans="13:13" ht="15" customHeight="1" x14ac:dyDescent="0.3">
      <c r="M8428" s="5"/>
    </row>
    <row r="8429" spans="13:13" ht="15" customHeight="1" x14ac:dyDescent="0.3">
      <c r="M8429" s="5"/>
    </row>
    <row r="8430" spans="13:13" ht="15" customHeight="1" x14ac:dyDescent="0.3">
      <c r="M8430" s="5"/>
    </row>
    <row r="8431" spans="13:13" ht="15" customHeight="1" x14ac:dyDescent="0.3">
      <c r="M8431" s="5"/>
    </row>
    <row r="8432" spans="13:13" ht="15" customHeight="1" x14ac:dyDescent="0.3">
      <c r="M8432" s="5"/>
    </row>
    <row r="8433" spans="13:13" ht="15" customHeight="1" x14ac:dyDescent="0.3">
      <c r="M8433" s="5"/>
    </row>
    <row r="8434" spans="13:13" ht="15" customHeight="1" x14ac:dyDescent="0.3">
      <c r="M8434" s="5"/>
    </row>
    <row r="8435" spans="13:13" ht="15" customHeight="1" x14ac:dyDescent="0.3">
      <c r="M8435" s="5"/>
    </row>
    <row r="8436" spans="13:13" ht="15" customHeight="1" x14ac:dyDescent="0.3">
      <c r="M8436" s="5"/>
    </row>
    <row r="8437" spans="13:13" ht="15" customHeight="1" x14ac:dyDescent="0.3">
      <c r="M8437" s="5"/>
    </row>
    <row r="8438" spans="13:13" ht="15" customHeight="1" x14ac:dyDescent="0.3">
      <c r="M8438" s="5"/>
    </row>
    <row r="8439" spans="13:13" ht="15" customHeight="1" x14ac:dyDescent="0.3">
      <c r="M8439" s="5"/>
    </row>
    <row r="8440" spans="13:13" ht="15" customHeight="1" x14ac:dyDescent="0.3">
      <c r="M8440" s="5"/>
    </row>
    <row r="8441" spans="13:13" ht="15" customHeight="1" x14ac:dyDescent="0.3">
      <c r="M8441" s="5"/>
    </row>
    <row r="8442" spans="13:13" ht="15" customHeight="1" x14ac:dyDescent="0.3">
      <c r="M8442" s="5"/>
    </row>
    <row r="8443" spans="13:13" ht="15" customHeight="1" x14ac:dyDescent="0.3">
      <c r="M8443" s="5"/>
    </row>
    <row r="8444" spans="13:13" ht="15" customHeight="1" x14ac:dyDescent="0.3">
      <c r="M8444" s="5"/>
    </row>
    <row r="8445" spans="13:13" ht="15" customHeight="1" x14ac:dyDescent="0.3">
      <c r="M8445" s="5"/>
    </row>
    <row r="8446" spans="13:13" ht="15" customHeight="1" x14ac:dyDescent="0.3">
      <c r="M8446" s="5"/>
    </row>
    <row r="8447" spans="13:13" ht="15" customHeight="1" x14ac:dyDescent="0.3">
      <c r="M8447" s="5"/>
    </row>
    <row r="8448" spans="13:13" ht="15" customHeight="1" x14ac:dyDescent="0.3">
      <c r="M8448" s="5"/>
    </row>
    <row r="8449" spans="13:13" ht="15" customHeight="1" x14ac:dyDescent="0.3">
      <c r="M8449" s="5"/>
    </row>
    <row r="8450" spans="13:13" ht="15" customHeight="1" x14ac:dyDescent="0.3">
      <c r="M8450" s="5"/>
    </row>
    <row r="8451" spans="13:13" ht="15" customHeight="1" x14ac:dyDescent="0.3">
      <c r="M8451" s="5"/>
    </row>
    <row r="8452" spans="13:13" ht="15" customHeight="1" x14ac:dyDescent="0.3">
      <c r="M8452" s="5"/>
    </row>
    <row r="8453" spans="13:13" ht="15" customHeight="1" x14ac:dyDescent="0.3">
      <c r="M8453" s="5"/>
    </row>
    <row r="8454" spans="13:13" ht="15" customHeight="1" x14ac:dyDescent="0.3">
      <c r="M8454" s="5"/>
    </row>
    <row r="8455" spans="13:13" ht="15" customHeight="1" x14ac:dyDescent="0.3">
      <c r="M8455" s="5"/>
    </row>
    <row r="8456" spans="13:13" ht="15" customHeight="1" x14ac:dyDescent="0.3">
      <c r="M8456" s="5"/>
    </row>
    <row r="8457" spans="13:13" ht="15" customHeight="1" x14ac:dyDescent="0.3">
      <c r="M8457" s="5"/>
    </row>
    <row r="8458" spans="13:13" ht="15" customHeight="1" x14ac:dyDescent="0.3">
      <c r="M8458" s="5"/>
    </row>
    <row r="8459" spans="13:13" ht="15" customHeight="1" x14ac:dyDescent="0.3">
      <c r="M8459" s="5"/>
    </row>
    <row r="8460" spans="13:13" ht="15" customHeight="1" x14ac:dyDescent="0.3">
      <c r="M8460" s="5"/>
    </row>
    <row r="8461" spans="13:13" ht="15" customHeight="1" x14ac:dyDescent="0.3">
      <c r="M8461" s="5"/>
    </row>
    <row r="8462" spans="13:13" ht="15" customHeight="1" x14ac:dyDescent="0.3">
      <c r="M8462" s="5"/>
    </row>
    <row r="8463" spans="13:13" ht="15" customHeight="1" x14ac:dyDescent="0.3">
      <c r="M8463" s="5"/>
    </row>
    <row r="8464" spans="13:13" ht="15" customHeight="1" x14ac:dyDescent="0.3">
      <c r="M8464" s="5"/>
    </row>
    <row r="8465" spans="13:13" ht="15" customHeight="1" x14ac:dyDescent="0.3">
      <c r="M8465" s="5"/>
    </row>
    <row r="8466" spans="13:13" ht="15" customHeight="1" x14ac:dyDescent="0.3">
      <c r="M8466" s="5"/>
    </row>
    <row r="8467" spans="13:13" ht="15" customHeight="1" x14ac:dyDescent="0.3">
      <c r="M8467" s="5"/>
    </row>
    <row r="8468" spans="13:13" ht="15" customHeight="1" x14ac:dyDescent="0.3">
      <c r="M8468" s="5"/>
    </row>
    <row r="8469" spans="13:13" ht="15" customHeight="1" x14ac:dyDescent="0.3">
      <c r="M8469" s="5"/>
    </row>
    <row r="8470" spans="13:13" ht="15" customHeight="1" x14ac:dyDescent="0.3">
      <c r="M8470" s="5"/>
    </row>
    <row r="8471" spans="13:13" ht="15" customHeight="1" x14ac:dyDescent="0.3">
      <c r="M8471" s="5"/>
    </row>
    <row r="8472" spans="13:13" ht="15" customHeight="1" x14ac:dyDescent="0.3">
      <c r="M8472" s="5"/>
    </row>
    <row r="8473" spans="13:13" ht="15" customHeight="1" x14ac:dyDescent="0.3">
      <c r="M8473" s="5"/>
    </row>
    <row r="8474" spans="13:13" ht="15" customHeight="1" x14ac:dyDescent="0.3">
      <c r="M8474" s="5"/>
    </row>
    <row r="8475" spans="13:13" ht="15" customHeight="1" x14ac:dyDescent="0.3">
      <c r="M8475" s="5"/>
    </row>
    <row r="8476" spans="13:13" ht="15" customHeight="1" x14ac:dyDescent="0.3">
      <c r="M8476" s="5"/>
    </row>
    <row r="8477" spans="13:13" ht="15" customHeight="1" x14ac:dyDescent="0.3">
      <c r="M8477" s="5"/>
    </row>
    <row r="8478" spans="13:13" ht="15" customHeight="1" x14ac:dyDescent="0.3">
      <c r="M8478" s="5"/>
    </row>
    <row r="8479" spans="13:13" ht="15" customHeight="1" x14ac:dyDescent="0.3">
      <c r="M8479" s="5"/>
    </row>
    <row r="8480" spans="13:13" ht="15" customHeight="1" x14ac:dyDescent="0.3">
      <c r="M8480" s="5"/>
    </row>
    <row r="8481" spans="13:13" ht="15" customHeight="1" x14ac:dyDescent="0.3">
      <c r="M8481" s="5"/>
    </row>
    <row r="8482" spans="13:13" ht="15" customHeight="1" x14ac:dyDescent="0.3">
      <c r="M8482" s="5"/>
    </row>
    <row r="8483" spans="13:13" ht="15" customHeight="1" x14ac:dyDescent="0.3">
      <c r="M8483" s="5"/>
    </row>
    <row r="8484" spans="13:13" ht="15" customHeight="1" x14ac:dyDescent="0.3">
      <c r="M8484" s="5"/>
    </row>
    <row r="8485" spans="13:13" ht="15" customHeight="1" x14ac:dyDescent="0.3">
      <c r="M8485" s="5"/>
    </row>
    <row r="8486" spans="13:13" ht="15" customHeight="1" x14ac:dyDescent="0.3">
      <c r="M8486" s="5"/>
    </row>
    <row r="8487" spans="13:13" ht="15" customHeight="1" x14ac:dyDescent="0.3">
      <c r="M8487" s="5"/>
    </row>
    <row r="8488" spans="13:13" ht="15" customHeight="1" x14ac:dyDescent="0.3">
      <c r="M8488" s="5"/>
    </row>
    <row r="8489" spans="13:13" ht="15" customHeight="1" x14ac:dyDescent="0.3">
      <c r="M8489" s="5"/>
    </row>
    <row r="8490" spans="13:13" ht="15" customHeight="1" x14ac:dyDescent="0.3">
      <c r="M8490" s="5"/>
    </row>
    <row r="8491" spans="13:13" ht="15" customHeight="1" x14ac:dyDescent="0.3">
      <c r="M8491" s="5"/>
    </row>
    <row r="8492" spans="13:13" ht="15" customHeight="1" x14ac:dyDescent="0.3">
      <c r="M8492" s="5"/>
    </row>
    <row r="8493" spans="13:13" ht="15" customHeight="1" x14ac:dyDescent="0.3">
      <c r="M8493" s="5"/>
    </row>
    <row r="8494" spans="13:13" ht="15" customHeight="1" x14ac:dyDescent="0.3">
      <c r="M8494" s="5"/>
    </row>
    <row r="8495" spans="13:13" ht="15" customHeight="1" x14ac:dyDescent="0.3">
      <c r="M8495" s="5"/>
    </row>
    <row r="8496" spans="13:13" ht="15" customHeight="1" x14ac:dyDescent="0.3">
      <c r="M8496" s="5"/>
    </row>
    <row r="8497" spans="13:13" ht="15" customHeight="1" x14ac:dyDescent="0.3">
      <c r="M8497" s="5"/>
    </row>
    <row r="8498" spans="13:13" ht="15" customHeight="1" x14ac:dyDescent="0.3">
      <c r="M8498" s="5"/>
    </row>
    <row r="8499" spans="13:13" ht="15" customHeight="1" x14ac:dyDescent="0.3">
      <c r="M8499" s="5"/>
    </row>
    <row r="8500" spans="13:13" ht="15" customHeight="1" x14ac:dyDescent="0.3">
      <c r="M8500" s="5"/>
    </row>
    <row r="8501" spans="13:13" ht="15" customHeight="1" x14ac:dyDescent="0.3">
      <c r="M8501" s="5"/>
    </row>
    <row r="8502" spans="13:13" ht="15" customHeight="1" x14ac:dyDescent="0.3">
      <c r="M8502" s="5"/>
    </row>
    <row r="8503" spans="13:13" ht="15" customHeight="1" x14ac:dyDescent="0.3">
      <c r="M8503" s="5"/>
    </row>
    <row r="8504" spans="13:13" ht="15" customHeight="1" x14ac:dyDescent="0.3">
      <c r="M8504" s="5"/>
    </row>
    <row r="8505" spans="13:13" ht="15" customHeight="1" x14ac:dyDescent="0.3">
      <c r="M8505" s="5"/>
    </row>
    <row r="8506" spans="13:13" ht="15" customHeight="1" x14ac:dyDescent="0.3">
      <c r="M8506" s="5"/>
    </row>
    <row r="8507" spans="13:13" ht="15" customHeight="1" x14ac:dyDescent="0.3">
      <c r="M8507" s="5"/>
    </row>
    <row r="8508" spans="13:13" ht="15" customHeight="1" x14ac:dyDescent="0.3">
      <c r="M8508" s="5"/>
    </row>
    <row r="8509" spans="13:13" ht="15" customHeight="1" x14ac:dyDescent="0.3">
      <c r="M8509" s="5"/>
    </row>
    <row r="8510" spans="13:13" ht="15" customHeight="1" x14ac:dyDescent="0.3">
      <c r="M8510" s="5"/>
    </row>
    <row r="8511" spans="13:13" ht="15" customHeight="1" x14ac:dyDescent="0.3">
      <c r="M8511" s="5"/>
    </row>
    <row r="8512" spans="13:13" ht="15" customHeight="1" x14ac:dyDescent="0.3">
      <c r="M8512" s="5"/>
    </row>
    <row r="8513" spans="13:13" ht="15" customHeight="1" x14ac:dyDescent="0.3">
      <c r="M8513" s="5"/>
    </row>
    <row r="8514" spans="13:13" ht="15" customHeight="1" x14ac:dyDescent="0.3">
      <c r="M8514" s="5"/>
    </row>
    <row r="8515" spans="13:13" ht="15" customHeight="1" x14ac:dyDescent="0.3">
      <c r="M8515" s="5"/>
    </row>
    <row r="8516" spans="13:13" ht="15" customHeight="1" x14ac:dyDescent="0.3">
      <c r="M8516" s="5"/>
    </row>
    <row r="8517" spans="13:13" ht="15" customHeight="1" x14ac:dyDescent="0.3">
      <c r="M8517" s="5"/>
    </row>
    <row r="8518" spans="13:13" ht="15" customHeight="1" x14ac:dyDescent="0.3">
      <c r="M8518" s="5"/>
    </row>
    <row r="8519" spans="13:13" ht="15" customHeight="1" x14ac:dyDescent="0.3">
      <c r="M8519" s="5"/>
    </row>
    <row r="8520" spans="13:13" ht="15" customHeight="1" x14ac:dyDescent="0.3">
      <c r="M8520" s="5"/>
    </row>
    <row r="8521" spans="13:13" ht="15" customHeight="1" x14ac:dyDescent="0.3">
      <c r="M8521" s="5"/>
    </row>
    <row r="8522" spans="13:13" ht="15" customHeight="1" x14ac:dyDescent="0.3">
      <c r="M8522" s="5"/>
    </row>
    <row r="8523" spans="13:13" ht="15" customHeight="1" x14ac:dyDescent="0.3">
      <c r="M8523" s="5"/>
    </row>
    <row r="8524" spans="13:13" ht="15" customHeight="1" x14ac:dyDescent="0.3">
      <c r="M8524" s="5"/>
    </row>
    <row r="8525" spans="13:13" ht="15" customHeight="1" x14ac:dyDescent="0.3">
      <c r="M8525" s="5"/>
    </row>
    <row r="8526" spans="13:13" ht="15" customHeight="1" x14ac:dyDescent="0.3">
      <c r="M8526" s="5"/>
    </row>
    <row r="8527" spans="13:13" ht="15" customHeight="1" x14ac:dyDescent="0.3">
      <c r="M8527" s="5"/>
    </row>
    <row r="8528" spans="13:13" ht="15" customHeight="1" x14ac:dyDescent="0.3">
      <c r="M8528" s="5"/>
    </row>
    <row r="8529" spans="13:13" ht="15" customHeight="1" x14ac:dyDescent="0.3">
      <c r="M8529" s="5"/>
    </row>
    <row r="8530" spans="13:13" ht="15" customHeight="1" x14ac:dyDescent="0.3">
      <c r="M8530" s="5"/>
    </row>
    <row r="8531" spans="13:13" ht="15" customHeight="1" x14ac:dyDescent="0.3">
      <c r="M8531" s="5"/>
    </row>
    <row r="8532" spans="13:13" ht="15" customHeight="1" x14ac:dyDescent="0.3">
      <c r="M8532" s="5"/>
    </row>
    <row r="8533" spans="13:13" ht="15" customHeight="1" x14ac:dyDescent="0.3">
      <c r="M8533" s="5"/>
    </row>
    <row r="8534" spans="13:13" ht="15" customHeight="1" x14ac:dyDescent="0.3">
      <c r="M8534" s="5"/>
    </row>
    <row r="8535" spans="13:13" ht="15" customHeight="1" x14ac:dyDescent="0.3">
      <c r="M8535" s="5"/>
    </row>
    <row r="8536" spans="13:13" ht="15" customHeight="1" x14ac:dyDescent="0.3">
      <c r="M8536" s="5"/>
    </row>
    <row r="8537" spans="13:13" ht="15" customHeight="1" x14ac:dyDescent="0.3">
      <c r="M8537" s="5"/>
    </row>
    <row r="8538" spans="13:13" ht="15" customHeight="1" x14ac:dyDescent="0.3">
      <c r="M8538" s="5"/>
    </row>
    <row r="8539" spans="13:13" ht="15" customHeight="1" x14ac:dyDescent="0.3">
      <c r="M8539" s="5"/>
    </row>
    <row r="8540" spans="13:13" ht="15" customHeight="1" x14ac:dyDescent="0.3">
      <c r="M8540" s="5"/>
    </row>
    <row r="8541" spans="13:13" ht="15" customHeight="1" x14ac:dyDescent="0.3">
      <c r="M8541" s="5"/>
    </row>
    <row r="8542" spans="13:13" ht="15" customHeight="1" x14ac:dyDescent="0.3">
      <c r="M8542" s="5"/>
    </row>
    <row r="8543" spans="13:13" ht="15" customHeight="1" x14ac:dyDescent="0.3">
      <c r="M8543" s="5"/>
    </row>
    <row r="8544" spans="13:13" ht="15" customHeight="1" x14ac:dyDescent="0.3">
      <c r="M8544" s="5"/>
    </row>
    <row r="8545" spans="13:13" ht="15" customHeight="1" x14ac:dyDescent="0.3">
      <c r="M8545" s="5"/>
    </row>
    <row r="8546" spans="13:13" ht="15" customHeight="1" x14ac:dyDescent="0.3">
      <c r="M8546" s="5"/>
    </row>
    <row r="8547" spans="13:13" ht="15" customHeight="1" x14ac:dyDescent="0.3">
      <c r="M8547" s="5"/>
    </row>
    <row r="8548" spans="13:13" ht="15" customHeight="1" x14ac:dyDescent="0.3">
      <c r="M8548" s="5"/>
    </row>
    <row r="8549" spans="13:13" ht="15" customHeight="1" x14ac:dyDescent="0.3">
      <c r="M8549" s="5"/>
    </row>
    <row r="8550" spans="13:13" ht="15" customHeight="1" x14ac:dyDescent="0.3">
      <c r="M8550" s="5"/>
    </row>
    <row r="8551" spans="13:13" ht="15" customHeight="1" x14ac:dyDescent="0.3">
      <c r="M8551" s="5"/>
    </row>
    <row r="8552" spans="13:13" ht="15" customHeight="1" x14ac:dyDescent="0.3">
      <c r="M8552" s="5"/>
    </row>
    <row r="8553" spans="13:13" ht="15" customHeight="1" x14ac:dyDescent="0.3">
      <c r="M8553" s="5"/>
    </row>
    <row r="8554" spans="13:13" ht="15" customHeight="1" x14ac:dyDescent="0.3">
      <c r="M8554" s="5"/>
    </row>
    <row r="8555" spans="13:13" ht="15" customHeight="1" x14ac:dyDescent="0.3">
      <c r="M8555" s="5"/>
    </row>
    <row r="8556" spans="13:13" ht="15" customHeight="1" x14ac:dyDescent="0.3">
      <c r="M8556" s="5"/>
    </row>
    <row r="8557" spans="13:13" ht="15" customHeight="1" x14ac:dyDescent="0.3">
      <c r="M8557" s="5"/>
    </row>
    <row r="8558" spans="13:13" ht="15" customHeight="1" x14ac:dyDescent="0.3">
      <c r="M8558" s="5"/>
    </row>
    <row r="8559" spans="13:13" ht="15" customHeight="1" x14ac:dyDescent="0.3">
      <c r="M8559" s="5"/>
    </row>
    <row r="8560" spans="13:13" ht="15" customHeight="1" x14ac:dyDescent="0.3">
      <c r="M8560" s="5"/>
    </row>
    <row r="8561" spans="13:13" ht="15" customHeight="1" x14ac:dyDescent="0.3">
      <c r="M8561" s="5"/>
    </row>
    <row r="8562" spans="13:13" ht="15" customHeight="1" x14ac:dyDescent="0.3">
      <c r="M8562" s="5"/>
    </row>
    <row r="8563" spans="13:13" ht="15" customHeight="1" x14ac:dyDescent="0.3">
      <c r="M8563" s="5"/>
    </row>
    <row r="8564" spans="13:13" ht="15" customHeight="1" x14ac:dyDescent="0.3">
      <c r="M8564" s="5"/>
    </row>
    <row r="8565" spans="13:13" ht="15" customHeight="1" x14ac:dyDescent="0.3">
      <c r="M8565" s="5"/>
    </row>
    <row r="8566" spans="13:13" ht="15" customHeight="1" x14ac:dyDescent="0.3">
      <c r="M8566" s="5"/>
    </row>
    <row r="8567" spans="13:13" ht="15" customHeight="1" x14ac:dyDescent="0.3">
      <c r="M8567" s="5"/>
    </row>
    <row r="8568" spans="13:13" ht="15" customHeight="1" x14ac:dyDescent="0.3">
      <c r="M8568" s="5"/>
    </row>
    <row r="8569" spans="13:13" ht="15" customHeight="1" x14ac:dyDescent="0.3">
      <c r="M8569" s="5"/>
    </row>
    <row r="8570" spans="13:13" ht="15" customHeight="1" x14ac:dyDescent="0.3">
      <c r="M8570" s="5"/>
    </row>
    <row r="8571" spans="13:13" ht="15" customHeight="1" x14ac:dyDescent="0.3">
      <c r="M8571" s="5"/>
    </row>
    <row r="8572" spans="13:13" ht="15" customHeight="1" x14ac:dyDescent="0.3">
      <c r="M8572" s="5"/>
    </row>
    <row r="8573" spans="13:13" ht="15" customHeight="1" x14ac:dyDescent="0.3">
      <c r="M8573" s="5"/>
    </row>
    <row r="8574" spans="13:13" ht="15" customHeight="1" x14ac:dyDescent="0.3">
      <c r="M8574" s="5"/>
    </row>
    <row r="8575" spans="13:13" ht="15" customHeight="1" x14ac:dyDescent="0.3">
      <c r="M8575" s="5"/>
    </row>
    <row r="8576" spans="13:13" ht="15" customHeight="1" x14ac:dyDescent="0.3">
      <c r="M8576" s="5"/>
    </row>
    <row r="8577" spans="13:13" ht="15" customHeight="1" x14ac:dyDescent="0.3">
      <c r="M8577" s="5"/>
    </row>
    <row r="8578" spans="13:13" ht="15" customHeight="1" x14ac:dyDescent="0.3">
      <c r="M8578" s="5"/>
    </row>
    <row r="8579" spans="13:13" ht="15" customHeight="1" x14ac:dyDescent="0.3">
      <c r="M8579" s="5"/>
    </row>
    <row r="8580" spans="13:13" ht="15" customHeight="1" x14ac:dyDescent="0.3">
      <c r="M8580" s="5"/>
    </row>
    <row r="8581" spans="13:13" ht="15" customHeight="1" x14ac:dyDescent="0.3">
      <c r="M8581" s="5"/>
    </row>
    <row r="8582" spans="13:13" ht="15" customHeight="1" x14ac:dyDescent="0.3">
      <c r="M8582" s="5"/>
    </row>
    <row r="8583" spans="13:13" ht="15" customHeight="1" x14ac:dyDescent="0.3">
      <c r="M8583" s="5"/>
    </row>
    <row r="8584" spans="13:13" ht="15" customHeight="1" x14ac:dyDescent="0.3">
      <c r="M8584" s="5"/>
    </row>
    <row r="8585" spans="13:13" ht="15" customHeight="1" x14ac:dyDescent="0.3">
      <c r="M8585" s="5"/>
    </row>
    <row r="8586" spans="13:13" ht="15" customHeight="1" x14ac:dyDescent="0.3">
      <c r="M8586" s="5"/>
    </row>
    <row r="8587" spans="13:13" ht="15" customHeight="1" x14ac:dyDescent="0.3">
      <c r="M8587" s="5"/>
    </row>
    <row r="8588" spans="13:13" ht="15" customHeight="1" x14ac:dyDescent="0.3">
      <c r="M8588" s="5"/>
    </row>
    <row r="8589" spans="13:13" ht="15" customHeight="1" x14ac:dyDescent="0.3">
      <c r="M8589" s="5"/>
    </row>
    <row r="8590" spans="13:13" ht="15" customHeight="1" x14ac:dyDescent="0.3">
      <c r="M8590" s="5"/>
    </row>
    <row r="8591" spans="13:13" ht="15" customHeight="1" x14ac:dyDescent="0.3">
      <c r="M8591" s="5"/>
    </row>
    <row r="8592" spans="13:13" ht="15" customHeight="1" x14ac:dyDescent="0.3">
      <c r="M8592" s="5"/>
    </row>
    <row r="8593" spans="13:13" ht="15" customHeight="1" x14ac:dyDescent="0.3">
      <c r="M8593" s="5"/>
    </row>
    <row r="8594" spans="13:13" ht="15" customHeight="1" x14ac:dyDescent="0.3">
      <c r="M8594" s="5"/>
    </row>
    <row r="8595" spans="13:13" ht="15" customHeight="1" x14ac:dyDescent="0.3">
      <c r="M8595" s="5"/>
    </row>
    <row r="8596" spans="13:13" ht="15" customHeight="1" x14ac:dyDescent="0.3">
      <c r="M8596" s="5"/>
    </row>
    <row r="8597" spans="13:13" ht="15" customHeight="1" x14ac:dyDescent="0.3">
      <c r="M8597" s="5"/>
    </row>
    <row r="8598" spans="13:13" ht="15" customHeight="1" x14ac:dyDescent="0.3">
      <c r="M8598" s="5"/>
    </row>
    <row r="8599" spans="13:13" ht="15" customHeight="1" x14ac:dyDescent="0.3">
      <c r="M8599" s="5"/>
    </row>
    <row r="8600" spans="13:13" ht="15" customHeight="1" x14ac:dyDescent="0.3">
      <c r="M8600" s="5"/>
    </row>
    <row r="8601" spans="13:13" ht="15" customHeight="1" x14ac:dyDescent="0.3">
      <c r="M8601" s="5"/>
    </row>
    <row r="8602" spans="13:13" ht="15" customHeight="1" x14ac:dyDescent="0.3">
      <c r="M8602" s="5"/>
    </row>
    <row r="8603" spans="13:13" ht="15" customHeight="1" x14ac:dyDescent="0.3">
      <c r="M8603" s="5"/>
    </row>
    <row r="8604" spans="13:13" ht="15" customHeight="1" x14ac:dyDescent="0.3">
      <c r="M8604" s="5"/>
    </row>
    <row r="8605" spans="13:13" ht="15" customHeight="1" x14ac:dyDescent="0.3">
      <c r="M8605" s="5"/>
    </row>
    <row r="8606" spans="13:13" ht="15" customHeight="1" x14ac:dyDescent="0.3">
      <c r="M8606" s="5"/>
    </row>
    <row r="8607" spans="13:13" ht="15" customHeight="1" x14ac:dyDescent="0.3">
      <c r="M8607" s="5"/>
    </row>
    <row r="8608" spans="13:13" ht="15" customHeight="1" x14ac:dyDescent="0.3">
      <c r="M8608" s="5"/>
    </row>
    <row r="8609" spans="13:13" ht="15" customHeight="1" x14ac:dyDescent="0.3">
      <c r="M8609" s="5"/>
    </row>
    <row r="8610" spans="13:13" ht="15" customHeight="1" x14ac:dyDescent="0.3">
      <c r="M8610" s="5"/>
    </row>
    <row r="8611" spans="13:13" ht="15" customHeight="1" x14ac:dyDescent="0.3">
      <c r="M8611" s="5"/>
    </row>
    <row r="8612" spans="13:13" ht="15" customHeight="1" x14ac:dyDescent="0.3">
      <c r="M8612" s="5"/>
    </row>
    <row r="8613" spans="13:13" ht="15" customHeight="1" x14ac:dyDescent="0.3">
      <c r="M8613" s="5"/>
    </row>
    <row r="8614" spans="13:13" ht="15" customHeight="1" x14ac:dyDescent="0.3">
      <c r="M8614" s="5"/>
    </row>
    <row r="8615" spans="13:13" ht="15" customHeight="1" x14ac:dyDescent="0.3">
      <c r="M8615" s="5"/>
    </row>
    <row r="8616" spans="13:13" ht="15" customHeight="1" x14ac:dyDescent="0.3">
      <c r="M8616" s="5"/>
    </row>
    <row r="8617" spans="13:13" ht="15" customHeight="1" x14ac:dyDescent="0.3">
      <c r="M8617" s="5"/>
    </row>
    <row r="8618" spans="13:13" ht="15" customHeight="1" x14ac:dyDescent="0.3">
      <c r="M8618" s="5"/>
    </row>
    <row r="8619" spans="13:13" ht="15" customHeight="1" x14ac:dyDescent="0.3">
      <c r="M8619" s="5"/>
    </row>
    <row r="8620" spans="13:13" ht="15" customHeight="1" x14ac:dyDescent="0.3">
      <c r="M8620" s="5"/>
    </row>
    <row r="8621" spans="13:13" ht="15" customHeight="1" x14ac:dyDescent="0.3">
      <c r="M8621" s="5"/>
    </row>
    <row r="8622" spans="13:13" ht="15" customHeight="1" x14ac:dyDescent="0.3">
      <c r="M8622" s="5"/>
    </row>
    <row r="8623" spans="13:13" ht="15" customHeight="1" x14ac:dyDescent="0.3">
      <c r="M8623" s="5"/>
    </row>
    <row r="8624" spans="13:13" ht="15" customHeight="1" x14ac:dyDescent="0.3">
      <c r="M8624" s="5"/>
    </row>
    <row r="8625" spans="13:13" ht="15" customHeight="1" x14ac:dyDescent="0.3">
      <c r="M8625" s="5"/>
    </row>
    <row r="8626" spans="13:13" ht="15" customHeight="1" x14ac:dyDescent="0.3">
      <c r="M8626" s="5"/>
    </row>
    <row r="8627" spans="13:13" ht="15" customHeight="1" x14ac:dyDescent="0.3">
      <c r="M8627" s="5"/>
    </row>
    <row r="8628" spans="13:13" ht="15" customHeight="1" x14ac:dyDescent="0.3">
      <c r="M8628" s="5"/>
    </row>
    <row r="8629" spans="13:13" ht="15" customHeight="1" x14ac:dyDescent="0.3">
      <c r="M8629" s="5"/>
    </row>
    <row r="8630" spans="13:13" ht="15" customHeight="1" x14ac:dyDescent="0.3">
      <c r="M8630" s="5"/>
    </row>
    <row r="8631" spans="13:13" ht="15" customHeight="1" x14ac:dyDescent="0.3">
      <c r="M8631" s="5"/>
    </row>
    <row r="8632" spans="13:13" ht="15" customHeight="1" x14ac:dyDescent="0.3">
      <c r="M8632" s="5"/>
    </row>
    <row r="8633" spans="13:13" ht="15" customHeight="1" x14ac:dyDescent="0.3">
      <c r="M8633" s="5"/>
    </row>
    <row r="8634" spans="13:13" ht="15" customHeight="1" x14ac:dyDescent="0.3">
      <c r="M8634" s="5"/>
    </row>
    <row r="8635" spans="13:13" ht="15" customHeight="1" x14ac:dyDescent="0.3">
      <c r="M8635" s="5"/>
    </row>
    <row r="8636" spans="13:13" ht="15" customHeight="1" x14ac:dyDescent="0.3">
      <c r="M8636" s="5"/>
    </row>
    <row r="8637" spans="13:13" ht="15" customHeight="1" x14ac:dyDescent="0.3">
      <c r="M8637" s="5"/>
    </row>
    <row r="8638" spans="13:13" ht="15" customHeight="1" x14ac:dyDescent="0.3">
      <c r="M8638" s="5"/>
    </row>
    <row r="8639" spans="13:13" ht="15" customHeight="1" x14ac:dyDescent="0.3">
      <c r="M8639" s="5"/>
    </row>
    <row r="8640" spans="13:13" ht="15" customHeight="1" x14ac:dyDescent="0.3">
      <c r="M8640" s="5"/>
    </row>
    <row r="8641" spans="13:13" ht="15" customHeight="1" x14ac:dyDescent="0.3">
      <c r="M8641" s="5"/>
    </row>
    <row r="8642" spans="13:13" ht="15" customHeight="1" x14ac:dyDescent="0.3">
      <c r="M8642" s="5"/>
    </row>
    <row r="8643" spans="13:13" ht="15" customHeight="1" x14ac:dyDescent="0.3">
      <c r="M8643" s="5"/>
    </row>
    <row r="8644" spans="13:13" ht="15" customHeight="1" x14ac:dyDescent="0.3">
      <c r="M8644" s="5"/>
    </row>
    <row r="8645" spans="13:13" ht="15" customHeight="1" x14ac:dyDescent="0.3">
      <c r="M8645" s="5"/>
    </row>
    <row r="8646" spans="13:13" ht="15" customHeight="1" x14ac:dyDescent="0.3">
      <c r="M8646" s="5"/>
    </row>
    <row r="8647" spans="13:13" ht="15" customHeight="1" x14ac:dyDescent="0.3">
      <c r="M8647" s="5"/>
    </row>
    <row r="8648" spans="13:13" ht="15" customHeight="1" x14ac:dyDescent="0.3">
      <c r="M8648" s="5"/>
    </row>
    <row r="8649" spans="13:13" ht="15" customHeight="1" x14ac:dyDescent="0.3">
      <c r="M8649" s="5"/>
    </row>
    <row r="8650" spans="13:13" ht="15" customHeight="1" x14ac:dyDescent="0.3">
      <c r="M8650" s="5"/>
    </row>
    <row r="8651" spans="13:13" ht="15" customHeight="1" x14ac:dyDescent="0.3">
      <c r="M8651" s="5"/>
    </row>
    <row r="8652" spans="13:13" ht="15" customHeight="1" x14ac:dyDescent="0.3">
      <c r="M8652" s="5"/>
    </row>
    <row r="8653" spans="13:13" ht="15" customHeight="1" x14ac:dyDescent="0.3">
      <c r="M8653" s="5"/>
    </row>
    <row r="8654" spans="13:13" ht="15" customHeight="1" x14ac:dyDescent="0.3">
      <c r="M8654" s="5"/>
    </row>
    <row r="8655" spans="13:13" ht="15" customHeight="1" x14ac:dyDescent="0.3">
      <c r="M8655" s="5"/>
    </row>
    <row r="8656" spans="13:13" ht="15" customHeight="1" x14ac:dyDescent="0.3">
      <c r="M8656" s="5"/>
    </row>
    <row r="8657" spans="13:13" ht="15" customHeight="1" x14ac:dyDescent="0.3">
      <c r="M8657" s="5"/>
    </row>
    <row r="8658" spans="13:13" ht="15" customHeight="1" x14ac:dyDescent="0.3">
      <c r="M8658" s="5"/>
    </row>
    <row r="8659" spans="13:13" ht="15" customHeight="1" x14ac:dyDescent="0.3">
      <c r="M8659" s="5"/>
    </row>
    <row r="8660" spans="13:13" ht="15" customHeight="1" x14ac:dyDescent="0.3">
      <c r="M8660" s="5"/>
    </row>
    <row r="8661" spans="13:13" ht="15" customHeight="1" x14ac:dyDescent="0.3">
      <c r="M8661" s="5"/>
    </row>
    <row r="8662" spans="13:13" ht="15" customHeight="1" x14ac:dyDescent="0.3">
      <c r="M8662" s="5"/>
    </row>
    <row r="8663" spans="13:13" ht="15" customHeight="1" x14ac:dyDescent="0.3">
      <c r="M8663" s="5"/>
    </row>
    <row r="8664" spans="13:13" ht="15" customHeight="1" x14ac:dyDescent="0.3">
      <c r="M8664" s="5"/>
    </row>
    <row r="8665" spans="13:13" ht="15" customHeight="1" x14ac:dyDescent="0.3">
      <c r="M8665" s="5"/>
    </row>
    <row r="8666" spans="13:13" ht="15" customHeight="1" x14ac:dyDescent="0.3">
      <c r="M8666" s="5"/>
    </row>
    <row r="8667" spans="13:13" ht="15" customHeight="1" x14ac:dyDescent="0.3">
      <c r="M8667" s="5"/>
    </row>
    <row r="8668" spans="13:13" ht="15" customHeight="1" x14ac:dyDescent="0.3">
      <c r="M8668" s="5"/>
    </row>
    <row r="8669" spans="13:13" ht="15" customHeight="1" x14ac:dyDescent="0.3">
      <c r="M8669" s="5"/>
    </row>
    <row r="8670" spans="13:13" ht="15" customHeight="1" x14ac:dyDescent="0.3">
      <c r="M8670" s="5"/>
    </row>
    <row r="8671" spans="13:13" ht="15" customHeight="1" x14ac:dyDescent="0.3">
      <c r="M8671" s="5"/>
    </row>
    <row r="8672" spans="13:13" ht="15" customHeight="1" x14ac:dyDescent="0.3">
      <c r="M8672" s="5"/>
    </row>
    <row r="8673" spans="13:13" ht="15" customHeight="1" x14ac:dyDescent="0.3">
      <c r="M8673" s="5"/>
    </row>
    <row r="8674" spans="13:13" ht="15" customHeight="1" x14ac:dyDescent="0.3">
      <c r="M8674" s="5"/>
    </row>
    <row r="8675" spans="13:13" ht="15" customHeight="1" x14ac:dyDescent="0.3">
      <c r="M8675" s="5"/>
    </row>
    <row r="8676" spans="13:13" ht="15" customHeight="1" x14ac:dyDescent="0.3">
      <c r="M8676" s="5"/>
    </row>
    <row r="8677" spans="13:13" ht="15" customHeight="1" x14ac:dyDescent="0.3">
      <c r="M8677" s="5"/>
    </row>
    <row r="8678" spans="13:13" ht="15" customHeight="1" x14ac:dyDescent="0.3">
      <c r="M8678" s="5"/>
    </row>
    <row r="8679" spans="13:13" ht="15" customHeight="1" x14ac:dyDescent="0.3">
      <c r="M8679" s="5"/>
    </row>
    <row r="8680" spans="13:13" ht="15" customHeight="1" x14ac:dyDescent="0.3">
      <c r="M8680" s="5"/>
    </row>
    <row r="8681" spans="13:13" ht="15" customHeight="1" x14ac:dyDescent="0.3">
      <c r="M8681" s="5"/>
    </row>
    <row r="8682" spans="13:13" ht="15" customHeight="1" x14ac:dyDescent="0.3">
      <c r="M8682" s="5"/>
    </row>
    <row r="8683" spans="13:13" ht="15" customHeight="1" x14ac:dyDescent="0.3">
      <c r="M8683" s="5"/>
    </row>
    <row r="8684" spans="13:13" ht="15" customHeight="1" x14ac:dyDescent="0.3">
      <c r="M8684" s="5"/>
    </row>
    <row r="8685" spans="13:13" ht="15" customHeight="1" x14ac:dyDescent="0.3">
      <c r="M8685" s="5"/>
    </row>
    <row r="8686" spans="13:13" ht="15" customHeight="1" x14ac:dyDescent="0.3">
      <c r="M8686" s="5"/>
    </row>
    <row r="8687" spans="13:13" ht="15" customHeight="1" x14ac:dyDescent="0.3">
      <c r="M8687" s="5"/>
    </row>
    <row r="8688" spans="13:13" ht="15" customHeight="1" x14ac:dyDescent="0.3">
      <c r="M8688" s="5"/>
    </row>
    <row r="8689" spans="13:13" ht="15" customHeight="1" x14ac:dyDescent="0.3">
      <c r="M8689" s="5"/>
    </row>
    <row r="8690" spans="13:13" ht="15" customHeight="1" x14ac:dyDescent="0.3">
      <c r="M8690" s="5"/>
    </row>
    <row r="8691" spans="13:13" ht="15" customHeight="1" x14ac:dyDescent="0.3">
      <c r="M8691" s="5"/>
    </row>
    <row r="8692" spans="13:13" ht="15" customHeight="1" x14ac:dyDescent="0.3">
      <c r="M8692" s="5"/>
    </row>
    <row r="8693" spans="13:13" ht="15" customHeight="1" x14ac:dyDescent="0.3">
      <c r="M8693" s="5"/>
    </row>
    <row r="8694" spans="13:13" ht="15" customHeight="1" x14ac:dyDescent="0.3">
      <c r="M8694" s="5"/>
    </row>
    <row r="8695" spans="13:13" ht="15" customHeight="1" x14ac:dyDescent="0.3">
      <c r="M8695" s="5"/>
    </row>
    <row r="8696" spans="13:13" ht="15" customHeight="1" x14ac:dyDescent="0.3">
      <c r="M8696" s="5"/>
    </row>
    <row r="8697" spans="13:13" ht="15" customHeight="1" x14ac:dyDescent="0.3">
      <c r="M8697" s="5"/>
    </row>
    <row r="8698" spans="13:13" ht="15" customHeight="1" x14ac:dyDescent="0.3">
      <c r="M8698" s="5"/>
    </row>
    <row r="8699" spans="13:13" ht="15" customHeight="1" x14ac:dyDescent="0.3">
      <c r="M8699" s="5"/>
    </row>
    <row r="8700" spans="13:13" ht="15" customHeight="1" x14ac:dyDescent="0.3">
      <c r="M8700" s="5"/>
    </row>
    <row r="8701" spans="13:13" ht="15" customHeight="1" x14ac:dyDescent="0.3">
      <c r="M8701" s="5"/>
    </row>
    <row r="8702" spans="13:13" ht="15" customHeight="1" x14ac:dyDescent="0.3">
      <c r="M8702" s="5"/>
    </row>
    <row r="8703" spans="13:13" ht="15" customHeight="1" x14ac:dyDescent="0.3">
      <c r="M8703" s="5"/>
    </row>
    <row r="8704" spans="13:13" ht="15" customHeight="1" x14ac:dyDescent="0.3">
      <c r="M8704" s="5"/>
    </row>
    <row r="8705" spans="13:13" ht="15" customHeight="1" x14ac:dyDescent="0.3">
      <c r="M8705" s="5"/>
    </row>
    <row r="8706" spans="13:13" ht="15" customHeight="1" x14ac:dyDescent="0.3">
      <c r="M8706" s="5"/>
    </row>
    <row r="8707" spans="13:13" ht="15" customHeight="1" x14ac:dyDescent="0.3">
      <c r="M8707" s="5"/>
    </row>
    <row r="8708" spans="13:13" ht="15" customHeight="1" x14ac:dyDescent="0.3">
      <c r="M8708" s="5"/>
    </row>
    <row r="8709" spans="13:13" ht="15" customHeight="1" x14ac:dyDescent="0.3">
      <c r="M8709" s="5"/>
    </row>
    <row r="8710" spans="13:13" ht="15" customHeight="1" x14ac:dyDescent="0.3">
      <c r="M8710" s="5"/>
    </row>
    <row r="8711" spans="13:13" ht="15" customHeight="1" x14ac:dyDescent="0.3">
      <c r="M8711" s="5"/>
    </row>
    <row r="8712" spans="13:13" ht="15" customHeight="1" x14ac:dyDescent="0.3">
      <c r="M8712" s="5"/>
    </row>
    <row r="8713" spans="13:13" ht="15" customHeight="1" x14ac:dyDescent="0.3">
      <c r="M8713" s="5"/>
    </row>
    <row r="8714" spans="13:13" ht="15" customHeight="1" x14ac:dyDescent="0.3">
      <c r="M8714" s="5"/>
    </row>
    <row r="8715" spans="13:13" ht="15" customHeight="1" x14ac:dyDescent="0.3">
      <c r="M8715" s="5"/>
    </row>
    <row r="8716" spans="13:13" ht="15" customHeight="1" x14ac:dyDescent="0.3">
      <c r="M8716" s="5"/>
    </row>
    <row r="8717" spans="13:13" ht="15" customHeight="1" x14ac:dyDescent="0.3">
      <c r="M8717" s="5"/>
    </row>
    <row r="8718" spans="13:13" ht="15" customHeight="1" x14ac:dyDescent="0.3">
      <c r="M8718" s="5"/>
    </row>
    <row r="8719" spans="13:13" ht="15" customHeight="1" x14ac:dyDescent="0.3">
      <c r="M8719" s="5"/>
    </row>
    <row r="8720" spans="13:13" ht="15" customHeight="1" x14ac:dyDescent="0.3">
      <c r="M8720" s="5"/>
    </row>
    <row r="8721" spans="13:13" ht="15" customHeight="1" x14ac:dyDescent="0.3">
      <c r="M8721" s="5"/>
    </row>
    <row r="8722" spans="13:13" ht="15" customHeight="1" x14ac:dyDescent="0.3">
      <c r="M8722" s="5"/>
    </row>
    <row r="8723" spans="13:13" ht="15" customHeight="1" x14ac:dyDescent="0.3">
      <c r="M8723" s="5"/>
    </row>
    <row r="8724" spans="13:13" ht="15" customHeight="1" x14ac:dyDescent="0.3">
      <c r="M8724" s="5"/>
    </row>
    <row r="8725" spans="13:13" ht="15" customHeight="1" x14ac:dyDescent="0.3">
      <c r="M8725" s="5"/>
    </row>
    <row r="8726" spans="13:13" ht="15" customHeight="1" x14ac:dyDescent="0.3">
      <c r="M8726" s="5"/>
    </row>
    <row r="8727" spans="13:13" ht="15" customHeight="1" x14ac:dyDescent="0.3">
      <c r="M8727" s="5"/>
    </row>
    <row r="8728" spans="13:13" ht="15" customHeight="1" x14ac:dyDescent="0.3">
      <c r="M8728" s="5"/>
    </row>
    <row r="8729" spans="13:13" ht="15" customHeight="1" x14ac:dyDescent="0.3">
      <c r="M8729" s="5"/>
    </row>
    <row r="8730" spans="13:13" ht="15" customHeight="1" x14ac:dyDescent="0.3">
      <c r="M8730" s="5"/>
    </row>
    <row r="8731" spans="13:13" ht="15" customHeight="1" x14ac:dyDescent="0.3">
      <c r="M8731" s="5"/>
    </row>
    <row r="8732" spans="13:13" ht="15" customHeight="1" x14ac:dyDescent="0.3">
      <c r="M8732" s="5"/>
    </row>
    <row r="8733" spans="13:13" ht="15" customHeight="1" x14ac:dyDescent="0.3">
      <c r="M8733" s="5"/>
    </row>
    <row r="8734" spans="13:13" ht="15" customHeight="1" x14ac:dyDescent="0.3">
      <c r="M8734" s="5"/>
    </row>
    <row r="8735" spans="13:13" ht="15" customHeight="1" x14ac:dyDescent="0.3">
      <c r="M8735" s="5"/>
    </row>
    <row r="8736" spans="13:13" ht="15" customHeight="1" x14ac:dyDescent="0.3">
      <c r="M8736" s="5"/>
    </row>
    <row r="8737" spans="13:13" ht="15" customHeight="1" x14ac:dyDescent="0.3">
      <c r="M8737" s="5"/>
    </row>
    <row r="8738" spans="13:13" ht="15" customHeight="1" x14ac:dyDescent="0.3">
      <c r="M8738" s="5"/>
    </row>
    <row r="8739" spans="13:13" ht="15" customHeight="1" x14ac:dyDescent="0.3">
      <c r="M8739" s="5"/>
    </row>
    <row r="8740" spans="13:13" ht="15" customHeight="1" x14ac:dyDescent="0.3">
      <c r="M8740" s="5"/>
    </row>
    <row r="8741" spans="13:13" ht="15" customHeight="1" x14ac:dyDescent="0.3">
      <c r="M8741" s="5"/>
    </row>
    <row r="8742" spans="13:13" ht="15" customHeight="1" x14ac:dyDescent="0.3">
      <c r="M8742" s="5"/>
    </row>
    <row r="8743" spans="13:13" ht="15" customHeight="1" x14ac:dyDescent="0.3">
      <c r="M8743" s="5"/>
    </row>
    <row r="8744" spans="13:13" ht="15" customHeight="1" x14ac:dyDescent="0.3">
      <c r="M8744" s="5"/>
    </row>
    <row r="8745" spans="13:13" ht="15" customHeight="1" x14ac:dyDescent="0.3">
      <c r="M8745" s="5"/>
    </row>
    <row r="8746" spans="13:13" ht="15" customHeight="1" x14ac:dyDescent="0.3">
      <c r="M8746" s="5"/>
    </row>
    <row r="8747" spans="13:13" ht="15" customHeight="1" x14ac:dyDescent="0.3">
      <c r="M8747" s="5"/>
    </row>
    <row r="8748" spans="13:13" ht="15" customHeight="1" x14ac:dyDescent="0.3">
      <c r="M8748" s="5"/>
    </row>
    <row r="8749" spans="13:13" ht="15" customHeight="1" x14ac:dyDescent="0.3">
      <c r="M8749" s="5"/>
    </row>
    <row r="8750" spans="13:13" ht="15" customHeight="1" x14ac:dyDescent="0.3">
      <c r="M8750" s="5"/>
    </row>
    <row r="8751" spans="13:13" ht="15" customHeight="1" x14ac:dyDescent="0.3">
      <c r="M8751" s="5"/>
    </row>
    <row r="8752" spans="13:13" ht="15" customHeight="1" x14ac:dyDescent="0.3">
      <c r="M8752" s="5"/>
    </row>
    <row r="8753" spans="13:13" ht="15" customHeight="1" x14ac:dyDescent="0.3">
      <c r="M8753" s="5"/>
    </row>
    <row r="8754" spans="13:13" ht="15" customHeight="1" x14ac:dyDescent="0.3">
      <c r="M8754" s="5"/>
    </row>
    <row r="8755" spans="13:13" ht="15" customHeight="1" x14ac:dyDescent="0.3">
      <c r="M8755" s="5"/>
    </row>
    <row r="8756" spans="13:13" ht="15" customHeight="1" x14ac:dyDescent="0.3">
      <c r="M8756" s="5"/>
    </row>
    <row r="8757" spans="13:13" ht="15" customHeight="1" x14ac:dyDescent="0.3">
      <c r="M8757" s="5"/>
    </row>
    <row r="8758" spans="13:13" ht="15" customHeight="1" x14ac:dyDescent="0.3">
      <c r="M8758" s="5"/>
    </row>
    <row r="8759" spans="13:13" ht="15" customHeight="1" x14ac:dyDescent="0.3">
      <c r="M8759" s="5"/>
    </row>
    <row r="8760" spans="13:13" ht="15" customHeight="1" x14ac:dyDescent="0.3">
      <c r="M8760" s="5"/>
    </row>
    <row r="8761" spans="13:13" ht="15" customHeight="1" x14ac:dyDescent="0.3">
      <c r="M8761" s="5"/>
    </row>
    <row r="8762" spans="13:13" ht="15" customHeight="1" x14ac:dyDescent="0.3">
      <c r="M8762" s="5"/>
    </row>
    <row r="8763" spans="13:13" ht="15" customHeight="1" x14ac:dyDescent="0.3">
      <c r="M8763" s="5"/>
    </row>
    <row r="8764" spans="13:13" ht="15" customHeight="1" x14ac:dyDescent="0.3">
      <c r="M8764" s="5"/>
    </row>
    <row r="8765" spans="13:13" ht="15" customHeight="1" x14ac:dyDescent="0.3">
      <c r="M8765" s="5"/>
    </row>
    <row r="8766" spans="13:13" ht="15" customHeight="1" x14ac:dyDescent="0.3">
      <c r="M8766" s="5"/>
    </row>
    <row r="8767" spans="13:13" ht="15" customHeight="1" x14ac:dyDescent="0.3">
      <c r="M8767" s="5"/>
    </row>
    <row r="8768" spans="13:13" ht="15" customHeight="1" x14ac:dyDescent="0.3">
      <c r="M8768" s="5"/>
    </row>
    <row r="8769" spans="13:13" ht="15" customHeight="1" x14ac:dyDescent="0.3">
      <c r="M8769" s="5"/>
    </row>
    <row r="8770" spans="13:13" ht="15" customHeight="1" x14ac:dyDescent="0.3">
      <c r="M8770" s="5"/>
    </row>
    <row r="8771" spans="13:13" ht="15" customHeight="1" x14ac:dyDescent="0.3">
      <c r="M8771" s="5"/>
    </row>
    <row r="8772" spans="13:13" ht="15" customHeight="1" x14ac:dyDescent="0.3">
      <c r="M8772" s="5"/>
    </row>
    <row r="8773" spans="13:13" ht="15" customHeight="1" x14ac:dyDescent="0.3">
      <c r="M8773" s="5"/>
    </row>
    <row r="8774" spans="13:13" ht="15" customHeight="1" x14ac:dyDescent="0.3">
      <c r="M8774" s="5"/>
    </row>
    <row r="8775" spans="13:13" ht="15" customHeight="1" x14ac:dyDescent="0.3">
      <c r="M8775" s="5"/>
    </row>
    <row r="8776" spans="13:13" ht="15" customHeight="1" x14ac:dyDescent="0.3">
      <c r="M8776" s="5"/>
    </row>
    <row r="8777" spans="13:13" ht="15" customHeight="1" x14ac:dyDescent="0.3">
      <c r="M8777" s="5"/>
    </row>
    <row r="8778" spans="13:13" ht="15" customHeight="1" x14ac:dyDescent="0.3">
      <c r="M8778" s="5"/>
    </row>
    <row r="8779" spans="13:13" ht="15" customHeight="1" x14ac:dyDescent="0.3">
      <c r="M8779" s="5"/>
    </row>
    <row r="8780" spans="13:13" ht="15" customHeight="1" x14ac:dyDescent="0.3">
      <c r="M8780" s="5"/>
    </row>
    <row r="8781" spans="13:13" ht="15" customHeight="1" x14ac:dyDescent="0.3">
      <c r="M8781" s="5"/>
    </row>
    <row r="8782" spans="13:13" ht="15" customHeight="1" x14ac:dyDescent="0.3">
      <c r="M8782" s="5"/>
    </row>
    <row r="8783" spans="13:13" ht="15" customHeight="1" x14ac:dyDescent="0.3">
      <c r="M8783" s="5"/>
    </row>
    <row r="8784" spans="13:13" ht="15" customHeight="1" x14ac:dyDescent="0.3">
      <c r="M8784" s="5"/>
    </row>
    <row r="8785" spans="13:13" ht="15" customHeight="1" x14ac:dyDescent="0.3">
      <c r="M8785" s="5"/>
    </row>
    <row r="8786" spans="13:13" ht="15" customHeight="1" x14ac:dyDescent="0.3">
      <c r="M8786" s="5"/>
    </row>
    <row r="8787" spans="13:13" ht="15" customHeight="1" x14ac:dyDescent="0.3">
      <c r="M8787" s="5"/>
    </row>
    <row r="8788" spans="13:13" ht="15" customHeight="1" x14ac:dyDescent="0.3">
      <c r="M8788" s="5"/>
    </row>
    <row r="8789" spans="13:13" ht="15" customHeight="1" x14ac:dyDescent="0.3">
      <c r="M8789" s="5"/>
    </row>
    <row r="8790" spans="13:13" ht="15" customHeight="1" x14ac:dyDescent="0.3">
      <c r="M8790" s="5"/>
    </row>
    <row r="8791" spans="13:13" ht="15" customHeight="1" x14ac:dyDescent="0.3">
      <c r="M8791" s="5"/>
    </row>
    <row r="8792" spans="13:13" ht="15" customHeight="1" x14ac:dyDescent="0.3">
      <c r="M8792" s="5"/>
    </row>
    <row r="8793" spans="13:13" ht="15" customHeight="1" x14ac:dyDescent="0.3">
      <c r="M8793" s="5"/>
    </row>
    <row r="8794" spans="13:13" ht="15" customHeight="1" x14ac:dyDescent="0.3">
      <c r="M8794" s="5"/>
    </row>
    <row r="8795" spans="13:13" ht="15" customHeight="1" x14ac:dyDescent="0.3">
      <c r="M8795" s="5"/>
    </row>
    <row r="8796" spans="13:13" ht="15" customHeight="1" x14ac:dyDescent="0.3">
      <c r="M8796" s="5"/>
    </row>
    <row r="8797" spans="13:13" ht="15" customHeight="1" x14ac:dyDescent="0.3">
      <c r="M8797" s="5"/>
    </row>
    <row r="8798" spans="13:13" ht="15" customHeight="1" x14ac:dyDescent="0.3">
      <c r="M8798" s="5"/>
    </row>
    <row r="8799" spans="13:13" ht="15" customHeight="1" x14ac:dyDescent="0.3">
      <c r="M8799" s="5"/>
    </row>
    <row r="8800" spans="13:13" ht="15" customHeight="1" x14ac:dyDescent="0.3">
      <c r="M8800" s="5"/>
    </row>
    <row r="8801" spans="13:13" ht="15" customHeight="1" x14ac:dyDescent="0.3">
      <c r="M8801" s="5"/>
    </row>
    <row r="8802" spans="13:13" ht="15" customHeight="1" x14ac:dyDescent="0.3">
      <c r="M8802" s="5"/>
    </row>
    <row r="8803" spans="13:13" ht="15" customHeight="1" x14ac:dyDescent="0.3">
      <c r="M8803" s="5"/>
    </row>
    <row r="8804" spans="13:13" ht="15" customHeight="1" x14ac:dyDescent="0.3">
      <c r="M8804" s="5"/>
    </row>
    <row r="8805" spans="13:13" ht="15" customHeight="1" x14ac:dyDescent="0.3">
      <c r="M8805" s="5"/>
    </row>
    <row r="8806" spans="13:13" ht="15" customHeight="1" x14ac:dyDescent="0.3">
      <c r="M8806" s="5"/>
    </row>
    <row r="8807" spans="13:13" ht="15" customHeight="1" x14ac:dyDescent="0.3">
      <c r="M8807" s="5"/>
    </row>
    <row r="8808" spans="13:13" ht="15" customHeight="1" x14ac:dyDescent="0.3">
      <c r="M8808" s="5"/>
    </row>
    <row r="8809" spans="13:13" ht="15" customHeight="1" x14ac:dyDescent="0.3">
      <c r="M8809" s="5"/>
    </row>
    <row r="8810" spans="13:13" ht="15" customHeight="1" x14ac:dyDescent="0.3">
      <c r="M8810" s="5"/>
    </row>
    <row r="8811" spans="13:13" ht="15" customHeight="1" x14ac:dyDescent="0.3">
      <c r="M8811" s="5"/>
    </row>
    <row r="8812" spans="13:13" ht="15" customHeight="1" x14ac:dyDescent="0.3">
      <c r="M8812" s="5"/>
    </row>
    <row r="8813" spans="13:13" ht="15" customHeight="1" x14ac:dyDescent="0.3">
      <c r="M8813" s="5"/>
    </row>
    <row r="8814" spans="13:13" ht="15" customHeight="1" x14ac:dyDescent="0.3">
      <c r="M8814" s="5"/>
    </row>
    <row r="8815" spans="13:13" ht="15" customHeight="1" x14ac:dyDescent="0.3">
      <c r="M8815" s="5"/>
    </row>
    <row r="8816" spans="13:13" ht="15" customHeight="1" x14ac:dyDescent="0.3">
      <c r="M8816" s="5"/>
    </row>
    <row r="8817" spans="13:13" ht="15" customHeight="1" x14ac:dyDescent="0.3">
      <c r="M8817" s="5"/>
    </row>
    <row r="8818" spans="13:13" ht="15" customHeight="1" x14ac:dyDescent="0.3">
      <c r="M8818" s="5"/>
    </row>
    <row r="8819" spans="13:13" ht="15" customHeight="1" x14ac:dyDescent="0.3">
      <c r="M8819" s="5"/>
    </row>
    <row r="8820" spans="13:13" ht="15" customHeight="1" x14ac:dyDescent="0.3">
      <c r="M8820" s="5"/>
    </row>
    <row r="8821" spans="13:13" ht="15" customHeight="1" x14ac:dyDescent="0.3">
      <c r="M8821" s="5"/>
    </row>
    <row r="8822" spans="13:13" ht="15" customHeight="1" x14ac:dyDescent="0.3">
      <c r="M8822" s="5"/>
    </row>
    <row r="8823" spans="13:13" ht="15" customHeight="1" x14ac:dyDescent="0.3">
      <c r="M8823" s="5"/>
    </row>
    <row r="8824" spans="13:13" ht="15" customHeight="1" x14ac:dyDescent="0.3">
      <c r="M8824" s="5"/>
    </row>
    <row r="8825" spans="13:13" ht="15" customHeight="1" x14ac:dyDescent="0.3">
      <c r="M8825" s="5"/>
    </row>
    <row r="8826" spans="13:13" ht="15" customHeight="1" x14ac:dyDescent="0.3">
      <c r="M8826" s="5"/>
    </row>
    <row r="8827" spans="13:13" ht="15" customHeight="1" x14ac:dyDescent="0.3">
      <c r="M8827" s="5"/>
    </row>
    <row r="8828" spans="13:13" ht="15" customHeight="1" x14ac:dyDescent="0.3">
      <c r="M8828" s="5"/>
    </row>
    <row r="8829" spans="13:13" ht="15" customHeight="1" x14ac:dyDescent="0.3">
      <c r="M8829" s="5"/>
    </row>
    <row r="8830" spans="13:13" ht="15" customHeight="1" x14ac:dyDescent="0.3">
      <c r="M8830" s="5"/>
    </row>
    <row r="8831" spans="13:13" ht="15" customHeight="1" x14ac:dyDescent="0.3">
      <c r="M8831" s="5"/>
    </row>
    <row r="8832" spans="13:13" ht="15" customHeight="1" x14ac:dyDescent="0.3">
      <c r="M8832" s="5"/>
    </row>
    <row r="8833" spans="13:13" ht="15" customHeight="1" x14ac:dyDescent="0.3">
      <c r="M8833" s="5"/>
    </row>
    <row r="8834" spans="13:13" ht="15" customHeight="1" x14ac:dyDescent="0.3">
      <c r="M8834" s="5"/>
    </row>
    <row r="8835" spans="13:13" ht="15" customHeight="1" x14ac:dyDescent="0.3">
      <c r="M8835" s="5"/>
    </row>
    <row r="8836" spans="13:13" ht="15" customHeight="1" x14ac:dyDescent="0.3">
      <c r="M8836" s="5"/>
    </row>
    <row r="8837" spans="13:13" ht="15" customHeight="1" x14ac:dyDescent="0.3">
      <c r="M8837" s="5"/>
    </row>
    <row r="8838" spans="13:13" ht="15" customHeight="1" x14ac:dyDescent="0.3">
      <c r="M8838" s="5"/>
    </row>
    <row r="8839" spans="13:13" ht="15" customHeight="1" x14ac:dyDescent="0.3">
      <c r="M8839" s="5"/>
    </row>
    <row r="8840" spans="13:13" ht="15" customHeight="1" x14ac:dyDescent="0.3">
      <c r="M8840" s="5"/>
    </row>
    <row r="8841" spans="13:13" ht="15" customHeight="1" x14ac:dyDescent="0.3">
      <c r="M8841" s="5"/>
    </row>
    <row r="8842" spans="13:13" ht="15" customHeight="1" x14ac:dyDescent="0.3">
      <c r="M8842" s="5"/>
    </row>
    <row r="8843" spans="13:13" ht="15" customHeight="1" x14ac:dyDescent="0.3">
      <c r="M8843" s="5"/>
    </row>
    <row r="8844" spans="13:13" ht="15" customHeight="1" x14ac:dyDescent="0.3">
      <c r="M8844" s="5"/>
    </row>
    <row r="8845" spans="13:13" ht="15" customHeight="1" x14ac:dyDescent="0.3">
      <c r="M8845" s="5"/>
    </row>
    <row r="8846" spans="13:13" ht="15" customHeight="1" x14ac:dyDescent="0.3">
      <c r="M8846" s="5"/>
    </row>
    <row r="8847" spans="13:13" ht="15" customHeight="1" x14ac:dyDescent="0.3">
      <c r="M8847" s="5"/>
    </row>
    <row r="8848" spans="13:13" ht="15" customHeight="1" x14ac:dyDescent="0.3">
      <c r="M8848" s="5"/>
    </row>
    <row r="8849" spans="13:13" ht="15" customHeight="1" x14ac:dyDescent="0.3">
      <c r="M8849" s="5"/>
    </row>
    <row r="8850" spans="13:13" ht="15" customHeight="1" x14ac:dyDescent="0.3">
      <c r="M8850" s="5"/>
    </row>
    <row r="8851" spans="13:13" ht="15" customHeight="1" x14ac:dyDescent="0.3">
      <c r="M8851" s="5"/>
    </row>
    <row r="8852" spans="13:13" ht="15" customHeight="1" x14ac:dyDescent="0.3">
      <c r="M8852" s="5"/>
    </row>
    <row r="8853" spans="13:13" ht="15" customHeight="1" x14ac:dyDescent="0.3">
      <c r="M8853" s="5"/>
    </row>
    <row r="8854" spans="13:13" ht="15" customHeight="1" x14ac:dyDescent="0.3">
      <c r="M8854" s="5"/>
    </row>
    <row r="8855" spans="13:13" ht="15" customHeight="1" x14ac:dyDescent="0.3">
      <c r="M8855" s="5"/>
    </row>
    <row r="8856" spans="13:13" ht="15" customHeight="1" x14ac:dyDescent="0.3">
      <c r="M8856" s="5"/>
    </row>
    <row r="8857" spans="13:13" ht="15" customHeight="1" x14ac:dyDescent="0.3">
      <c r="M8857" s="5"/>
    </row>
    <row r="8858" spans="13:13" ht="15" customHeight="1" x14ac:dyDescent="0.3">
      <c r="M8858" s="5"/>
    </row>
    <row r="8859" spans="13:13" ht="15" customHeight="1" x14ac:dyDescent="0.3">
      <c r="M8859" s="5"/>
    </row>
    <row r="8860" spans="13:13" ht="15" customHeight="1" x14ac:dyDescent="0.3">
      <c r="M8860" s="5"/>
    </row>
    <row r="8861" spans="13:13" ht="15" customHeight="1" x14ac:dyDescent="0.3">
      <c r="M8861" s="5"/>
    </row>
    <row r="8862" spans="13:13" ht="15" customHeight="1" x14ac:dyDescent="0.3">
      <c r="M8862" s="5"/>
    </row>
    <row r="8863" spans="13:13" ht="15" customHeight="1" x14ac:dyDescent="0.3">
      <c r="M8863" s="5"/>
    </row>
    <row r="8864" spans="13:13" ht="15" customHeight="1" x14ac:dyDescent="0.3">
      <c r="M8864" s="5"/>
    </row>
    <row r="8865" spans="13:13" ht="15" customHeight="1" x14ac:dyDescent="0.3">
      <c r="M8865" s="5"/>
    </row>
    <row r="8866" spans="13:13" ht="15" customHeight="1" x14ac:dyDescent="0.3">
      <c r="M8866" s="5"/>
    </row>
    <row r="8867" spans="13:13" ht="15" customHeight="1" x14ac:dyDescent="0.3">
      <c r="M8867" s="5"/>
    </row>
    <row r="8868" spans="13:13" ht="15" customHeight="1" x14ac:dyDescent="0.3">
      <c r="M8868" s="5"/>
    </row>
    <row r="8869" spans="13:13" ht="15" customHeight="1" x14ac:dyDescent="0.3">
      <c r="M8869" s="5"/>
    </row>
    <row r="8870" spans="13:13" ht="15" customHeight="1" x14ac:dyDescent="0.3">
      <c r="M8870" s="5"/>
    </row>
    <row r="8871" spans="13:13" ht="15" customHeight="1" x14ac:dyDescent="0.3">
      <c r="M8871" s="5"/>
    </row>
    <row r="8872" spans="13:13" ht="15" customHeight="1" x14ac:dyDescent="0.3">
      <c r="M8872" s="5"/>
    </row>
    <row r="8873" spans="13:13" ht="15" customHeight="1" x14ac:dyDescent="0.3">
      <c r="M8873" s="5"/>
    </row>
    <row r="8874" spans="13:13" ht="15" customHeight="1" x14ac:dyDescent="0.3">
      <c r="M8874" s="5"/>
    </row>
    <row r="8875" spans="13:13" ht="15" customHeight="1" x14ac:dyDescent="0.3">
      <c r="M8875" s="5"/>
    </row>
    <row r="8876" spans="13:13" ht="15" customHeight="1" x14ac:dyDescent="0.3">
      <c r="M8876" s="5"/>
    </row>
    <row r="8877" spans="13:13" ht="15" customHeight="1" x14ac:dyDescent="0.3">
      <c r="M8877" s="5"/>
    </row>
    <row r="8878" spans="13:13" ht="15" customHeight="1" x14ac:dyDescent="0.3">
      <c r="M8878" s="5"/>
    </row>
    <row r="8879" spans="13:13" ht="15" customHeight="1" x14ac:dyDescent="0.3">
      <c r="M8879" s="5"/>
    </row>
    <row r="8880" spans="13:13" ht="15" customHeight="1" x14ac:dyDescent="0.3">
      <c r="M8880" s="5"/>
    </row>
    <row r="8881" spans="13:13" ht="15" customHeight="1" x14ac:dyDescent="0.3">
      <c r="M8881" s="5"/>
    </row>
    <row r="8882" spans="13:13" ht="15" customHeight="1" x14ac:dyDescent="0.3">
      <c r="M8882" s="5"/>
    </row>
    <row r="8883" spans="13:13" ht="15" customHeight="1" x14ac:dyDescent="0.3">
      <c r="M8883" s="5"/>
    </row>
    <row r="8884" spans="13:13" ht="15" customHeight="1" x14ac:dyDescent="0.3">
      <c r="M8884" s="5"/>
    </row>
    <row r="8885" spans="13:13" ht="15" customHeight="1" x14ac:dyDescent="0.3">
      <c r="M8885" s="5"/>
    </row>
    <row r="8886" spans="13:13" ht="15" customHeight="1" x14ac:dyDescent="0.3">
      <c r="M8886" s="5"/>
    </row>
    <row r="8887" spans="13:13" ht="15" customHeight="1" x14ac:dyDescent="0.3">
      <c r="M8887" s="5"/>
    </row>
    <row r="8888" spans="13:13" ht="15" customHeight="1" x14ac:dyDescent="0.3">
      <c r="M8888" s="5"/>
    </row>
    <row r="8889" spans="13:13" ht="15" customHeight="1" x14ac:dyDescent="0.3">
      <c r="M8889" s="5"/>
    </row>
    <row r="8890" spans="13:13" ht="15" customHeight="1" x14ac:dyDescent="0.3">
      <c r="M8890" s="5"/>
    </row>
    <row r="8891" spans="13:13" ht="15" customHeight="1" x14ac:dyDescent="0.3">
      <c r="M8891" s="5"/>
    </row>
    <row r="8892" spans="13:13" ht="15" customHeight="1" x14ac:dyDescent="0.3">
      <c r="M8892" s="5"/>
    </row>
    <row r="8893" spans="13:13" ht="15" customHeight="1" x14ac:dyDescent="0.3">
      <c r="M8893" s="5"/>
    </row>
    <row r="8894" spans="13:13" ht="15" customHeight="1" x14ac:dyDescent="0.3">
      <c r="M8894" s="5"/>
    </row>
    <row r="8895" spans="13:13" ht="15" customHeight="1" x14ac:dyDescent="0.3">
      <c r="M8895" s="5"/>
    </row>
    <row r="8896" spans="13:13" ht="15" customHeight="1" x14ac:dyDescent="0.3">
      <c r="M8896" s="5"/>
    </row>
    <row r="8897" spans="13:13" ht="15" customHeight="1" x14ac:dyDescent="0.3">
      <c r="M8897" s="5"/>
    </row>
    <row r="8898" spans="13:13" ht="15" customHeight="1" x14ac:dyDescent="0.3">
      <c r="M8898" s="5"/>
    </row>
    <row r="8899" spans="13:13" ht="15" customHeight="1" x14ac:dyDescent="0.3">
      <c r="M8899" s="5"/>
    </row>
    <row r="8900" spans="13:13" ht="15" customHeight="1" x14ac:dyDescent="0.3">
      <c r="M8900" s="5"/>
    </row>
    <row r="8901" spans="13:13" ht="15" customHeight="1" x14ac:dyDescent="0.3">
      <c r="M8901" s="5"/>
    </row>
    <row r="8902" spans="13:13" ht="15" customHeight="1" x14ac:dyDescent="0.3">
      <c r="M8902" s="5"/>
    </row>
    <row r="8903" spans="13:13" ht="15" customHeight="1" x14ac:dyDescent="0.3">
      <c r="M8903" s="5"/>
    </row>
    <row r="8904" spans="13:13" ht="15" customHeight="1" x14ac:dyDescent="0.3">
      <c r="M8904" s="5"/>
    </row>
    <row r="8905" spans="13:13" ht="15" customHeight="1" x14ac:dyDescent="0.3">
      <c r="M8905" s="5"/>
    </row>
    <row r="8906" spans="13:13" ht="15" customHeight="1" x14ac:dyDescent="0.3">
      <c r="M8906" s="5"/>
    </row>
    <row r="8907" spans="13:13" ht="15" customHeight="1" x14ac:dyDescent="0.3">
      <c r="M8907" s="5"/>
    </row>
    <row r="8908" spans="13:13" ht="15" customHeight="1" x14ac:dyDescent="0.3">
      <c r="M8908" s="5"/>
    </row>
    <row r="8909" spans="13:13" ht="15" customHeight="1" x14ac:dyDescent="0.3">
      <c r="M8909" s="5"/>
    </row>
    <row r="8910" spans="13:13" ht="15" customHeight="1" x14ac:dyDescent="0.3">
      <c r="M8910" s="5"/>
    </row>
    <row r="8911" spans="13:13" ht="15" customHeight="1" x14ac:dyDescent="0.3">
      <c r="M8911" s="5"/>
    </row>
    <row r="8912" spans="13:13" ht="15" customHeight="1" x14ac:dyDescent="0.3">
      <c r="M8912" s="5"/>
    </row>
    <row r="8913" spans="13:13" ht="15" customHeight="1" x14ac:dyDescent="0.3">
      <c r="M8913" s="5"/>
    </row>
    <row r="8914" spans="13:13" ht="15" customHeight="1" x14ac:dyDescent="0.3">
      <c r="M8914" s="5"/>
    </row>
    <row r="8915" spans="13:13" ht="15" customHeight="1" x14ac:dyDescent="0.3">
      <c r="M8915" s="5"/>
    </row>
    <row r="8916" spans="13:13" ht="15" customHeight="1" x14ac:dyDescent="0.3">
      <c r="M8916" s="5"/>
    </row>
    <row r="8917" spans="13:13" ht="15" customHeight="1" x14ac:dyDescent="0.3">
      <c r="M8917" s="5"/>
    </row>
    <row r="8918" spans="13:13" ht="15" customHeight="1" x14ac:dyDescent="0.3">
      <c r="M8918" s="5"/>
    </row>
    <row r="8919" spans="13:13" ht="15" customHeight="1" x14ac:dyDescent="0.3">
      <c r="M8919" s="5"/>
    </row>
    <row r="8920" spans="13:13" ht="15" customHeight="1" x14ac:dyDescent="0.3">
      <c r="M8920" s="5"/>
    </row>
    <row r="8921" spans="13:13" ht="15" customHeight="1" x14ac:dyDescent="0.3">
      <c r="M8921" s="5"/>
    </row>
    <row r="8922" spans="13:13" ht="15" customHeight="1" x14ac:dyDescent="0.3">
      <c r="M8922" s="5"/>
    </row>
    <row r="8923" spans="13:13" ht="15" customHeight="1" x14ac:dyDescent="0.3">
      <c r="M8923" s="5"/>
    </row>
    <row r="8924" spans="13:13" ht="15" customHeight="1" x14ac:dyDescent="0.3">
      <c r="M8924" s="5"/>
    </row>
    <row r="8925" spans="13:13" ht="15" customHeight="1" x14ac:dyDescent="0.3">
      <c r="M8925" s="5"/>
    </row>
    <row r="8926" spans="13:13" ht="15" customHeight="1" x14ac:dyDescent="0.3">
      <c r="M8926" s="5"/>
    </row>
    <row r="8927" spans="13:13" ht="15" customHeight="1" x14ac:dyDescent="0.3">
      <c r="M8927" s="5"/>
    </row>
    <row r="8928" spans="13:13" ht="15" customHeight="1" x14ac:dyDescent="0.3">
      <c r="M8928" s="5"/>
    </row>
    <row r="8929" spans="13:13" ht="15" customHeight="1" x14ac:dyDescent="0.3">
      <c r="M8929" s="5"/>
    </row>
    <row r="8930" spans="13:13" ht="15" customHeight="1" x14ac:dyDescent="0.3">
      <c r="M8930" s="5"/>
    </row>
    <row r="8931" spans="13:13" ht="15" customHeight="1" x14ac:dyDescent="0.3">
      <c r="M8931" s="5"/>
    </row>
    <row r="8932" spans="13:13" ht="15" customHeight="1" x14ac:dyDescent="0.3">
      <c r="M8932" s="5"/>
    </row>
    <row r="8933" spans="13:13" ht="15" customHeight="1" x14ac:dyDescent="0.3">
      <c r="M8933" s="5"/>
    </row>
    <row r="8934" spans="13:13" ht="15" customHeight="1" x14ac:dyDescent="0.3">
      <c r="M8934" s="5"/>
    </row>
    <row r="8935" spans="13:13" ht="15" customHeight="1" x14ac:dyDescent="0.3">
      <c r="M8935" s="5"/>
    </row>
    <row r="8936" spans="13:13" ht="15" customHeight="1" x14ac:dyDescent="0.3">
      <c r="M8936" s="5"/>
    </row>
    <row r="8937" spans="13:13" ht="15" customHeight="1" x14ac:dyDescent="0.3">
      <c r="M8937" s="5"/>
    </row>
    <row r="8938" spans="13:13" ht="15" customHeight="1" x14ac:dyDescent="0.3">
      <c r="M8938" s="5"/>
    </row>
    <row r="8939" spans="13:13" ht="15" customHeight="1" x14ac:dyDescent="0.3">
      <c r="M8939" s="5"/>
    </row>
    <row r="8940" spans="13:13" ht="15" customHeight="1" x14ac:dyDescent="0.3">
      <c r="M8940" s="5"/>
    </row>
    <row r="8941" spans="13:13" ht="15" customHeight="1" x14ac:dyDescent="0.3">
      <c r="M8941" s="5"/>
    </row>
    <row r="8942" spans="13:13" ht="15" customHeight="1" x14ac:dyDescent="0.3">
      <c r="M8942" s="5"/>
    </row>
    <row r="8943" spans="13:13" ht="15" customHeight="1" x14ac:dyDescent="0.3">
      <c r="M8943" s="5"/>
    </row>
    <row r="8944" spans="13:13" ht="15" customHeight="1" x14ac:dyDescent="0.3">
      <c r="M8944" s="5"/>
    </row>
    <row r="8945" spans="13:13" ht="15" customHeight="1" x14ac:dyDescent="0.3">
      <c r="M8945" s="5"/>
    </row>
    <row r="8946" spans="13:13" ht="15" customHeight="1" x14ac:dyDescent="0.3">
      <c r="M8946" s="5"/>
    </row>
    <row r="8947" spans="13:13" ht="15" customHeight="1" x14ac:dyDescent="0.3">
      <c r="M8947" s="5"/>
    </row>
    <row r="8948" spans="13:13" ht="15" customHeight="1" x14ac:dyDescent="0.3">
      <c r="M8948" s="5"/>
    </row>
    <row r="8949" spans="13:13" ht="15" customHeight="1" x14ac:dyDescent="0.3">
      <c r="M8949" s="5"/>
    </row>
    <row r="8950" spans="13:13" ht="15" customHeight="1" x14ac:dyDescent="0.3">
      <c r="M8950" s="5"/>
    </row>
    <row r="8951" spans="13:13" ht="15" customHeight="1" x14ac:dyDescent="0.3">
      <c r="M8951" s="5"/>
    </row>
    <row r="8952" spans="13:13" ht="15" customHeight="1" x14ac:dyDescent="0.3">
      <c r="M8952" s="5"/>
    </row>
    <row r="8953" spans="13:13" ht="15" customHeight="1" x14ac:dyDescent="0.3">
      <c r="M8953" s="5"/>
    </row>
    <row r="8954" spans="13:13" ht="15" customHeight="1" x14ac:dyDescent="0.3">
      <c r="M8954" s="5"/>
    </row>
    <row r="8955" spans="13:13" ht="15" customHeight="1" x14ac:dyDescent="0.3">
      <c r="M8955" s="5"/>
    </row>
    <row r="8956" spans="13:13" ht="15" customHeight="1" x14ac:dyDescent="0.3">
      <c r="M8956" s="5"/>
    </row>
    <row r="8957" spans="13:13" ht="15" customHeight="1" x14ac:dyDescent="0.3">
      <c r="M8957" s="5"/>
    </row>
    <row r="8958" spans="13:13" ht="15" customHeight="1" x14ac:dyDescent="0.3">
      <c r="M8958" s="5"/>
    </row>
    <row r="8959" spans="13:13" ht="15" customHeight="1" x14ac:dyDescent="0.3">
      <c r="M8959" s="5"/>
    </row>
    <row r="8960" spans="13:13" ht="15" customHeight="1" x14ac:dyDescent="0.3">
      <c r="M8960" s="5"/>
    </row>
    <row r="8961" spans="13:13" ht="15" customHeight="1" x14ac:dyDescent="0.3">
      <c r="M8961" s="5"/>
    </row>
    <row r="8962" spans="13:13" ht="15" customHeight="1" x14ac:dyDescent="0.3">
      <c r="M8962" s="5"/>
    </row>
    <row r="8963" spans="13:13" ht="15" customHeight="1" x14ac:dyDescent="0.3">
      <c r="M8963" s="5"/>
    </row>
    <row r="8964" spans="13:13" ht="15" customHeight="1" x14ac:dyDescent="0.3">
      <c r="M8964" s="5"/>
    </row>
    <row r="8965" spans="13:13" ht="15" customHeight="1" x14ac:dyDescent="0.3">
      <c r="M8965" s="5"/>
    </row>
    <row r="8966" spans="13:13" ht="15" customHeight="1" x14ac:dyDescent="0.3">
      <c r="M8966" s="5"/>
    </row>
    <row r="8967" spans="13:13" ht="15" customHeight="1" x14ac:dyDescent="0.3">
      <c r="M8967" s="5"/>
    </row>
    <row r="8968" spans="13:13" ht="15" customHeight="1" x14ac:dyDescent="0.3">
      <c r="M8968" s="5"/>
    </row>
    <row r="8969" spans="13:13" ht="15" customHeight="1" x14ac:dyDescent="0.3">
      <c r="M8969" s="5"/>
    </row>
    <row r="8970" spans="13:13" ht="15" customHeight="1" x14ac:dyDescent="0.3">
      <c r="M8970" s="5"/>
    </row>
    <row r="8971" spans="13:13" ht="15" customHeight="1" x14ac:dyDescent="0.3">
      <c r="M8971" s="5"/>
    </row>
    <row r="8972" spans="13:13" ht="15" customHeight="1" x14ac:dyDescent="0.3">
      <c r="M8972" s="5"/>
    </row>
    <row r="8973" spans="13:13" ht="15" customHeight="1" x14ac:dyDescent="0.3">
      <c r="M8973" s="5"/>
    </row>
    <row r="8974" spans="13:13" ht="15" customHeight="1" x14ac:dyDescent="0.3">
      <c r="M8974" s="5"/>
    </row>
    <row r="8975" spans="13:13" ht="15" customHeight="1" x14ac:dyDescent="0.3">
      <c r="M8975" s="5"/>
    </row>
    <row r="8976" spans="13:13" ht="15" customHeight="1" x14ac:dyDescent="0.3">
      <c r="M8976" s="5"/>
    </row>
    <row r="8977" spans="13:13" ht="15" customHeight="1" x14ac:dyDescent="0.3">
      <c r="M8977" s="5"/>
    </row>
    <row r="8978" spans="13:13" ht="15" customHeight="1" x14ac:dyDescent="0.3">
      <c r="M8978" s="5"/>
    </row>
    <row r="8979" spans="13:13" ht="15" customHeight="1" x14ac:dyDescent="0.3">
      <c r="M8979" s="5"/>
    </row>
    <row r="8980" spans="13:13" ht="15" customHeight="1" x14ac:dyDescent="0.3">
      <c r="M8980" s="5"/>
    </row>
    <row r="8981" spans="13:13" ht="15" customHeight="1" x14ac:dyDescent="0.3">
      <c r="M8981" s="5"/>
    </row>
    <row r="8982" spans="13:13" ht="15" customHeight="1" x14ac:dyDescent="0.3">
      <c r="M8982" s="5"/>
    </row>
    <row r="8983" spans="13:13" ht="15" customHeight="1" x14ac:dyDescent="0.3">
      <c r="M8983" s="5"/>
    </row>
    <row r="8984" spans="13:13" ht="15" customHeight="1" x14ac:dyDescent="0.3">
      <c r="M8984" s="5"/>
    </row>
    <row r="8985" spans="13:13" ht="15" customHeight="1" x14ac:dyDescent="0.3">
      <c r="M8985" s="5"/>
    </row>
    <row r="8986" spans="13:13" ht="15" customHeight="1" x14ac:dyDescent="0.3">
      <c r="M8986" s="5"/>
    </row>
    <row r="8987" spans="13:13" ht="15" customHeight="1" x14ac:dyDescent="0.3">
      <c r="M8987" s="5"/>
    </row>
    <row r="8988" spans="13:13" ht="15" customHeight="1" x14ac:dyDescent="0.3">
      <c r="M8988" s="5"/>
    </row>
    <row r="8989" spans="13:13" ht="15" customHeight="1" x14ac:dyDescent="0.3">
      <c r="M8989" s="5"/>
    </row>
    <row r="8990" spans="13:13" ht="15" customHeight="1" x14ac:dyDescent="0.3">
      <c r="M8990" s="5"/>
    </row>
    <row r="8991" spans="13:13" ht="15" customHeight="1" x14ac:dyDescent="0.3">
      <c r="M8991" s="5"/>
    </row>
    <row r="8992" spans="13:13" ht="15" customHeight="1" x14ac:dyDescent="0.3">
      <c r="M8992" s="5"/>
    </row>
    <row r="8993" spans="13:13" ht="15" customHeight="1" x14ac:dyDescent="0.3">
      <c r="M8993" s="5"/>
    </row>
    <row r="8994" spans="13:13" ht="15" customHeight="1" x14ac:dyDescent="0.3">
      <c r="M8994" s="5"/>
    </row>
    <row r="8995" spans="13:13" ht="15" customHeight="1" x14ac:dyDescent="0.3">
      <c r="M8995" s="5"/>
    </row>
    <row r="8996" spans="13:13" ht="15" customHeight="1" x14ac:dyDescent="0.3">
      <c r="M8996" s="5"/>
    </row>
    <row r="8997" spans="13:13" ht="15" customHeight="1" x14ac:dyDescent="0.3">
      <c r="M8997" s="5"/>
    </row>
    <row r="8998" spans="13:13" ht="15" customHeight="1" x14ac:dyDescent="0.3">
      <c r="M8998" s="5"/>
    </row>
    <row r="8999" spans="13:13" ht="15" customHeight="1" x14ac:dyDescent="0.3">
      <c r="M8999" s="5"/>
    </row>
    <row r="9000" spans="13:13" ht="15" customHeight="1" x14ac:dyDescent="0.3">
      <c r="M9000" s="5"/>
    </row>
    <row r="9001" spans="13:13" ht="15" customHeight="1" x14ac:dyDescent="0.3">
      <c r="M9001" s="5"/>
    </row>
    <row r="9002" spans="13:13" ht="15" customHeight="1" x14ac:dyDescent="0.3">
      <c r="M9002" s="5"/>
    </row>
    <row r="9003" spans="13:13" ht="15" customHeight="1" x14ac:dyDescent="0.3">
      <c r="M9003" s="5"/>
    </row>
    <row r="9004" spans="13:13" ht="15" customHeight="1" x14ac:dyDescent="0.3">
      <c r="M9004" s="5"/>
    </row>
    <row r="9005" spans="13:13" ht="15" customHeight="1" x14ac:dyDescent="0.3">
      <c r="M9005" s="5"/>
    </row>
    <row r="9006" spans="13:13" ht="15" customHeight="1" x14ac:dyDescent="0.3">
      <c r="M9006" s="5"/>
    </row>
    <row r="9007" spans="13:13" ht="15" customHeight="1" x14ac:dyDescent="0.3">
      <c r="M9007" s="5"/>
    </row>
    <row r="9008" spans="13:13" ht="15" customHeight="1" x14ac:dyDescent="0.3">
      <c r="M9008" s="5"/>
    </row>
    <row r="9009" spans="13:13" ht="15" customHeight="1" x14ac:dyDescent="0.3">
      <c r="M9009" s="5"/>
    </row>
    <row r="9010" spans="13:13" ht="15" customHeight="1" x14ac:dyDescent="0.3">
      <c r="M9010" s="5"/>
    </row>
    <row r="9011" spans="13:13" ht="15" customHeight="1" x14ac:dyDescent="0.3">
      <c r="M9011" s="5"/>
    </row>
    <row r="9012" spans="13:13" ht="15" customHeight="1" x14ac:dyDescent="0.3">
      <c r="M9012" s="5"/>
    </row>
    <row r="9013" spans="13:13" ht="15" customHeight="1" x14ac:dyDescent="0.3">
      <c r="M9013" s="5"/>
    </row>
    <row r="9014" spans="13:13" ht="15" customHeight="1" x14ac:dyDescent="0.3">
      <c r="M9014" s="5"/>
    </row>
    <row r="9015" spans="13:13" ht="15" customHeight="1" x14ac:dyDescent="0.3">
      <c r="M9015" s="5"/>
    </row>
    <row r="9016" spans="13:13" ht="15" customHeight="1" x14ac:dyDescent="0.3">
      <c r="M9016" s="5"/>
    </row>
    <row r="9017" spans="13:13" ht="15" customHeight="1" x14ac:dyDescent="0.3">
      <c r="M9017" s="5"/>
    </row>
    <row r="9018" spans="13:13" ht="15" customHeight="1" x14ac:dyDescent="0.3">
      <c r="M9018" s="5"/>
    </row>
    <row r="9019" spans="13:13" ht="15" customHeight="1" x14ac:dyDescent="0.3">
      <c r="M9019" s="5"/>
    </row>
    <row r="9020" spans="13:13" ht="15" customHeight="1" x14ac:dyDescent="0.3">
      <c r="M9020" s="5"/>
    </row>
    <row r="9021" spans="13:13" ht="15" customHeight="1" x14ac:dyDescent="0.3">
      <c r="M9021" s="5"/>
    </row>
    <row r="9022" spans="13:13" ht="15" customHeight="1" x14ac:dyDescent="0.3">
      <c r="M9022" s="5"/>
    </row>
    <row r="9023" spans="13:13" ht="15" customHeight="1" x14ac:dyDescent="0.3">
      <c r="M9023" s="5"/>
    </row>
    <row r="9024" spans="13:13" ht="15" customHeight="1" x14ac:dyDescent="0.3">
      <c r="M9024" s="5"/>
    </row>
    <row r="9025" spans="13:13" ht="15" customHeight="1" x14ac:dyDescent="0.3">
      <c r="M9025" s="5"/>
    </row>
    <row r="9026" spans="13:13" ht="15" customHeight="1" x14ac:dyDescent="0.3">
      <c r="M9026" s="5"/>
    </row>
    <row r="9027" spans="13:13" ht="15" customHeight="1" x14ac:dyDescent="0.3">
      <c r="M9027" s="5"/>
    </row>
    <row r="9028" spans="13:13" ht="15" customHeight="1" x14ac:dyDescent="0.3">
      <c r="M9028" s="5"/>
    </row>
    <row r="9029" spans="13:13" ht="15" customHeight="1" x14ac:dyDescent="0.3">
      <c r="M9029" s="5"/>
    </row>
    <row r="9030" spans="13:13" ht="15" customHeight="1" x14ac:dyDescent="0.3">
      <c r="M9030" s="5"/>
    </row>
    <row r="9031" spans="13:13" ht="15" customHeight="1" x14ac:dyDescent="0.3">
      <c r="M9031" s="5"/>
    </row>
    <row r="9032" spans="13:13" ht="15" customHeight="1" x14ac:dyDescent="0.3">
      <c r="M9032" s="5"/>
    </row>
    <row r="9033" spans="13:13" ht="15" customHeight="1" x14ac:dyDescent="0.3">
      <c r="M9033" s="5"/>
    </row>
    <row r="9034" spans="13:13" ht="15" customHeight="1" x14ac:dyDescent="0.3">
      <c r="M9034" s="5"/>
    </row>
    <row r="9035" spans="13:13" ht="15" customHeight="1" x14ac:dyDescent="0.3">
      <c r="M9035" s="5"/>
    </row>
    <row r="9036" spans="13:13" ht="15" customHeight="1" x14ac:dyDescent="0.3">
      <c r="M9036" s="5"/>
    </row>
    <row r="9037" spans="13:13" ht="15" customHeight="1" x14ac:dyDescent="0.3">
      <c r="M9037" s="5"/>
    </row>
    <row r="9038" spans="13:13" ht="15" customHeight="1" x14ac:dyDescent="0.3">
      <c r="M9038" s="5"/>
    </row>
    <row r="9039" spans="13:13" ht="15" customHeight="1" x14ac:dyDescent="0.3">
      <c r="M9039" s="5"/>
    </row>
    <row r="9040" spans="13:13" ht="15" customHeight="1" x14ac:dyDescent="0.3">
      <c r="M9040" s="5"/>
    </row>
    <row r="9041" spans="13:13" ht="15" customHeight="1" x14ac:dyDescent="0.3">
      <c r="M9041" s="5"/>
    </row>
    <row r="9042" spans="13:13" ht="15" customHeight="1" x14ac:dyDescent="0.3">
      <c r="M9042" s="5"/>
    </row>
    <row r="9043" spans="13:13" ht="15" customHeight="1" x14ac:dyDescent="0.3">
      <c r="M9043" s="5"/>
    </row>
    <row r="9044" spans="13:13" ht="15" customHeight="1" x14ac:dyDescent="0.3">
      <c r="M9044" s="5"/>
    </row>
    <row r="9045" spans="13:13" ht="15" customHeight="1" x14ac:dyDescent="0.3">
      <c r="M9045" s="5"/>
    </row>
    <row r="9046" spans="13:13" ht="15" customHeight="1" x14ac:dyDescent="0.3">
      <c r="M9046" s="5"/>
    </row>
    <row r="9047" spans="13:13" ht="15" customHeight="1" x14ac:dyDescent="0.3">
      <c r="M9047" s="5"/>
    </row>
    <row r="9048" spans="13:13" ht="15" customHeight="1" x14ac:dyDescent="0.3">
      <c r="M9048" s="5"/>
    </row>
    <row r="9049" spans="13:13" ht="15" customHeight="1" x14ac:dyDescent="0.3">
      <c r="M9049" s="5"/>
    </row>
    <row r="9050" spans="13:13" ht="15" customHeight="1" x14ac:dyDescent="0.3">
      <c r="M9050" s="5"/>
    </row>
    <row r="9051" spans="13:13" ht="15" customHeight="1" x14ac:dyDescent="0.3">
      <c r="M9051" s="5"/>
    </row>
    <row r="9052" spans="13:13" ht="15" customHeight="1" x14ac:dyDescent="0.3">
      <c r="M9052" s="5"/>
    </row>
    <row r="9053" spans="13:13" ht="15" customHeight="1" x14ac:dyDescent="0.3">
      <c r="M9053" s="5"/>
    </row>
    <row r="9054" spans="13:13" ht="15" customHeight="1" x14ac:dyDescent="0.3">
      <c r="M9054" s="5"/>
    </row>
    <row r="9055" spans="13:13" ht="15" customHeight="1" x14ac:dyDescent="0.3">
      <c r="M9055" s="5"/>
    </row>
    <row r="9056" spans="13:13" ht="15" customHeight="1" x14ac:dyDescent="0.3">
      <c r="M9056" s="5"/>
    </row>
    <row r="9057" spans="13:13" ht="15" customHeight="1" x14ac:dyDescent="0.3">
      <c r="M9057" s="5"/>
    </row>
    <row r="9058" spans="13:13" ht="15" customHeight="1" x14ac:dyDescent="0.3">
      <c r="M9058" s="5"/>
    </row>
    <row r="9059" spans="13:13" ht="15" customHeight="1" x14ac:dyDescent="0.3">
      <c r="M9059" s="5"/>
    </row>
    <row r="9060" spans="13:13" ht="15" customHeight="1" x14ac:dyDescent="0.3">
      <c r="M9060" s="5"/>
    </row>
    <row r="9061" spans="13:13" ht="15" customHeight="1" x14ac:dyDescent="0.3">
      <c r="M9061" s="5"/>
    </row>
    <row r="9062" spans="13:13" ht="15" customHeight="1" x14ac:dyDescent="0.3">
      <c r="M9062" s="5"/>
    </row>
    <row r="9063" spans="13:13" ht="15" customHeight="1" x14ac:dyDescent="0.3">
      <c r="M9063" s="5"/>
    </row>
    <row r="9064" spans="13:13" ht="15" customHeight="1" x14ac:dyDescent="0.3">
      <c r="M9064" s="5"/>
    </row>
    <row r="9065" spans="13:13" ht="15" customHeight="1" x14ac:dyDescent="0.3">
      <c r="M9065" s="5"/>
    </row>
    <row r="9066" spans="13:13" ht="15" customHeight="1" x14ac:dyDescent="0.3">
      <c r="M9066" s="5"/>
    </row>
    <row r="9067" spans="13:13" ht="15" customHeight="1" x14ac:dyDescent="0.3">
      <c r="M9067" s="5"/>
    </row>
    <row r="9068" spans="13:13" ht="15" customHeight="1" x14ac:dyDescent="0.3">
      <c r="M9068" s="5"/>
    </row>
    <row r="9069" spans="13:13" ht="15" customHeight="1" x14ac:dyDescent="0.3">
      <c r="M9069" s="5"/>
    </row>
    <row r="9070" spans="13:13" ht="15" customHeight="1" x14ac:dyDescent="0.3">
      <c r="M9070" s="5"/>
    </row>
    <row r="9071" spans="13:13" ht="15" customHeight="1" x14ac:dyDescent="0.3">
      <c r="M9071" s="5"/>
    </row>
    <row r="9072" spans="13:13" ht="15" customHeight="1" x14ac:dyDescent="0.3">
      <c r="M9072" s="5"/>
    </row>
    <row r="9073" spans="13:13" ht="15" customHeight="1" x14ac:dyDescent="0.3">
      <c r="M9073" s="5"/>
    </row>
    <row r="9074" spans="13:13" ht="15" customHeight="1" x14ac:dyDescent="0.3">
      <c r="M9074" s="5"/>
    </row>
    <row r="9075" spans="13:13" ht="15" customHeight="1" x14ac:dyDescent="0.3">
      <c r="M9075" s="5"/>
    </row>
    <row r="9076" spans="13:13" ht="15" customHeight="1" x14ac:dyDescent="0.3">
      <c r="M9076" s="5"/>
    </row>
    <row r="9077" spans="13:13" ht="15" customHeight="1" x14ac:dyDescent="0.3">
      <c r="M9077" s="5"/>
    </row>
    <row r="9078" spans="13:13" ht="15" customHeight="1" x14ac:dyDescent="0.3">
      <c r="M9078" s="5"/>
    </row>
    <row r="9079" spans="13:13" ht="15" customHeight="1" x14ac:dyDescent="0.3">
      <c r="M9079" s="5"/>
    </row>
    <row r="9080" spans="13:13" ht="15" customHeight="1" x14ac:dyDescent="0.3">
      <c r="M9080" s="5"/>
    </row>
    <row r="9081" spans="13:13" ht="15" customHeight="1" x14ac:dyDescent="0.3">
      <c r="M9081" s="5"/>
    </row>
    <row r="9082" spans="13:13" ht="15" customHeight="1" x14ac:dyDescent="0.3">
      <c r="M9082" s="5"/>
    </row>
    <row r="9083" spans="13:13" ht="15" customHeight="1" x14ac:dyDescent="0.3">
      <c r="M9083" s="5"/>
    </row>
    <row r="9084" spans="13:13" ht="15" customHeight="1" x14ac:dyDescent="0.3">
      <c r="M9084" s="5"/>
    </row>
    <row r="9085" spans="13:13" ht="15" customHeight="1" x14ac:dyDescent="0.3">
      <c r="M9085" s="5"/>
    </row>
    <row r="9086" spans="13:13" ht="15" customHeight="1" x14ac:dyDescent="0.3">
      <c r="M9086" s="5"/>
    </row>
    <row r="9087" spans="13:13" ht="15" customHeight="1" x14ac:dyDescent="0.3">
      <c r="M9087" s="5"/>
    </row>
    <row r="9088" spans="13:13" ht="15" customHeight="1" x14ac:dyDescent="0.3">
      <c r="M9088" s="5"/>
    </row>
    <row r="9089" spans="13:13" ht="15" customHeight="1" x14ac:dyDescent="0.3">
      <c r="M9089" s="5"/>
    </row>
    <row r="9090" spans="13:13" ht="15" customHeight="1" x14ac:dyDescent="0.3">
      <c r="M9090" s="5"/>
    </row>
    <row r="9091" spans="13:13" ht="15" customHeight="1" x14ac:dyDescent="0.3">
      <c r="M9091" s="5"/>
    </row>
    <row r="9092" spans="13:13" ht="15" customHeight="1" x14ac:dyDescent="0.3">
      <c r="M9092" s="5"/>
    </row>
    <row r="9093" spans="13:13" ht="15" customHeight="1" x14ac:dyDescent="0.3">
      <c r="M9093" s="5"/>
    </row>
    <row r="9094" spans="13:13" ht="15" customHeight="1" x14ac:dyDescent="0.3">
      <c r="M9094" s="5"/>
    </row>
    <row r="9095" spans="13:13" ht="15" customHeight="1" x14ac:dyDescent="0.3">
      <c r="M9095" s="5"/>
    </row>
    <row r="9096" spans="13:13" ht="15" customHeight="1" x14ac:dyDescent="0.3">
      <c r="M9096" s="5"/>
    </row>
    <row r="9097" spans="13:13" ht="15" customHeight="1" x14ac:dyDescent="0.3">
      <c r="M9097" s="5"/>
    </row>
    <row r="9098" spans="13:13" ht="15" customHeight="1" x14ac:dyDescent="0.3">
      <c r="M9098" s="5"/>
    </row>
    <row r="9099" spans="13:13" ht="15" customHeight="1" x14ac:dyDescent="0.3">
      <c r="M9099" s="5"/>
    </row>
    <row r="9100" spans="13:13" ht="15" customHeight="1" x14ac:dyDescent="0.3">
      <c r="M9100" s="5"/>
    </row>
    <row r="9101" spans="13:13" ht="15" customHeight="1" x14ac:dyDescent="0.3">
      <c r="M9101" s="5"/>
    </row>
    <row r="9102" spans="13:13" ht="15" customHeight="1" x14ac:dyDescent="0.3">
      <c r="M9102" s="5"/>
    </row>
    <row r="9103" spans="13:13" ht="15" customHeight="1" x14ac:dyDescent="0.3">
      <c r="M9103" s="5"/>
    </row>
    <row r="9104" spans="13:13" ht="15" customHeight="1" x14ac:dyDescent="0.3">
      <c r="M9104" s="5"/>
    </row>
    <row r="9105" spans="13:13" ht="15" customHeight="1" x14ac:dyDescent="0.3">
      <c r="M9105" s="5"/>
    </row>
    <row r="9106" spans="13:13" ht="15" customHeight="1" x14ac:dyDescent="0.3">
      <c r="M9106" s="5"/>
    </row>
    <row r="9107" spans="13:13" ht="15" customHeight="1" x14ac:dyDescent="0.3">
      <c r="M9107" s="5"/>
    </row>
    <row r="9108" spans="13:13" ht="15" customHeight="1" x14ac:dyDescent="0.3">
      <c r="M9108" s="5"/>
    </row>
    <row r="9109" spans="13:13" ht="15" customHeight="1" x14ac:dyDescent="0.3">
      <c r="M9109" s="5"/>
    </row>
    <row r="9110" spans="13:13" ht="15" customHeight="1" x14ac:dyDescent="0.3">
      <c r="M9110" s="5"/>
    </row>
    <row r="9111" spans="13:13" ht="15" customHeight="1" x14ac:dyDescent="0.3">
      <c r="M9111" s="5"/>
    </row>
    <row r="9112" spans="13:13" ht="15" customHeight="1" x14ac:dyDescent="0.3">
      <c r="M9112" s="5"/>
    </row>
    <row r="9113" spans="13:13" ht="15" customHeight="1" x14ac:dyDescent="0.3">
      <c r="M9113" s="5"/>
    </row>
    <row r="9114" spans="13:13" ht="15" customHeight="1" x14ac:dyDescent="0.3">
      <c r="M9114" s="5"/>
    </row>
    <row r="9115" spans="13:13" ht="15" customHeight="1" x14ac:dyDescent="0.3">
      <c r="M9115" s="5"/>
    </row>
    <row r="9116" spans="13:13" ht="15" customHeight="1" x14ac:dyDescent="0.3">
      <c r="M9116" s="5"/>
    </row>
    <row r="9117" spans="13:13" ht="15" customHeight="1" x14ac:dyDescent="0.3">
      <c r="M9117" s="5"/>
    </row>
    <row r="9118" spans="13:13" ht="15" customHeight="1" x14ac:dyDescent="0.3">
      <c r="M9118" s="5"/>
    </row>
    <row r="9119" spans="13:13" ht="15" customHeight="1" x14ac:dyDescent="0.3">
      <c r="M9119" s="5"/>
    </row>
    <row r="9120" spans="13:13" ht="15" customHeight="1" x14ac:dyDescent="0.3">
      <c r="M9120" s="5"/>
    </row>
    <row r="9121" spans="13:13" ht="15" customHeight="1" x14ac:dyDescent="0.3">
      <c r="M9121" s="5"/>
    </row>
    <row r="9122" spans="13:13" ht="15" customHeight="1" x14ac:dyDescent="0.3">
      <c r="M9122" s="5"/>
    </row>
    <row r="9123" spans="13:13" ht="15" customHeight="1" x14ac:dyDescent="0.3">
      <c r="M9123" s="5"/>
    </row>
    <row r="9124" spans="13:13" ht="15" customHeight="1" x14ac:dyDescent="0.3">
      <c r="M9124" s="5"/>
    </row>
    <row r="9125" spans="13:13" ht="15" customHeight="1" x14ac:dyDescent="0.3">
      <c r="M9125" s="5"/>
    </row>
    <row r="9126" spans="13:13" ht="15" customHeight="1" x14ac:dyDescent="0.3">
      <c r="M9126" s="5"/>
    </row>
    <row r="9127" spans="13:13" ht="15" customHeight="1" x14ac:dyDescent="0.3">
      <c r="M9127" s="5"/>
    </row>
    <row r="9128" spans="13:13" ht="15" customHeight="1" x14ac:dyDescent="0.3">
      <c r="M9128" s="5"/>
    </row>
    <row r="9129" spans="13:13" ht="15" customHeight="1" x14ac:dyDescent="0.3">
      <c r="M9129" s="5"/>
    </row>
    <row r="9130" spans="13:13" ht="15" customHeight="1" x14ac:dyDescent="0.3">
      <c r="M9130" s="5"/>
    </row>
    <row r="9131" spans="13:13" ht="15" customHeight="1" x14ac:dyDescent="0.3">
      <c r="M9131" s="5"/>
    </row>
    <row r="9132" spans="13:13" ht="15" customHeight="1" x14ac:dyDescent="0.3">
      <c r="M9132" s="5"/>
    </row>
    <row r="9133" spans="13:13" ht="15" customHeight="1" x14ac:dyDescent="0.3">
      <c r="M9133" s="5"/>
    </row>
    <row r="9134" spans="13:13" ht="15" customHeight="1" x14ac:dyDescent="0.3">
      <c r="M9134" s="5"/>
    </row>
    <row r="9135" spans="13:13" ht="15" customHeight="1" x14ac:dyDescent="0.3">
      <c r="M9135" s="5"/>
    </row>
    <row r="9136" spans="13:13" ht="15" customHeight="1" x14ac:dyDescent="0.3">
      <c r="M9136" s="5"/>
    </row>
    <row r="9137" spans="13:13" ht="15" customHeight="1" x14ac:dyDescent="0.3">
      <c r="M9137" s="5"/>
    </row>
    <row r="9138" spans="13:13" ht="15" customHeight="1" x14ac:dyDescent="0.3">
      <c r="M9138" s="5"/>
    </row>
    <row r="9139" spans="13:13" ht="15" customHeight="1" x14ac:dyDescent="0.3">
      <c r="M9139" s="5"/>
    </row>
    <row r="9140" spans="13:13" ht="15" customHeight="1" x14ac:dyDescent="0.3">
      <c r="M9140" s="5"/>
    </row>
    <row r="9141" spans="13:13" ht="15" customHeight="1" x14ac:dyDescent="0.3">
      <c r="M9141" s="5"/>
    </row>
    <row r="9142" spans="13:13" ht="15" customHeight="1" x14ac:dyDescent="0.3">
      <c r="M9142" s="5"/>
    </row>
    <row r="9143" spans="13:13" ht="15" customHeight="1" x14ac:dyDescent="0.3">
      <c r="M9143" s="5"/>
    </row>
    <row r="9144" spans="13:13" ht="15" customHeight="1" x14ac:dyDescent="0.3">
      <c r="M9144" s="5"/>
    </row>
    <row r="9145" spans="13:13" ht="15" customHeight="1" x14ac:dyDescent="0.3">
      <c r="M9145" s="5"/>
    </row>
    <row r="9146" spans="13:13" ht="15" customHeight="1" x14ac:dyDescent="0.3">
      <c r="M9146" s="5"/>
    </row>
    <row r="9147" spans="13:13" ht="15" customHeight="1" x14ac:dyDescent="0.3">
      <c r="M9147" s="5"/>
    </row>
    <row r="9148" spans="13:13" ht="15" customHeight="1" x14ac:dyDescent="0.3">
      <c r="M9148" s="5"/>
    </row>
    <row r="9149" spans="13:13" ht="15" customHeight="1" x14ac:dyDescent="0.3">
      <c r="M9149" s="5"/>
    </row>
    <row r="9150" spans="13:13" ht="15" customHeight="1" x14ac:dyDescent="0.3">
      <c r="M9150" s="5"/>
    </row>
    <row r="9151" spans="13:13" ht="15" customHeight="1" x14ac:dyDescent="0.3">
      <c r="M9151" s="5"/>
    </row>
    <row r="9152" spans="13:13" ht="15" customHeight="1" x14ac:dyDescent="0.3">
      <c r="M9152" s="5"/>
    </row>
    <row r="9153" spans="13:13" ht="15" customHeight="1" x14ac:dyDescent="0.3">
      <c r="M9153" s="5"/>
    </row>
    <row r="9154" spans="13:13" ht="15" customHeight="1" x14ac:dyDescent="0.3">
      <c r="M9154" s="5"/>
    </row>
    <row r="9155" spans="13:13" ht="15" customHeight="1" x14ac:dyDescent="0.3">
      <c r="M9155" s="5"/>
    </row>
    <row r="9156" spans="13:13" ht="15" customHeight="1" x14ac:dyDescent="0.3">
      <c r="M9156" s="5"/>
    </row>
    <row r="9157" spans="13:13" ht="15" customHeight="1" x14ac:dyDescent="0.3">
      <c r="M9157" s="5"/>
    </row>
    <row r="9158" spans="13:13" ht="15" customHeight="1" x14ac:dyDescent="0.3">
      <c r="M9158" s="5"/>
    </row>
    <row r="9159" spans="13:13" ht="15" customHeight="1" x14ac:dyDescent="0.3">
      <c r="M9159" s="5"/>
    </row>
    <row r="9160" spans="13:13" ht="15" customHeight="1" x14ac:dyDescent="0.3">
      <c r="M9160" s="5"/>
    </row>
    <row r="9161" spans="13:13" ht="15" customHeight="1" x14ac:dyDescent="0.3">
      <c r="M9161" s="5"/>
    </row>
    <row r="9162" spans="13:13" ht="15" customHeight="1" x14ac:dyDescent="0.3">
      <c r="M9162" s="5"/>
    </row>
    <row r="9163" spans="13:13" ht="15" customHeight="1" x14ac:dyDescent="0.3">
      <c r="M9163" s="5"/>
    </row>
    <row r="9164" spans="13:13" ht="15" customHeight="1" x14ac:dyDescent="0.3">
      <c r="M9164" s="5"/>
    </row>
    <row r="9165" spans="13:13" ht="15" customHeight="1" x14ac:dyDescent="0.3">
      <c r="M9165" s="5"/>
    </row>
    <row r="9166" spans="13:13" ht="15" customHeight="1" x14ac:dyDescent="0.3">
      <c r="M9166" s="5"/>
    </row>
    <row r="9167" spans="13:13" ht="15" customHeight="1" x14ac:dyDescent="0.3">
      <c r="M9167" s="5"/>
    </row>
    <row r="9168" spans="13:13" ht="15" customHeight="1" x14ac:dyDescent="0.3">
      <c r="M9168" s="5"/>
    </row>
    <row r="9169" spans="13:13" ht="15" customHeight="1" x14ac:dyDescent="0.3">
      <c r="M9169" s="5"/>
    </row>
    <row r="9170" spans="13:13" ht="15" customHeight="1" x14ac:dyDescent="0.3">
      <c r="M9170" s="5"/>
    </row>
    <row r="9171" spans="13:13" ht="15" customHeight="1" x14ac:dyDescent="0.3">
      <c r="M9171" s="5"/>
    </row>
    <row r="9172" spans="13:13" ht="15" customHeight="1" x14ac:dyDescent="0.3">
      <c r="M9172" s="5"/>
    </row>
    <row r="9173" spans="13:13" ht="15" customHeight="1" x14ac:dyDescent="0.3">
      <c r="M9173" s="5"/>
    </row>
    <row r="9174" spans="13:13" ht="15" customHeight="1" x14ac:dyDescent="0.3">
      <c r="M9174" s="5"/>
    </row>
    <row r="9175" spans="13:13" ht="15" customHeight="1" x14ac:dyDescent="0.3">
      <c r="M9175" s="5"/>
    </row>
    <row r="9176" spans="13:13" ht="15" customHeight="1" x14ac:dyDescent="0.3">
      <c r="M9176" s="5"/>
    </row>
    <row r="9177" spans="13:13" ht="15" customHeight="1" x14ac:dyDescent="0.3">
      <c r="M9177" s="5"/>
    </row>
    <row r="9178" spans="13:13" ht="15" customHeight="1" x14ac:dyDescent="0.3">
      <c r="M9178" s="5"/>
    </row>
    <row r="9179" spans="13:13" ht="15" customHeight="1" x14ac:dyDescent="0.3">
      <c r="M9179" s="5"/>
    </row>
    <row r="9180" spans="13:13" ht="15" customHeight="1" x14ac:dyDescent="0.3">
      <c r="M9180" s="5"/>
    </row>
    <row r="9181" spans="13:13" ht="15" customHeight="1" x14ac:dyDescent="0.3">
      <c r="M9181" s="5"/>
    </row>
    <row r="9182" spans="13:13" ht="15" customHeight="1" x14ac:dyDescent="0.3">
      <c r="M9182" s="5"/>
    </row>
    <row r="9183" spans="13:13" ht="15" customHeight="1" x14ac:dyDescent="0.3">
      <c r="M9183" s="5"/>
    </row>
    <row r="9184" spans="13:13" ht="15" customHeight="1" x14ac:dyDescent="0.3">
      <c r="M9184" s="5"/>
    </row>
    <row r="9185" spans="13:13" ht="15" customHeight="1" x14ac:dyDescent="0.3">
      <c r="M9185" s="5"/>
    </row>
    <row r="9186" spans="13:13" ht="15" customHeight="1" x14ac:dyDescent="0.3">
      <c r="M9186" s="5"/>
    </row>
    <row r="9187" spans="13:13" ht="15" customHeight="1" x14ac:dyDescent="0.3">
      <c r="M9187" s="5"/>
    </row>
    <row r="9188" spans="13:13" ht="15" customHeight="1" x14ac:dyDescent="0.3">
      <c r="M9188" s="5"/>
    </row>
    <row r="9189" spans="13:13" ht="15" customHeight="1" x14ac:dyDescent="0.3">
      <c r="M9189" s="5"/>
    </row>
    <row r="9190" spans="13:13" ht="15" customHeight="1" x14ac:dyDescent="0.3">
      <c r="M9190" s="5"/>
    </row>
    <row r="9191" spans="13:13" ht="15" customHeight="1" x14ac:dyDescent="0.3">
      <c r="M9191" s="5"/>
    </row>
    <row r="9192" spans="13:13" ht="15" customHeight="1" x14ac:dyDescent="0.3">
      <c r="M9192" s="5"/>
    </row>
    <row r="9193" spans="13:13" ht="15" customHeight="1" x14ac:dyDescent="0.3">
      <c r="M9193" s="5"/>
    </row>
    <row r="9194" spans="13:13" ht="15" customHeight="1" x14ac:dyDescent="0.3">
      <c r="M9194" s="5"/>
    </row>
    <row r="9195" spans="13:13" ht="15" customHeight="1" x14ac:dyDescent="0.3">
      <c r="M9195" s="5"/>
    </row>
    <row r="9196" spans="13:13" ht="15" customHeight="1" x14ac:dyDescent="0.3">
      <c r="M9196" s="5"/>
    </row>
    <row r="9197" spans="13:13" ht="15" customHeight="1" x14ac:dyDescent="0.3">
      <c r="M9197" s="5"/>
    </row>
    <row r="9198" spans="13:13" ht="15" customHeight="1" x14ac:dyDescent="0.3">
      <c r="M9198" s="5"/>
    </row>
    <row r="9199" spans="13:13" ht="15" customHeight="1" x14ac:dyDescent="0.3">
      <c r="M9199" s="5"/>
    </row>
    <row r="9200" spans="13:13" ht="15" customHeight="1" x14ac:dyDescent="0.3">
      <c r="M9200" s="5"/>
    </row>
    <row r="9201" spans="13:13" ht="15" customHeight="1" x14ac:dyDescent="0.3">
      <c r="M9201" s="5"/>
    </row>
    <row r="9202" spans="13:13" ht="15" customHeight="1" x14ac:dyDescent="0.3">
      <c r="M9202" s="5"/>
    </row>
    <row r="9203" spans="13:13" ht="15" customHeight="1" x14ac:dyDescent="0.3">
      <c r="M9203" s="5"/>
    </row>
    <row r="9204" spans="13:13" ht="15" customHeight="1" x14ac:dyDescent="0.3">
      <c r="M9204" s="5"/>
    </row>
    <row r="9205" spans="13:13" ht="15" customHeight="1" x14ac:dyDescent="0.3">
      <c r="M9205" s="5"/>
    </row>
    <row r="9206" spans="13:13" ht="15" customHeight="1" x14ac:dyDescent="0.3">
      <c r="M9206" s="5"/>
    </row>
    <row r="9207" spans="13:13" ht="15" customHeight="1" x14ac:dyDescent="0.3">
      <c r="M9207" s="5"/>
    </row>
    <row r="9208" spans="13:13" ht="15" customHeight="1" x14ac:dyDescent="0.3">
      <c r="M9208" s="5"/>
    </row>
    <row r="9209" spans="13:13" ht="15" customHeight="1" x14ac:dyDescent="0.3">
      <c r="M9209" s="5"/>
    </row>
    <row r="9210" spans="13:13" ht="15" customHeight="1" x14ac:dyDescent="0.3">
      <c r="M9210" s="5"/>
    </row>
    <row r="9211" spans="13:13" ht="15" customHeight="1" x14ac:dyDescent="0.3">
      <c r="M9211" s="5"/>
    </row>
    <row r="9212" spans="13:13" ht="15" customHeight="1" x14ac:dyDescent="0.3">
      <c r="M9212" s="5"/>
    </row>
    <row r="9213" spans="13:13" ht="15" customHeight="1" x14ac:dyDescent="0.3">
      <c r="M9213" s="5"/>
    </row>
    <row r="9214" spans="13:13" ht="15" customHeight="1" x14ac:dyDescent="0.3">
      <c r="M9214" s="5"/>
    </row>
    <row r="9215" spans="13:13" ht="15" customHeight="1" x14ac:dyDescent="0.3">
      <c r="M9215" s="5"/>
    </row>
    <row r="9216" spans="13:13" ht="15" customHeight="1" x14ac:dyDescent="0.3">
      <c r="M9216" s="5"/>
    </row>
    <row r="9217" spans="13:13" ht="15" customHeight="1" x14ac:dyDescent="0.3">
      <c r="M9217" s="5"/>
    </row>
    <row r="9218" spans="13:13" ht="15" customHeight="1" x14ac:dyDescent="0.3">
      <c r="M9218" s="5"/>
    </row>
    <row r="9219" spans="13:13" ht="15" customHeight="1" x14ac:dyDescent="0.3">
      <c r="M9219" s="5"/>
    </row>
    <row r="9220" spans="13:13" ht="15" customHeight="1" x14ac:dyDescent="0.3">
      <c r="M9220" s="5"/>
    </row>
    <row r="9221" spans="13:13" ht="15" customHeight="1" x14ac:dyDescent="0.3">
      <c r="M9221" s="5"/>
    </row>
    <row r="9222" spans="13:13" ht="15" customHeight="1" x14ac:dyDescent="0.3">
      <c r="M9222" s="5"/>
    </row>
    <row r="9223" spans="13:13" ht="15" customHeight="1" x14ac:dyDescent="0.3">
      <c r="M9223" s="5"/>
    </row>
    <row r="9224" spans="13:13" ht="15" customHeight="1" x14ac:dyDescent="0.3">
      <c r="M9224" s="5"/>
    </row>
    <row r="9225" spans="13:13" ht="15" customHeight="1" x14ac:dyDescent="0.3">
      <c r="M9225" s="5"/>
    </row>
    <row r="9226" spans="13:13" ht="15" customHeight="1" x14ac:dyDescent="0.3">
      <c r="M9226" s="5"/>
    </row>
    <row r="9227" spans="13:13" ht="15" customHeight="1" x14ac:dyDescent="0.3">
      <c r="M9227" s="5"/>
    </row>
    <row r="9228" spans="13:13" ht="15" customHeight="1" x14ac:dyDescent="0.3">
      <c r="M9228" s="5"/>
    </row>
    <row r="9229" spans="13:13" ht="15" customHeight="1" x14ac:dyDescent="0.3">
      <c r="M9229" s="5"/>
    </row>
    <row r="9230" spans="13:13" ht="15" customHeight="1" x14ac:dyDescent="0.3">
      <c r="M9230" s="5"/>
    </row>
    <row r="9231" spans="13:13" ht="15" customHeight="1" x14ac:dyDescent="0.3">
      <c r="M9231" s="5"/>
    </row>
    <row r="9232" spans="13:13" ht="15" customHeight="1" x14ac:dyDescent="0.3">
      <c r="M9232" s="5"/>
    </row>
    <row r="9233" spans="13:13" ht="15" customHeight="1" x14ac:dyDescent="0.3">
      <c r="M9233" s="5"/>
    </row>
    <row r="9234" spans="13:13" ht="15" customHeight="1" x14ac:dyDescent="0.3">
      <c r="M9234" s="5"/>
    </row>
    <row r="9235" spans="13:13" ht="15" customHeight="1" x14ac:dyDescent="0.3">
      <c r="M9235" s="5"/>
    </row>
    <row r="9236" spans="13:13" ht="15" customHeight="1" x14ac:dyDescent="0.3">
      <c r="M9236" s="5"/>
    </row>
    <row r="9237" spans="13:13" ht="15" customHeight="1" x14ac:dyDescent="0.3">
      <c r="M9237" s="5"/>
    </row>
    <row r="9238" spans="13:13" ht="15" customHeight="1" x14ac:dyDescent="0.3">
      <c r="M9238" s="5"/>
    </row>
    <row r="9239" spans="13:13" ht="15" customHeight="1" x14ac:dyDescent="0.3">
      <c r="M9239" s="5"/>
    </row>
    <row r="9240" spans="13:13" ht="15" customHeight="1" x14ac:dyDescent="0.3">
      <c r="M9240" s="5"/>
    </row>
    <row r="9241" spans="13:13" ht="15" customHeight="1" x14ac:dyDescent="0.3">
      <c r="M9241" s="5"/>
    </row>
    <row r="9242" spans="13:13" ht="15" customHeight="1" x14ac:dyDescent="0.3">
      <c r="M9242" s="5"/>
    </row>
    <row r="9243" spans="13:13" ht="15" customHeight="1" x14ac:dyDescent="0.3">
      <c r="M9243" s="5"/>
    </row>
    <row r="9244" spans="13:13" ht="15" customHeight="1" x14ac:dyDescent="0.3">
      <c r="M9244" s="5"/>
    </row>
    <row r="9245" spans="13:13" ht="15" customHeight="1" x14ac:dyDescent="0.3">
      <c r="M9245" s="5"/>
    </row>
    <row r="9246" spans="13:13" ht="15" customHeight="1" x14ac:dyDescent="0.3">
      <c r="M9246" s="5"/>
    </row>
    <row r="9247" spans="13:13" ht="15" customHeight="1" x14ac:dyDescent="0.3">
      <c r="M9247" s="5"/>
    </row>
    <row r="9248" spans="13:13" ht="15" customHeight="1" x14ac:dyDescent="0.3">
      <c r="M9248" s="5"/>
    </row>
    <row r="9249" spans="13:13" ht="15" customHeight="1" x14ac:dyDescent="0.3">
      <c r="M9249" s="5"/>
    </row>
    <row r="9250" spans="13:13" ht="15" customHeight="1" x14ac:dyDescent="0.3">
      <c r="M9250" s="5"/>
    </row>
    <row r="9251" spans="13:13" ht="15" customHeight="1" x14ac:dyDescent="0.3">
      <c r="M9251" s="5"/>
    </row>
    <row r="9252" spans="13:13" ht="15" customHeight="1" x14ac:dyDescent="0.3">
      <c r="M9252" s="5"/>
    </row>
    <row r="9253" spans="13:13" ht="15" customHeight="1" x14ac:dyDescent="0.3">
      <c r="M9253" s="5"/>
    </row>
    <row r="9254" spans="13:13" ht="15" customHeight="1" x14ac:dyDescent="0.3">
      <c r="M9254" s="5"/>
    </row>
    <row r="9255" spans="13:13" ht="15" customHeight="1" x14ac:dyDescent="0.3">
      <c r="M9255" s="5"/>
    </row>
    <row r="9256" spans="13:13" ht="15" customHeight="1" x14ac:dyDescent="0.3">
      <c r="M9256" s="5"/>
    </row>
    <row r="9257" spans="13:13" ht="15" customHeight="1" x14ac:dyDescent="0.3">
      <c r="M9257" s="5"/>
    </row>
    <row r="9258" spans="13:13" ht="15" customHeight="1" x14ac:dyDescent="0.3">
      <c r="M9258" s="5"/>
    </row>
    <row r="9259" spans="13:13" ht="15" customHeight="1" x14ac:dyDescent="0.3">
      <c r="M9259" s="5"/>
    </row>
    <row r="9260" spans="13:13" ht="15" customHeight="1" x14ac:dyDescent="0.3">
      <c r="M9260" s="5"/>
    </row>
    <row r="9261" spans="13:13" ht="15" customHeight="1" x14ac:dyDescent="0.3">
      <c r="M9261" s="5"/>
    </row>
    <row r="9262" spans="13:13" ht="15" customHeight="1" x14ac:dyDescent="0.3">
      <c r="M9262" s="5"/>
    </row>
    <row r="9263" spans="13:13" ht="15" customHeight="1" x14ac:dyDescent="0.3">
      <c r="M9263" s="5"/>
    </row>
    <row r="9264" spans="13:13" ht="15" customHeight="1" x14ac:dyDescent="0.3">
      <c r="M9264" s="5"/>
    </row>
    <row r="9265" spans="13:13" ht="15" customHeight="1" x14ac:dyDescent="0.3">
      <c r="M9265" s="5"/>
    </row>
    <row r="9266" spans="13:13" ht="15" customHeight="1" x14ac:dyDescent="0.3">
      <c r="M9266" s="5"/>
    </row>
    <row r="9267" spans="13:13" ht="15" customHeight="1" x14ac:dyDescent="0.3">
      <c r="M9267" s="5"/>
    </row>
    <row r="9268" spans="13:13" ht="15" customHeight="1" x14ac:dyDescent="0.3">
      <c r="M9268" s="5"/>
    </row>
    <row r="9269" spans="13:13" ht="15" customHeight="1" x14ac:dyDescent="0.3">
      <c r="M9269" s="5"/>
    </row>
    <row r="9270" spans="13:13" ht="15" customHeight="1" x14ac:dyDescent="0.3">
      <c r="M9270" s="5"/>
    </row>
    <row r="9271" spans="13:13" ht="15" customHeight="1" x14ac:dyDescent="0.3">
      <c r="M9271" s="5"/>
    </row>
    <row r="9272" spans="13:13" ht="15" customHeight="1" x14ac:dyDescent="0.3">
      <c r="M9272" s="5"/>
    </row>
    <row r="9273" spans="13:13" ht="15" customHeight="1" x14ac:dyDescent="0.3">
      <c r="M9273" s="5"/>
    </row>
    <row r="9274" spans="13:13" ht="15" customHeight="1" x14ac:dyDescent="0.3">
      <c r="M9274" s="5"/>
    </row>
    <row r="9275" spans="13:13" ht="15" customHeight="1" x14ac:dyDescent="0.3">
      <c r="M9275" s="5"/>
    </row>
    <row r="9276" spans="13:13" ht="15" customHeight="1" x14ac:dyDescent="0.3">
      <c r="M9276" s="5"/>
    </row>
    <row r="9277" spans="13:13" ht="15" customHeight="1" x14ac:dyDescent="0.3">
      <c r="M9277" s="5"/>
    </row>
    <row r="9278" spans="13:13" ht="15" customHeight="1" x14ac:dyDescent="0.3">
      <c r="M9278" s="5"/>
    </row>
    <row r="9279" spans="13:13" ht="15" customHeight="1" x14ac:dyDescent="0.3">
      <c r="M9279" s="5"/>
    </row>
    <row r="9280" spans="13:13" ht="15" customHeight="1" x14ac:dyDescent="0.3">
      <c r="M9280" s="5"/>
    </row>
    <row r="9281" spans="13:13" ht="15" customHeight="1" x14ac:dyDescent="0.3">
      <c r="M9281" s="5"/>
    </row>
    <row r="9282" spans="13:13" ht="15" customHeight="1" x14ac:dyDescent="0.3">
      <c r="M9282" s="5"/>
    </row>
    <row r="9283" spans="13:13" ht="15" customHeight="1" x14ac:dyDescent="0.3">
      <c r="M9283" s="5"/>
    </row>
    <row r="9284" spans="13:13" ht="15" customHeight="1" x14ac:dyDescent="0.3">
      <c r="M9284" s="5"/>
    </row>
    <row r="9285" spans="13:13" ht="15" customHeight="1" x14ac:dyDescent="0.3">
      <c r="M9285" s="5"/>
    </row>
    <row r="9286" spans="13:13" ht="15" customHeight="1" x14ac:dyDescent="0.3">
      <c r="M9286" s="5"/>
    </row>
    <row r="9287" spans="13:13" ht="15" customHeight="1" x14ac:dyDescent="0.3">
      <c r="M9287" s="5"/>
    </row>
    <row r="9288" spans="13:13" ht="15" customHeight="1" x14ac:dyDescent="0.3">
      <c r="M9288" s="5"/>
    </row>
    <row r="9289" spans="13:13" ht="15" customHeight="1" x14ac:dyDescent="0.3">
      <c r="M9289" s="5"/>
    </row>
    <row r="9290" spans="13:13" ht="15" customHeight="1" x14ac:dyDescent="0.3">
      <c r="M9290" s="5"/>
    </row>
    <row r="9291" spans="13:13" ht="15" customHeight="1" x14ac:dyDescent="0.3">
      <c r="M9291" s="5"/>
    </row>
    <row r="9292" spans="13:13" ht="15" customHeight="1" x14ac:dyDescent="0.3">
      <c r="M9292" s="5"/>
    </row>
    <row r="9293" spans="13:13" ht="15" customHeight="1" x14ac:dyDescent="0.3">
      <c r="M9293" s="5"/>
    </row>
    <row r="9294" spans="13:13" ht="15" customHeight="1" x14ac:dyDescent="0.3">
      <c r="M9294" s="5"/>
    </row>
    <row r="9295" spans="13:13" ht="15" customHeight="1" x14ac:dyDescent="0.3">
      <c r="M9295" s="5"/>
    </row>
    <row r="9296" spans="13:13" ht="15" customHeight="1" x14ac:dyDescent="0.3">
      <c r="M9296" s="5"/>
    </row>
    <row r="9297" spans="13:13" ht="15" customHeight="1" x14ac:dyDescent="0.3">
      <c r="M9297" s="5"/>
    </row>
    <row r="9298" spans="13:13" ht="15" customHeight="1" x14ac:dyDescent="0.3">
      <c r="M9298" s="5"/>
    </row>
    <row r="9299" spans="13:13" ht="15" customHeight="1" x14ac:dyDescent="0.3">
      <c r="M9299" s="5"/>
    </row>
    <row r="9300" spans="13:13" ht="15" customHeight="1" x14ac:dyDescent="0.3">
      <c r="M9300" s="5"/>
    </row>
    <row r="9301" spans="13:13" ht="15" customHeight="1" x14ac:dyDescent="0.3">
      <c r="M9301" s="5"/>
    </row>
    <row r="9302" spans="13:13" ht="15" customHeight="1" x14ac:dyDescent="0.3">
      <c r="M9302" s="5"/>
    </row>
    <row r="9303" spans="13:13" ht="15" customHeight="1" x14ac:dyDescent="0.3">
      <c r="M9303" s="5"/>
    </row>
    <row r="9304" spans="13:13" ht="15" customHeight="1" x14ac:dyDescent="0.3">
      <c r="M9304" s="5"/>
    </row>
    <row r="9305" spans="13:13" ht="15" customHeight="1" x14ac:dyDescent="0.3">
      <c r="M9305" s="5"/>
    </row>
    <row r="9306" spans="13:13" ht="15" customHeight="1" x14ac:dyDescent="0.3">
      <c r="M9306" s="5"/>
    </row>
    <row r="9307" spans="13:13" ht="15" customHeight="1" x14ac:dyDescent="0.3">
      <c r="M9307" s="5"/>
    </row>
    <row r="9308" spans="13:13" ht="15" customHeight="1" x14ac:dyDescent="0.3">
      <c r="M9308" s="5"/>
    </row>
    <row r="9309" spans="13:13" ht="15" customHeight="1" x14ac:dyDescent="0.3">
      <c r="M9309" s="5"/>
    </row>
    <row r="9310" spans="13:13" ht="15" customHeight="1" x14ac:dyDescent="0.3">
      <c r="M9310" s="5"/>
    </row>
    <row r="9311" spans="13:13" ht="15" customHeight="1" x14ac:dyDescent="0.3">
      <c r="M9311" s="5"/>
    </row>
    <row r="9312" spans="13:13" ht="15" customHeight="1" x14ac:dyDescent="0.3">
      <c r="M9312" s="5"/>
    </row>
    <row r="9313" spans="13:13" ht="15" customHeight="1" x14ac:dyDescent="0.3">
      <c r="M9313" s="5"/>
    </row>
    <row r="9314" spans="13:13" ht="15" customHeight="1" x14ac:dyDescent="0.3">
      <c r="M9314" s="5"/>
    </row>
    <row r="9315" spans="13:13" ht="15" customHeight="1" x14ac:dyDescent="0.3">
      <c r="M9315" s="5"/>
    </row>
    <row r="9316" spans="13:13" ht="15" customHeight="1" x14ac:dyDescent="0.3">
      <c r="M9316" s="5"/>
    </row>
    <row r="9317" spans="13:13" ht="15" customHeight="1" x14ac:dyDescent="0.3">
      <c r="M9317" s="5"/>
    </row>
    <row r="9318" spans="13:13" ht="15" customHeight="1" x14ac:dyDescent="0.3">
      <c r="M9318" s="5"/>
    </row>
    <row r="9319" spans="13:13" ht="15" customHeight="1" x14ac:dyDescent="0.3">
      <c r="M9319" s="5"/>
    </row>
    <row r="9320" spans="13:13" ht="15" customHeight="1" x14ac:dyDescent="0.3">
      <c r="M9320" s="5"/>
    </row>
    <row r="9321" spans="13:13" ht="15" customHeight="1" x14ac:dyDescent="0.3">
      <c r="M9321" s="5"/>
    </row>
    <row r="9322" spans="13:13" ht="15" customHeight="1" x14ac:dyDescent="0.3">
      <c r="M9322" s="5"/>
    </row>
    <row r="9323" spans="13:13" ht="15" customHeight="1" x14ac:dyDescent="0.3">
      <c r="M9323" s="5"/>
    </row>
    <row r="9324" spans="13:13" ht="15" customHeight="1" x14ac:dyDescent="0.3">
      <c r="M9324" s="5"/>
    </row>
    <row r="9325" spans="13:13" ht="15" customHeight="1" x14ac:dyDescent="0.3">
      <c r="M9325" s="5"/>
    </row>
    <row r="9326" spans="13:13" ht="15" customHeight="1" x14ac:dyDescent="0.3">
      <c r="M9326" s="5"/>
    </row>
    <row r="9327" spans="13:13" ht="15" customHeight="1" x14ac:dyDescent="0.3">
      <c r="M9327" s="5"/>
    </row>
    <row r="9328" spans="13:13" ht="15" customHeight="1" x14ac:dyDescent="0.3">
      <c r="M9328" s="5"/>
    </row>
    <row r="9329" spans="13:13" ht="15" customHeight="1" x14ac:dyDescent="0.3">
      <c r="M9329" s="5"/>
    </row>
    <row r="9330" spans="13:13" ht="15" customHeight="1" x14ac:dyDescent="0.3">
      <c r="M9330" s="5"/>
    </row>
    <row r="9331" spans="13:13" ht="15" customHeight="1" x14ac:dyDescent="0.3">
      <c r="M9331" s="5"/>
    </row>
    <row r="9332" spans="13:13" ht="15" customHeight="1" x14ac:dyDescent="0.3">
      <c r="M9332" s="5"/>
    </row>
    <row r="9333" spans="13:13" ht="15" customHeight="1" x14ac:dyDescent="0.3">
      <c r="M9333" s="5"/>
    </row>
    <row r="9334" spans="13:13" ht="15" customHeight="1" x14ac:dyDescent="0.3">
      <c r="M9334" s="5"/>
    </row>
    <row r="9335" spans="13:13" ht="15" customHeight="1" x14ac:dyDescent="0.3">
      <c r="M9335" s="5"/>
    </row>
    <row r="9336" spans="13:13" ht="15" customHeight="1" x14ac:dyDescent="0.3">
      <c r="M9336" s="5"/>
    </row>
    <row r="9337" spans="13:13" ht="15" customHeight="1" x14ac:dyDescent="0.3">
      <c r="M9337" s="5"/>
    </row>
    <row r="9338" spans="13:13" ht="15" customHeight="1" x14ac:dyDescent="0.3">
      <c r="M9338" s="5"/>
    </row>
    <row r="9339" spans="13:13" ht="15" customHeight="1" x14ac:dyDescent="0.3">
      <c r="M9339" s="5"/>
    </row>
    <row r="9340" spans="13:13" ht="15" customHeight="1" x14ac:dyDescent="0.3">
      <c r="M9340" s="5"/>
    </row>
    <row r="9341" spans="13:13" ht="15" customHeight="1" x14ac:dyDescent="0.3">
      <c r="M9341" s="5"/>
    </row>
    <row r="9342" spans="13:13" ht="15" customHeight="1" x14ac:dyDescent="0.3">
      <c r="M9342" s="5"/>
    </row>
    <row r="9343" spans="13:13" ht="15" customHeight="1" x14ac:dyDescent="0.3">
      <c r="M9343" s="5"/>
    </row>
    <row r="9344" spans="13:13" ht="15" customHeight="1" x14ac:dyDescent="0.3">
      <c r="M9344" s="5"/>
    </row>
    <row r="9345" spans="13:13" ht="15" customHeight="1" x14ac:dyDescent="0.3">
      <c r="M9345" s="5"/>
    </row>
    <row r="9346" spans="13:13" ht="15" customHeight="1" x14ac:dyDescent="0.3">
      <c r="M9346" s="5"/>
    </row>
    <row r="9347" spans="13:13" ht="15" customHeight="1" x14ac:dyDescent="0.3">
      <c r="M9347" s="5"/>
    </row>
    <row r="9348" spans="13:13" ht="15" customHeight="1" x14ac:dyDescent="0.3">
      <c r="M9348" s="5"/>
    </row>
    <row r="9349" spans="13:13" ht="15" customHeight="1" x14ac:dyDescent="0.3">
      <c r="M9349" s="5"/>
    </row>
    <row r="9350" spans="13:13" ht="15" customHeight="1" x14ac:dyDescent="0.3">
      <c r="M9350" s="5"/>
    </row>
    <row r="9351" spans="13:13" ht="15" customHeight="1" x14ac:dyDescent="0.3">
      <c r="M9351" s="5"/>
    </row>
    <row r="9352" spans="13:13" ht="15" customHeight="1" x14ac:dyDescent="0.3">
      <c r="M9352" s="5"/>
    </row>
    <row r="9353" spans="13:13" ht="15" customHeight="1" x14ac:dyDescent="0.3">
      <c r="M9353" s="5"/>
    </row>
    <row r="9354" spans="13:13" ht="15" customHeight="1" x14ac:dyDescent="0.3">
      <c r="M9354" s="5"/>
    </row>
    <row r="9355" spans="13:13" ht="15" customHeight="1" x14ac:dyDescent="0.3">
      <c r="M9355" s="5"/>
    </row>
    <row r="9356" spans="13:13" ht="15" customHeight="1" x14ac:dyDescent="0.3">
      <c r="M9356" s="5"/>
    </row>
    <row r="9357" spans="13:13" ht="15" customHeight="1" x14ac:dyDescent="0.3">
      <c r="M9357" s="5"/>
    </row>
    <row r="9358" spans="13:13" ht="15" customHeight="1" x14ac:dyDescent="0.3">
      <c r="M9358" s="5"/>
    </row>
    <row r="9359" spans="13:13" ht="15" customHeight="1" x14ac:dyDescent="0.3">
      <c r="M9359" s="5"/>
    </row>
    <row r="9360" spans="13:13" ht="15" customHeight="1" x14ac:dyDescent="0.3">
      <c r="M9360" s="5"/>
    </row>
    <row r="9361" spans="13:13" ht="15" customHeight="1" x14ac:dyDescent="0.3">
      <c r="M9361" s="5"/>
    </row>
    <row r="9362" spans="13:13" ht="15" customHeight="1" x14ac:dyDescent="0.3">
      <c r="M9362" s="5"/>
    </row>
    <row r="9363" spans="13:13" ht="15" customHeight="1" x14ac:dyDescent="0.3">
      <c r="M9363" s="5"/>
    </row>
    <row r="9364" spans="13:13" ht="15" customHeight="1" x14ac:dyDescent="0.3">
      <c r="M9364" s="5"/>
    </row>
    <row r="9365" spans="13:13" ht="15" customHeight="1" x14ac:dyDescent="0.3">
      <c r="M9365" s="5"/>
    </row>
    <row r="9366" spans="13:13" ht="15" customHeight="1" x14ac:dyDescent="0.3">
      <c r="M9366" s="5"/>
    </row>
    <row r="9367" spans="13:13" ht="15" customHeight="1" x14ac:dyDescent="0.3">
      <c r="M9367" s="5"/>
    </row>
    <row r="9368" spans="13:13" ht="15" customHeight="1" x14ac:dyDescent="0.3">
      <c r="M9368" s="5"/>
    </row>
    <row r="9369" spans="13:13" ht="15" customHeight="1" x14ac:dyDescent="0.3">
      <c r="M9369" s="5"/>
    </row>
    <row r="9370" spans="13:13" ht="15" customHeight="1" x14ac:dyDescent="0.3">
      <c r="M9370" s="5"/>
    </row>
    <row r="9371" spans="13:13" ht="15" customHeight="1" x14ac:dyDescent="0.3">
      <c r="M9371" s="5"/>
    </row>
    <row r="9372" spans="13:13" ht="15" customHeight="1" x14ac:dyDescent="0.3">
      <c r="M9372" s="5"/>
    </row>
    <row r="9373" spans="13:13" ht="15" customHeight="1" x14ac:dyDescent="0.3">
      <c r="M9373" s="5"/>
    </row>
    <row r="9374" spans="13:13" ht="15" customHeight="1" x14ac:dyDescent="0.3">
      <c r="M9374" s="5"/>
    </row>
    <row r="9375" spans="13:13" ht="15" customHeight="1" x14ac:dyDescent="0.3">
      <c r="M9375" s="5"/>
    </row>
    <row r="9376" spans="13:13" ht="15" customHeight="1" x14ac:dyDescent="0.3">
      <c r="M9376" s="5"/>
    </row>
    <row r="9377" spans="13:13" ht="15" customHeight="1" x14ac:dyDescent="0.3">
      <c r="M9377" s="5"/>
    </row>
    <row r="9378" spans="13:13" ht="15" customHeight="1" x14ac:dyDescent="0.3">
      <c r="M9378" s="5"/>
    </row>
    <row r="9379" spans="13:13" ht="15" customHeight="1" x14ac:dyDescent="0.3">
      <c r="M9379" s="5"/>
    </row>
    <row r="9380" spans="13:13" ht="15" customHeight="1" x14ac:dyDescent="0.3">
      <c r="M9380" s="5"/>
    </row>
    <row r="9381" spans="13:13" ht="15" customHeight="1" x14ac:dyDescent="0.3">
      <c r="M9381" s="5"/>
    </row>
    <row r="9382" spans="13:13" ht="15" customHeight="1" x14ac:dyDescent="0.3">
      <c r="M9382" s="5"/>
    </row>
    <row r="9383" spans="13:13" ht="15" customHeight="1" x14ac:dyDescent="0.3">
      <c r="M9383" s="5"/>
    </row>
    <row r="9384" spans="13:13" ht="15" customHeight="1" x14ac:dyDescent="0.3">
      <c r="M9384" s="5"/>
    </row>
    <row r="9385" spans="13:13" ht="15" customHeight="1" x14ac:dyDescent="0.3">
      <c r="M9385" s="5"/>
    </row>
    <row r="9386" spans="13:13" ht="15" customHeight="1" x14ac:dyDescent="0.3">
      <c r="M9386" s="5"/>
    </row>
    <row r="9387" spans="13:13" ht="15" customHeight="1" x14ac:dyDescent="0.3">
      <c r="M9387" s="5"/>
    </row>
    <row r="9388" spans="13:13" ht="15" customHeight="1" x14ac:dyDescent="0.3">
      <c r="M9388" s="5"/>
    </row>
    <row r="9389" spans="13:13" ht="15" customHeight="1" x14ac:dyDescent="0.3">
      <c r="M9389" s="5"/>
    </row>
    <row r="9390" spans="13:13" ht="15" customHeight="1" x14ac:dyDescent="0.3">
      <c r="M9390" s="5"/>
    </row>
    <row r="9391" spans="13:13" ht="15" customHeight="1" x14ac:dyDescent="0.3">
      <c r="M9391" s="5"/>
    </row>
    <row r="9392" spans="13:13" ht="15" customHeight="1" x14ac:dyDescent="0.3">
      <c r="M9392" s="5"/>
    </row>
    <row r="9393" spans="13:13" ht="15" customHeight="1" x14ac:dyDescent="0.3">
      <c r="M9393" s="5"/>
    </row>
    <row r="9394" spans="13:13" ht="15" customHeight="1" x14ac:dyDescent="0.3">
      <c r="M9394" s="5"/>
    </row>
    <row r="9395" spans="13:13" ht="15" customHeight="1" x14ac:dyDescent="0.3">
      <c r="M9395" s="5"/>
    </row>
    <row r="9396" spans="13:13" ht="15" customHeight="1" x14ac:dyDescent="0.3">
      <c r="M9396" s="5"/>
    </row>
    <row r="9397" spans="13:13" ht="15" customHeight="1" x14ac:dyDescent="0.3">
      <c r="M9397" s="5"/>
    </row>
    <row r="9398" spans="13:13" ht="15" customHeight="1" x14ac:dyDescent="0.3">
      <c r="M9398" s="5"/>
    </row>
    <row r="9399" spans="13:13" ht="15" customHeight="1" x14ac:dyDescent="0.3">
      <c r="M9399" s="5"/>
    </row>
    <row r="9400" spans="13:13" ht="15" customHeight="1" x14ac:dyDescent="0.3">
      <c r="M9400" s="5"/>
    </row>
    <row r="9401" spans="13:13" ht="15" customHeight="1" x14ac:dyDescent="0.3">
      <c r="M9401" s="5"/>
    </row>
    <row r="9402" spans="13:13" ht="15" customHeight="1" x14ac:dyDescent="0.3">
      <c r="M9402" s="5"/>
    </row>
    <row r="9403" spans="13:13" ht="15" customHeight="1" x14ac:dyDescent="0.3">
      <c r="M9403" s="5"/>
    </row>
    <row r="9404" spans="13:13" ht="15" customHeight="1" x14ac:dyDescent="0.3">
      <c r="M9404" s="5"/>
    </row>
    <row r="9405" spans="13:13" ht="15" customHeight="1" x14ac:dyDescent="0.3">
      <c r="M9405" s="5"/>
    </row>
    <row r="9406" spans="13:13" ht="15" customHeight="1" x14ac:dyDescent="0.3">
      <c r="M9406" s="5"/>
    </row>
    <row r="9407" spans="13:13" ht="15" customHeight="1" x14ac:dyDescent="0.3">
      <c r="M9407" s="5"/>
    </row>
    <row r="9408" spans="13:13" ht="15" customHeight="1" x14ac:dyDescent="0.3">
      <c r="M9408" s="5"/>
    </row>
    <row r="9409" spans="13:13" ht="15" customHeight="1" x14ac:dyDescent="0.3">
      <c r="M9409" s="5"/>
    </row>
    <row r="9410" spans="13:13" ht="15" customHeight="1" x14ac:dyDescent="0.3">
      <c r="M9410" s="5"/>
    </row>
    <row r="9411" spans="13:13" ht="15" customHeight="1" x14ac:dyDescent="0.3">
      <c r="M9411" s="5"/>
    </row>
    <row r="9412" spans="13:13" ht="15" customHeight="1" x14ac:dyDescent="0.3">
      <c r="M9412" s="5"/>
    </row>
    <row r="9413" spans="13:13" ht="15" customHeight="1" x14ac:dyDescent="0.3">
      <c r="M9413" s="5"/>
    </row>
    <row r="9414" spans="13:13" ht="15" customHeight="1" x14ac:dyDescent="0.3">
      <c r="M9414" s="5"/>
    </row>
    <row r="9415" spans="13:13" ht="15" customHeight="1" x14ac:dyDescent="0.3">
      <c r="M9415" s="5"/>
    </row>
    <row r="9416" spans="13:13" ht="15" customHeight="1" x14ac:dyDescent="0.3">
      <c r="M9416" s="5"/>
    </row>
    <row r="9417" spans="13:13" ht="15" customHeight="1" x14ac:dyDescent="0.3">
      <c r="M9417" s="5"/>
    </row>
    <row r="9418" spans="13:13" ht="15" customHeight="1" x14ac:dyDescent="0.3">
      <c r="M9418" s="5"/>
    </row>
    <row r="9419" spans="13:13" ht="15" customHeight="1" x14ac:dyDescent="0.3">
      <c r="M9419" s="5"/>
    </row>
    <row r="9420" spans="13:13" ht="15" customHeight="1" x14ac:dyDescent="0.3">
      <c r="M9420" s="5"/>
    </row>
    <row r="9421" spans="13:13" ht="15" customHeight="1" x14ac:dyDescent="0.3">
      <c r="M9421" s="5"/>
    </row>
    <row r="9422" spans="13:13" ht="15" customHeight="1" x14ac:dyDescent="0.3">
      <c r="M9422" s="5"/>
    </row>
    <row r="9423" spans="13:13" ht="15" customHeight="1" x14ac:dyDescent="0.3">
      <c r="M9423" s="5"/>
    </row>
    <row r="9424" spans="13:13" ht="15" customHeight="1" x14ac:dyDescent="0.3">
      <c r="M9424" s="5"/>
    </row>
    <row r="9425" spans="13:13" ht="15" customHeight="1" x14ac:dyDescent="0.3">
      <c r="M9425" s="5"/>
    </row>
    <row r="9426" spans="13:13" ht="15" customHeight="1" x14ac:dyDescent="0.3">
      <c r="M9426" s="5"/>
    </row>
    <row r="9427" spans="13:13" ht="15" customHeight="1" x14ac:dyDescent="0.3">
      <c r="M9427" s="5"/>
    </row>
    <row r="9428" spans="13:13" ht="15" customHeight="1" x14ac:dyDescent="0.3">
      <c r="M9428" s="5"/>
    </row>
    <row r="9429" spans="13:13" ht="15" customHeight="1" x14ac:dyDescent="0.3">
      <c r="M9429" s="5"/>
    </row>
    <row r="9430" spans="13:13" ht="15" customHeight="1" x14ac:dyDescent="0.3">
      <c r="M9430" s="5"/>
    </row>
    <row r="9431" spans="13:13" ht="15" customHeight="1" x14ac:dyDescent="0.3">
      <c r="M9431" s="5"/>
    </row>
    <row r="9432" spans="13:13" ht="15" customHeight="1" x14ac:dyDescent="0.3">
      <c r="M9432" s="5"/>
    </row>
    <row r="9433" spans="13:13" ht="15" customHeight="1" x14ac:dyDescent="0.3">
      <c r="M9433" s="5"/>
    </row>
    <row r="9434" spans="13:13" ht="15" customHeight="1" x14ac:dyDescent="0.3">
      <c r="M9434" s="5"/>
    </row>
    <row r="9435" spans="13:13" ht="15" customHeight="1" x14ac:dyDescent="0.3">
      <c r="M9435" s="5"/>
    </row>
    <row r="9436" spans="13:13" ht="15" customHeight="1" x14ac:dyDescent="0.3">
      <c r="M9436" s="5"/>
    </row>
    <row r="9437" spans="13:13" ht="15" customHeight="1" x14ac:dyDescent="0.3">
      <c r="M9437" s="5"/>
    </row>
    <row r="9438" spans="13:13" ht="15" customHeight="1" x14ac:dyDescent="0.3">
      <c r="M9438" s="5"/>
    </row>
    <row r="9439" spans="13:13" ht="15" customHeight="1" x14ac:dyDescent="0.3">
      <c r="M9439" s="5"/>
    </row>
    <row r="9440" spans="13:13" ht="15" customHeight="1" x14ac:dyDescent="0.3">
      <c r="M9440" s="5"/>
    </row>
    <row r="9441" spans="13:13" ht="15" customHeight="1" x14ac:dyDescent="0.3">
      <c r="M9441" s="5"/>
    </row>
    <row r="9442" spans="13:13" ht="15" customHeight="1" x14ac:dyDescent="0.3">
      <c r="M9442" s="5"/>
    </row>
    <row r="9443" spans="13:13" ht="15" customHeight="1" x14ac:dyDescent="0.3">
      <c r="M9443" s="5"/>
    </row>
    <row r="9444" spans="13:13" ht="15" customHeight="1" x14ac:dyDescent="0.3">
      <c r="M9444" s="5"/>
    </row>
    <row r="9445" spans="13:13" ht="15" customHeight="1" x14ac:dyDescent="0.3">
      <c r="M9445" s="5"/>
    </row>
    <row r="9446" spans="13:13" ht="15" customHeight="1" x14ac:dyDescent="0.3">
      <c r="M9446" s="5"/>
    </row>
    <row r="9447" spans="13:13" ht="15" customHeight="1" x14ac:dyDescent="0.3">
      <c r="M9447" s="5"/>
    </row>
    <row r="9448" spans="13:13" ht="15" customHeight="1" x14ac:dyDescent="0.3">
      <c r="M9448" s="5"/>
    </row>
    <row r="9449" spans="13:13" ht="15" customHeight="1" x14ac:dyDescent="0.3">
      <c r="M9449" s="5"/>
    </row>
    <row r="9450" spans="13:13" ht="15" customHeight="1" x14ac:dyDescent="0.3">
      <c r="M9450" s="5"/>
    </row>
    <row r="9451" spans="13:13" ht="15" customHeight="1" x14ac:dyDescent="0.3">
      <c r="M9451" s="5"/>
    </row>
    <row r="9452" spans="13:13" ht="15" customHeight="1" x14ac:dyDescent="0.3">
      <c r="M9452" s="5"/>
    </row>
    <row r="9453" spans="13:13" ht="15" customHeight="1" x14ac:dyDescent="0.3">
      <c r="M9453" s="5"/>
    </row>
    <row r="9454" spans="13:13" ht="15" customHeight="1" x14ac:dyDescent="0.3">
      <c r="M9454" s="5"/>
    </row>
    <row r="9455" spans="13:13" ht="15" customHeight="1" x14ac:dyDescent="0.3">
      <c r="M9455" s="5"/>
    </row>
    <row r="9456" spans="13:13" ht="15" customHeight="1" x14ac:dyDescent="0.3">
      <c r="M9456" s="5"/>
    </row>
    <row r="9457" spans="13:13" ht="15" customHeight="1" x14ac:dyDescent="0.3">
      <c r="M9457" s="5"/>
    </row>
    <row r="9458" spans="13:13" ht="15" customHeight="1" x14ac:dyDescent="0.3">
      <c r="M9458" s="5"/>
    </row>
    <row r="9459" spans="13:13" ht="15" customHeight="1" x14ac:dyDescent="0.3">
      <c r="M9459" s="5"/>
    </row>
    <row r="9460" spans="13:13" ht="15" customHeight="1" x14ac:dyDescent="0.3">
      <c r="M9460" s="5"/>
    </row>
    <row r="9461" spans="13:13" ht="15" customHeight="1" x14ac:dyDescent="0.3">
      <c r="M9461" s="5"/>
    </row>
    <row r="9462" spans="13:13" ht="15" customHeight="1" x14ac:dyDescent="0.3">
      <c r="M9462" s="5"/>
    </row>
    <row r="9463" spans="13:13" ht="15" customHeight="1" x14ac:dyDescent="0.3">
      <c r="M9463" s="5"/>
    </row>
    <row r="9464" spans="13:13" ht="15" customHeight="1" x14ac:dyDescent="0.3">
      <c r="M9464" s="5"/>
    </row>
    <row r="9465" spans="13:13" ht="15" customHeight="1" x14ac:dyDescent="0.3">
      <c r="M9465" s="5"/>
    </row>
    <row r="9466" spans="13:13" ht="15" customHeight="1" x14ac:dyDescent="0.3">
      <c r="M9466" s="5"/>
    </row>
    <row r="9467" spans="13:13" ht="15" customHeight="1" x14ac:dyDescent="0.3">
      <c r="M9467" s="5"/>
    </row>
    <row r="9468" spans="13:13" ht="15" customHeight="1" x14ac:dyDescent="0.3">
      <c r="M9468" s="5"/>
    </row>
    <row r="9469" spans="13:13" ht="15" customHeight="1" x14ac:dyDescent="0.3">
      <c r="M9469" s="5"/>
    </row>
    <row r="9470" spans="13:13" ht="15" customHeight="1" x14ac:dyDescent="0.3">
      <c r="M9470" s="5"/>
    </row>
    <row r="9471" spans="13:13" ht="15" customHeight="1" x14ac:dyDescent="0.3">
      <c r="M9471" s="5"/>
    </row>
    <row r="9472" spans="13:13" ht="15" customHeight="1" x14ac:dyDescent="0.3">
      <c r="M9472" s="5"/>
    </row>
    <row r="9473" spans="13:13" ht="15" customHeight="1" x14ac:dyDescent="0.3">
      <c r="M9473" s="5"/>
    </row>
    <row r="9474" spans="13:13" ht="15" customHeight="1" x14ac:dyDescent="0.3">
      <c r="M9474" s="5"/>
    </row>
    <row r="9475" spans="13:13" ht="15" customHeight="1" x14ac:dyDescent="0.3">
      <c r="M9475" s="5"/>
    </row>
    <row r="9476" spans="13:13" ht="15" customHeight="1" x14ac:dyDescent="0.3">
      <c r="M9476" s="5"/>
    </row>
    <row r="9477" spans="13:13" ht="15" customHeight="1" x14ac:dyDescent="0.3">
      <c r="M9477" s="5"/>
    </row>
    <row r="9478" spans="13:13" ht="15" customHeight="1" x14ac:dyDescent="0.3">
      <c r="M9478" s="5"/>
    </row>
    <row r="9479" spans="13:13" ht="15" customHeight="1" x14ac:dyDescent="0.3">
      <c r="M9479" s="5"/>
    </row>
    <row r="9480" spans="13:13" ht="15" customHeight="1" x14ac:dyDescent="0.3">
      <c r="M9480" s="5"/>
    </row>
    <row r="9481" spans="13:13" ht="15" customHeight="1" x14ac:dyDescent="0.3">
      <c r="M9481" s="5"/>
    </row>
    <row r="9482" spans="13:13" ht="15" customHeight="1" x14ac:dyDescent="0.3">
      <c r="M9482" s="5"/>
    </row>
    <row r="9483" spans="13:13" ht="15" customHeight="1" x14ac:dyDescent="0.3">
      <c r="M9483" s="5"/>
    </row>
    <row r="9484" spans="13:13" ht="15" customHeight="1" x14ac:dyDescent="0.3">
      <c r="M9484" s="5"/>
    </row>
    <row r="9485" spans="13:13" ht="15" customHeight="1" x14ac:dyDescent="0.3">
      <c r="M9485" s="5"/>
    </row>
    <row r="9486" spans="13:13" ht="15" customHeight="1" x14ac:dyDescent="0.3">
      <c r="M9486" s="5"/>
    </row>
    <row r="9487" spans="13:13" ht="15" customHeight="1" x14ac:dyDescent="0.3">
      <c r="M9487" s="5"/>
    </row>
    <row r="9488" spans="13:13" ht="15" customHeight="1" x14ac:dyDescent="0.3">
      <c r="M9488" s="5"/>
    </row>
    <row r="9489" spans="13:13" ht="15" customHeight="1" x14ac:dyDescent="0.3">
      <c r="M9489" s="5"/>
    </row>
    <row r="9490" spans="13:13" ht="15" customHeight="1" x14ac:dyDescent="0.3">
      <c r="M9490" s="5"/>
    </row>
    <row r="9491" spans="13:13" ht="15" customHeight="1" x14ac:dyDescent="0.3">
      <c r="M9491" s="5"/>
    </row>
    <row r="9492" spans="13:13" ht="15" customHeight="1" x14ac:dyDescent="0.3">
      <c r="M9492" s="5"/>
    </row>
    <row r="9493" spans="13:13" ht="15" customHeight="1" x14ac:dyDescent="0.3">
      <c r="M9493" s="5"/>
    </row>
    <row r="9494" spans="13:13" ht="15" customHeight="1" x14ac:dyDescent="0.3">
      <c r="M9494" s="5"/>
    </row>
    <row r="9495" spans="13:13" ht="15" customHeight="1" x14ac:dyDescent="0.3">
      <c r="M9495" s="5"/>
    </row>
    <row r="9496" spans="13:13" ht="15" customHeight="1" x14ac:dyDescent="0.3">
      <c r="M9496" s="5"/>
    </row>
    <row r="9497" spans="13:13" ht="15" customHeight="1" x14ac:dyDescent="0.3">
      <c r="M9497" s="5"/>
    </row>
    <row r="9498" spans="13:13" ht="15" customHeight="1" x14ac:dyDescent="0.3">
      <c r="M9498" s="5"/>
    </row>
    <row r="9499" spans="13:13" ht="15" customHeight="1" x14ac:dyDescent="0.3">
      <c r="M9499" s="5"/>
    </row>
    <row r="9500" spans="13:13" ht="15" customHeight="1" x14ac:dyDescent="0.3">
      <c r="M9500" s="5"/>
    </row>
    <row r="9501" spans="13:13" ht="15" customHeight="1" x14ac:dyDescent="0.3">
      <c r="M9501" s="5"/>
    </row>
    <row r="9502" spans="13:13" ht="15" customHeight="1" x14ac:dyDescent="0.3">
      <c r="M9502" s="5"/>
    </row>
    <row r="9503" spans="13:13" ht="15" customHeight="1" x14ac:dyDescent="0.3">
      <c r="M9503" s="5"/>
    </row>
    <row r="9504" spans="13:13" ht="15" customHeight="1" x14ac:dyDescent="0.3">
      <c r="M9504" s="5"/>
    </row>
    <row r="9505" spans="13:13" ht="15" customHeight="1" x14ac:dyDescent="0.3">
      <c r="M9505" s="5"/>
    </row>
    <row r="9506" spans="13:13" ht="15" customHeight="1" x14ac:dyDescent="0.3">
      <c r="M9506" s="5"/>
    </row>
    <row r="9507" spans="13:13" ht="15" customHeight="1" x14ac:dyDescent="0.3">
      <c r="M9507" s="5"/>
    </row>
    <row r="9508" spans="13:13" ht="15" customHeight="1" x14ac:dyDescent="0.3">
      <c r="M9508" s="5"/>
    </row>
    <row r="9509" spans="13:13" ht="15" customHeight="1" x14ac:dyDescent="0.3">
      <c r="M9509" s="5"/>
    </row>
    <row r="9510" spans="13:13" ht="15" customHeight="1" x14ac:dyDescent="0.3">
      <c r="M9510" s="5"/>
    </row>
    <row r="9511" spans="13:13" ht="15" customHeight="1" x14ac:dyDescent="0.3">
      <c r="M9511" s="5"/>
    </row>
    <row r="9512" spans="13:13" ht="15" customHeight="1" x14ac:dyDescent="0.3">
      <c r="M9512" s="5"/>
    </row>
    <row r="9513" spans="13:13" ht="15" customHeight="1" x14ac:dyDescent="0.3">
      <c r="M9513" s="5"/>
    </row>
    <row r="9514" spans="13:13" ht="15" customHeight="1" x14ac:dyDescent="0.3">
      <c r="M9514" s="5"/>
    </row>
    <row r="9515" spans="13:13" ht="15" customHeight="1" x14ac:dyDescent="0.3">
      <c r="M9515" s="5"/>
    </row>
    <row r="9516" spans="13:13" ht="15" customHeight="1" x14ac:dyDescent="0.3">
      <c r="M9516" s="5"/>
    </row>
    <row r="9517" spans="13:13" ht="15" customHeight="1" x14ac:dyDescent="0.3">
      <c r="M9517" s="5"/>
    </row>
    <row r="9518" spans="13:13" ht="15" customHeight="1" x14ac:dyDescent="0.3">
      <c r="M9518" s="5"/>
    </row>
    <row r="9519" spans="13:13" ht="15" customHeight="1" x14ac:dyDescent="0.3">
      <c r="M9519" s="5"/>
    </row>
    <row r="9520" spans="13:13" ht="15" customHeight="1" x14ac:dyDescent="0.3">
      <c r="M9520" s="5"/>
    </row>
    <row r="9521" spans="13:13" ht="15" customHeight="1" x14ac:dyDescent="0.3">
      <c r="M9521" s="5"/>
    </row>
    <row r="9522" spans="13:13" ht="15" customHeight="1" x14ac:dyDescent="0.3">
      <c r="M9522" s="5"/>
    </row>
    <row r="9523" spans="13:13" ht="15" customHeight="1" x14ac:dyDescent="0.3">
      <c r="M9523" s="5"/>
    </row>
    <row r="9524" spans="13:13" ht="15" customHeight="1" x14ac:dyDescent="0.3">
      <c r="M9524" s="5"/>
    </row>
    <row r="9525" spans="13:13" ht="15" customHeight="1" x14ac:dyDescent="0.3">
      <c r="M9525" s="5"/>
    </row>
    <row r="9526" spans="13:13" ht="15" customHeight="1" x14ac:dyDescent="0.3">
      <c r="M9526" s="5"/>
    </row>
    <row r="9527" spans="13:13" ht="15" customHeight="1" x14ac:dyDescent="0.3">
      <c r="M9527" s="5"/>
    </row>
    <row r="9528" spans="13:13" ht="15" customHeight="1" x14ac:dyDescent="0.3">
      <c r="M9528" s="5"/>
    </row>
    <row r="9529" spans="13:13" ht="15" customHeight="1" x14ac:dyDescent="0.3">
      <c r="M9529" s="5"/>
    </row>
    <row r="9530" spans="13:13" ht="15" customHeight="1" x14ac:dyDescent="0.3">
      <c r="M9530" s="5"/>
    </row>
    <row r="9531" spans="13:13" ht="15" customHeight="1" x14ac:dyDescent="0.3">
      <c r="M9531" s="5"/>
    </row>
    <row r="9532" spans="13:13" ht="15" customHeight="1" x14ac:dyDescent="0.3">
      <c r="M9532" s="5"/>
    </row>
    <row r="9533" spans="13:13" ht="15" customHeight="1" x14ac:dyDescent="0.3">
      <c r="M9533" s="5"/>
    </row>
    <row r="9534" spans="13:13" ht="15" customHeight="1" x14ac:dyDescent="0.3">
      <c r="M9534" s="5"/>
    </row>
    <row r="9535" spans="13:13" ht="15" customHeight="1" x14ac:dyDescent="0.3">
      <c r="M9535" s="5"/>
    </row>
    <row r="9536" spans="13:13" ht="15" customHeight="1" x14ac:dyDescent="0.3">
      <c r="M9536" s="5"/>
    </row>
    <row r="9537" spans="13:13" ht="15" customHeight="1" x14ac:dyDescent="0.3">
      <c r="M9537" s="5"/>
    </row>
    <row r="9538" spans="13:13" ht="15" customHeight="1" x14ac:dyDescent="0.3">
      <c r="M9538" s="5"/>
    </row>
    <row r="9539" spans="13:13" ht="15" customHeight="1" x14ac:dyDescent="0.3">
      <c r="M9539" s="5"/>
    </row>
    <row r="9540" spans="13:13" ht="15" customHeight="1" x14ac:dyDescent="0.3">
      <c r="M9540" s="5"/>
    </row>
    <row r="9541" spans="13:13" ht="15" customHeight="1" x14ac:dyDescent="0.3">
      <c r="M9541" s="5"/>
    </row>
    <row r="9542" spans="13:13" ht="15" customHeight="1" x14ac:dyDescent="0.3">
      <c r="M9542" s="5"/>
    </row>
    <row r="9543" spans="13:13" ht="15" customHeight="1" x14ac:dyDescent="0.3">
      <c r="M9543" s="5"/>
    </row>
    <row r="9544" spans="13:13" ht="15" customHeight="1" x14ac:dyDescent="0.3">
      <c r="M9544" s="5"/>
    </row>
    <row r="9545" spans="13:13" ht="15" customHeight="1" x14ac:dyDescent="0.3">
      <c r="M9545" s="5"/>
    </row>
    <row r="9546" spans="13:13" ht="15" customHeight="1" x14ac:dyDescent="0.3">
      <c r="M9546" s="5"/>
    </row>
    <row r="9547" spans="13:13" ht="15" customHeight="1" x14ac:dyDescent="0.3">
      <c r="M9547" s="5"/>
    </row>
    <row r="9548" spans="13:13" ht="15" customHeight="1" x14ac:dyDescent="0.3">
      <c r="M9548" s="5"/>
    </row>
    <row r="9549" spans="13:13" ht="15" customHeight="1" x14ac:dyDescent="0.3">
      <c r="M9549" s="5"/>
    </row>
    <row r="9550" spans="13:13" ht="15" customHeight="1" x14ac:dyDescent="0.3">
      <c r="M9550" s="5"/>
    </row>
    <row r="9551" spans="13:13" ht="15" customHeight="1" x14ac:dyDescent="0.3">
      <c r="M9551" s="5"/>
    </row>
    <row r="9552" spans="13:13" ht="15" customHeight="1" x14ac:dyDescent="0.3">
      <c r="M9552" s="5"/>
    </row>
    <row r="9553" spans="13:13" ht="15" customHeight="1" x14ac:dyDescent="0.3">
      <c r="M9553" s="5"/>
    </row>
    <row r="9554" spans="13:13" ht="15" customHeight="1" x14ac:dyDescent="0.3">
      <c r="M9554" s="5"/>
    </row>
    <row r="9555" spans="13:13" ht="15" customHeight="1" x14ac:dyDescent="0.3">
      <c r="M9555" s="5"/>
    </row>
    <row r="9556" spans="13:13" ht="15" customHeight="1" x14ac:dyDescent="0.3">
      <c r="M9556" s="5"/>
    </row>
    <row r="9557" spans="13:13" ht="15" customHeight="1" x14ac:dyDescent="0.3">
      <c r="M9557" s="5"/>
    </row>
    <row r="9558" spans="13:13" ht="15" customHeight="1" x14ac:dyDescent="0.3">
      <c r="M9558" s="5"/>
    </row>
    <row r="9559" spans="13:13" ht="15" customHeight="1" x14ac:dyDescent="0.3">
      <c r="M9559" s="5"/>
    </row>
    <row r="9560" spans="13:13" ht="15" customHeight="1" x14ac:dyDescent="0.3">
      <c r="M9560" s="5"/>
    </row>
    <row r="9561" spans="13:13" ht="15" customHeight="1" x14ac:dyDescent="0.3">
      <c r="M9561" s="5"/>
    </row>
    <row r="9562" spans="13:13" ht="15" customHeight="1" x14ac:dyDescent="0.3">
      <c r="M9562" s="5"/>
    </row>
    <row r="9563" spans="13:13" ht="15" customHeight="1" x14ac:dyDescent="0.3">
      <c r="M9563" s="5"/>
    </row>
    <row r="9564" spans="13:13" ht="15" customHeight="1" x14ac:dyDescent="0.3">
      <c r="M9564" s="5"/>
    </row>
    <row r="9565" spans="13:13" ht="15" customHeight="1" x14ac:dyDescent="0.3">
      <c r="M9565" s="5"/>
    </row>
    <row r="9566" spans="13:13" ht="15" customHeight="1" x14ac:dyDescent="0.3">
      <c r="M9566" s="5"/>
    </row>
    <row r="9567" spans="13:13" ht="15" customHeight="1" x14ac:dyDescent="0.3">
      <c r="M9567" s="5"/>
    </row>
    <row r="9568" spans="13:13" ht="15" customHeight="1" x14ac:dyDescent="0.3">
      <c r="M9568" s="5"/>
    </row>
    <row r="9569" spans="13:13" ht="15" customHeight="1" x14ac:dyDescent="0.3">
      <c r="M9569" s="5"/>
    </row>
    <row r="9570" spans="13:13" ht="15" customHeight="1" x14ac:dyDescent="0.3">
      <c r="M9570" s="5"/>
    </row>
    <row r="9571" spans="13:13" ht="15" customHeight="1" x14ac:dyDescent="0.3">
      <c r="M9571" s="5"/>
    </row>
    <row r="9572" spans="13:13" ht="15" customHeight="1" x14ac:dyDescent="0.3">
      <c r="M9572" s="5"/>
    </row>
    <row r="9573" spans="13:13" ht="15" customHeight="1" x14ac:dyDescent="0.3">
      <c r="M9573" s="5"/>
    </row>
    <row r="9574" spans="13:13" ht="15" customHeight="1" x14ac:dyDescent="0.3">
      <c r="M9574" s="5"/>
    </row>
    <row r="9575" spans="13:13" ht="15" customHeight="1" x14ac:dyDescent="0.3">
      <c r="M9575" s="5"/>
    </row>
    <row r="9576" spans="13:13" ht="15" customHeight="1" x14ac:dyDescent="0.3">
      <c r="M9576" s="5"/>
    </row>
    <row r="9577" spans="13:13" ht="15" customHeight="1" x14ac:dyDescent="0.3">
      <c r="M9577" s="5"/>
    </row>
    <row r="9578" spans="13:13" ht="15" customHeight="1" x14ac:dyDescent="0.3">
      <c r="M9578" s="5"/>
    </row>
    <row r="9579" spans="13:13" ht="15" customHeight="1" x14ac:dyDescent="0.3">
      <c r="M9579" s="5"/>
    </row>
    <row r="9580" spans="13:13" ht="15" customHeight="1" x14ac:dyDescent="0.3">
      <c r="M9580" s="5"/>
    </row>
    <row r="9581" spans="13:13" ht="15" customHeight="1" x14ac:dyDescent="0.3">
      <c r="M9581" s="5"/>
    </row>
    <row r="9582" spans="13:13" ht="15" customHeight="1" x14ac:dyDescent="0.3">
      <c r="M9582" s="5"/>
    </row>
    <row r="9583" spans="13:13" ht="15" customHeight="1" x14ac:dyDescent="0.3">
      <c r="M9583" s="5"/>
    </row>
    <row r="9584" spans="13:13" ht="15" customHeight="1" x14ac:dyDescent="0.3">
      <c r="M9584" s="5"/>
    </row>
    <row r="9585" spans="13:13" ht="15" customHeight="1" x14ac:dyDescent="0.3">
      <c r="M9585" s="5"/>
    </row>
    <row r="9586" spans="13:13" ht="15" customHeight="1" x14ac:dyDescent="0.3">
      <c r="M9586" s="5"/>
    </row>
    <row r="9587" spans="13:13" ht="15" customHeight="1" x14ac:dyDescent="0.3">
      <c r="M9587" s="5"/>
    </row>
    <row r="9588" spans="13:13" ht="15" customHeight="1" x14ac:dyDescent="0.3">
      <c r="M9588" s="5"/>
    </row>
    <row r="9589" spans="13:13" ht="15" customHeight="1" x14ac:dyDescent="0.3">
      <c r="M9589" s="5"/>
    </row>
    <row r="9590" spans="13:13" ht="15" customHeight="1" x14ac:dyDescent="0.3">
      <c r="M9590" s="5"/>
    </row>
    <row r="9591" spans="13:13" ht="15" customHeight="1" x14ac:dyDescent="0.3">
      <c r="M9591" s="5"/>
    </row>
    <row r="9592" spans="13:13" ht="15" customHeight="1" x14ac:dyDescent="0.3">
      <c r="M9592" s="5"/>
    </row>
    <row r="9593" spans="13:13" ht="15" customHeight="1" x14ac:dyDescent="0.3">
      <c r="M9593" s="5"/>
    </row>
    <row r="9594" spans="13:13" ht="15" customHeight="1" x14ac:dyDescent="0.3">
      <c r="M9594" s="5"/>
    </row>
    <row r="9595" spans="13:13" ht="15" customHeight="1" x14ac:dyDescent="0.3">
      <c r="M9595" s="5"/>
    </row>
    <row r="9596" spans="13:13" ht="15" customHeight="1" x14ac:dyDescent="0.3">
      <c r="M9596" s="5"/>
    </row>
    <row r="9597" spans="13:13" ht="15" customHeight="1" x14ac:dyDescent="0.3">
      <c r="M9597" s="5"/>
    </row>
    <row r="9598" spans="13:13" ht="15" customHeight="1" x14ac:dyDescent="0.3">
      <c r="M9598" s="5"/>
    </row>
    <row r="9599" spans="13:13" ht="15" customHeight="1" x14ac:dyDescent="0.3">
      <c r="M9599" s="5"/>
    </row>
    <row r="9600" spans="13:13" ht="15" customHeight="1" x14ac:dyDescent="0.3">
      <c r="M9600" s="5"/>
    </row>
    <row r="9601" spans="13:13" ht="15" customHeight="1" x14ac:dyDescent="0.3">
      <c r="M9601" s="5"/>
    </row>
    <row r="9602" spans="13:13" ht="15" customHeight="1" x14ac:dyDescent="0.3">
      <c r="M9602" s="5"/>
    </row>
    <row r="9603" spans="13:13" ht="15" customHeight="1" x14ac:dyDescent="0.3">
      <c r="M9603" s="5"/>
    </row>
    <row r="9604" spans="13:13" ht="15" customHeight="1" x14ac:dyDescent="0.3">
      <c r="M9604" s="5"/>
    </row>
    <row r="9605" spans="13:13" ht="15" customHeight="1" x14ac:dyDescent="0.3">
      <c r="M9605" s="5"/>
    </row>
    <row r="9606" spans="13:13" ht="15" customHeight="1" x14ac:dyDescent="0.3">
      <c r="M9606" s="5"/>
    </row>
    <row r="9607" spans="13:13" ht="15" customHeight="1" x14ac:dyDescent="0.3">
      <c r="M9607" s="5"/>
    </row>
    <row r="9608" spans="13:13" ht="15" customHeight="1" x14ac:dyDescent="0.3">
      <c r="M9608" s="5"/>
    </row>
    <row r="9609" spans="13:13" ht="15" customHeight="1" x14ac:dyDescent="0.3">
      <c r="M9609" s="5"/>
    </row>
    <row r="9610" spans="13:13" ht="15" customHeight="1" x14ac:dyDescent="0.3">
      <c r="M9610" s="5"/>
    </row>
    <row r="9611" spans="13:13" ht="15" customHeight="1" x14ac:dyDescent="0.3">
      <c r="M9611" s="5"/>
    </row>
    <row r="9612" spans="13:13" ht="15" customHeight="1" x14ac:dyDescent="0.3">
      <c r="M9612" s="5"/>
    </row>
    <row r="9613" spans="13:13" ht="15" customHeight="1" x14ac:dyDescent="0.3">
      <c r="M9613" s="5"/>
    </row>
    <row r="9614" spans="13:13" ht="15" customHeight="1" x14ac:dyDescent="0.3">
      <c r="M9614" s="5"/>
    </row>
    <row r="9615" spans="13:13" ht="15" customHeight="1" x14ac:dyDescent="0.3">
      <c r="M9615" s="5"/>
    </row>
    <row r="9616" spans="13:13" ht="15" customHeight="1" x14ac:dyDescent="0.3">
      <c r="M9616" s="5"/>
    </row>
    <row r="9617" spans="13:13" ht="15" customHeight="1" x14ac:dyDescent="0.3">
      <c r="M9617" s="5"/>
    </row>
    <row r="9618" spans="13:13" ht="15" customHeight="1" x14ac:dyDescent="0.3">
      <c r="M9618" s="5"/>
    </row>
    <row r="9619" spans="13:13" ht="15" customHeight="1" x14ac:dyDescent="0.3">
      <c r="M9619" s="5"/>
    </row>
    <row r="9620" spans="13:13" ht="15" customHeight="1" x14ac:dyDescent="0.3">
      <c r="M9620" s="5"/>
    </row>
    <row r="9621" spans="13:13" ht="15" customHeight="1" x14ac:dyDescent="0.3">
      <c r="M9621" s="5"/>
    </row>
    <row r="9622" spans="13:13" ht="15" customHeight="1" x14ac:dyDescent="0.3">
      <c r="M9622" s="5"/>
    </row>
    <row r="9623" spans="13:13" ht="15" customHeight="1" x14ac:dyDescent="0.3">
      <c r="M9623" s="5"/>
    </row>
    <row r="9624" spans="13:13" ht="15" customHeight="1" x14ac:dyDescent="0.3">
      <c r="M9624" s="5"/>
    </row>
    <row r="9625" spans="13:13" ht="15" customHeight="1" x14ac:dyDescent="0.3">
      <c r="M9625" s="5"/>
    </row>
    <row r="9626" spans="13:13" ht="15" customHeight="1" x14ac:dyDescent="0.3">
      <c r="M9626" s="5"/>
    </row>
    <row r="9627" spans="13:13" ht="15" customHeight="1" x14ac:dyDescent="0.3">
      <c r="M9627" s="5"/>
    </row>
    <row r="9628" spans="13:13" ht="15" customHeight="1" x14ac:dyDescent="0.3">
      <c r="M9628" s="5"/>
    </row>
    <row r="9629" spans="13:13" ht="15" customHeight="1" x14ac:dyDescent="0.3">
      <c r="M9629" s="5"/>
    </row>
    <row r="9630" spans="13:13" ht="15" customHeight="1" x14ac:dyDescent="0.3">
      <c r="M9630" s="5"/>
    </row>
    <row r="9631" spans="13:13" ht="15" customHeight="1" x14ac:dyDescent="0.3">
      <c r="M9631" s="5"/>
    </row>
    <row r="9632" spans="13:13" ht="15" customHeight="1" x14ac:dyDescent="0.3">
      <c r="M9632" s="5"/>
    </row>
    <row r="9633" spans="13:13" ht="15" customHeight="1" x14ac:dyDescent="0.3">
      <c r="M9633" s="5"/>
    </row>
    <row r="9634" spans="13:13" ht="15" customHeight="1" x14ac:dyDescent="0.3">
      <c r="M9634" s="5"/>
    </row>
    <row r="9635" spans="13:13" ht="15" customHeight="1" x14ac:dyDescent="0.3">
      <c r="M9635" s="5"/>
    </row>
    <row r="9636" spans="13:13" ht="15" customHeight="1" x14ac:dyDescent="0.3">
      <c r="M9636" s="5"/>
    </row>
    <row r="9637" spans="13:13" ht="15" customHeight="1" x14ac:dyDescent="0.3">
      <c r="M9637" s="5"/>
    </row>
    <row r="9638" spans="13:13" ht="15" customHeight="1" x14ac:dyDescent="0.3">
      <c r="M9638" s="5"/>
    </row>
    <row r="9639" spans="13:13" ht="15" customHeight="1" x14ac:dyDescent="0.3">
      <c r="M9639" s="5"/>
    </row>
    <row r="9640" spans="13:13" ht="15" customHeight="1" x14ac:dyDescent="0.3">
      <c r="M9640" s="5"/>
    </row>
    <row r="9641" spans="13:13" ht="15" customHeight="1" x14ac:dyDescent="0.3">
      <c r="M9641" s="5"/>
    </row>
    <row r="9642" spans="13:13" ht="15" customHeight="1" x14ac:dyDescent="0.3">
      <c r="M9642" s="5"/>
    </row>
    <row r="9643" spans="13:13" ht="15" customHeight="1" x14ac:dyDescent="0.3">
      <c r="M9643" s="5"/>
    </row>
    <row r="9644" spans="13:13" ht="15" customHeight="1" x14ac:dyDescent="0.3">
      <c r="M9644" s="5"/>
    </row>
    <row r="9645" spans="13:13" ht="15" customHeight="1" x14ac:dyDescent="0.3">
      <c r="M9645" s="5"/>
    </row>
    <row r="9646" spans="13:13" ht="15" customHeight="1" x14ac:dyDescent="0.3">
      <c r="M9646" s="5"/>
    </row>
    <row r="9647" spans="13:13" ht="15" customHeight="1" x14ac:dyDescent="0.3">
      <c r="M9647" s="5"/>
    </row>
    <row r="9648" spans="13:13" ht="15" customHeight="1" x14ac:dyDescent="0.3">
      <c r="M9648" s="5"/>
    </row>
    <row r="9649" spans="13:13" ht="15" customHeight="1" x14ac:dyDescent="0.3">
      <c r="M9649" s="5"/>
    </row>
    <row r="9650" spans="13:13" ht="15" customHeight="1" x14ac:dyDescent="0.3">
      <c r="M9650" s="5"/>
    </row>
    <row r="9651" spans="13:13" ht="15" customHeight="1" x14ac:dyDescent="0.3">
      <c r="M9651" s="5"/>
    </row>
    <row r="9652" spans="13:13" ht="15" customHeight="1" x14ac:dyDescent="0.3">
      <c r="M9652" s="5"/>
    </row>
    <row r="9653" spans="13:13" ht="15" customHeight="1" x14ac:dyDescent="0.3">
      <c r="M9653" s="5"/>
    </row>
    <row r="9654" spans="13:13" ht="15" customHeight="1" x14ac:dyDescent="0.3">
      <c r="M9654" s="5"/>
    </row>
    <row r="9655" spans="13:13" ht="15" customHeight="1" x14ac:dyDescent="0.3">
      <c r="M9655" s="5"/>
    </row>
    <row r="9656" spans="13:13" ht="15" customHeight="1" x14ac:dyDescent="0.3">
      <c r="M9656" s="5"/>
    </row>
    <row r="9657" spans="13:13" ht="15" customHeight="1" x14ac:dyDescent="0.3">
      <c r="M9657" s="5"/>
    </row>
    <row r="9658" spans="13:13" ht="15" customHeight="1" x14ac:dyDescent="0.3">
      <c r="M9658" s="5"/>
    </row>
    <row r="9659" spans="13:13" ht="15" customHeight="1" x14ac:dyDescent="0.3">
      <c r="M9659" s="5"/>
    </row>
    <row r="9660" spans="13:13" ht="15" customHeight="1" x14ac:dyDescent="0.3">
      <c r="M9660" s="5"/>
    </row>
    <row r="9661" spans="13:13" ht="15" customHeight="1" x14ac:dyDescent="0.3">
      <c r="M9661" s="5"/>
    </row>
    <row r="9662" spans="13:13" ht="15" customHeight="1" x14ac:dyDescent="0.3">
      <c r="M9662" s="5"/>
    </row>
    <row r="9663" spans="13:13" ht="15" customHeight="1" x14ac:dyDescent="0.3">
      <c r="M9663" s="5"/>
    </row>
    <row r="9664" spans="13:13" ht="15" customHeight="1" x14ac:dyDescent="0.3">
      <c r="M9664" s="5"/>
    </row>
    <row r="9665" spans="13:13" ht="15" customHeight="1" x14ac:dyDescent="0.3">
      <c r="M9665" s="5"/>
    </row>
    <row r="9666" spans="13:13" ht="15" customHeight="1" x14ac:dyDescent="0.3">
      <c r="M9666" s="5"/>
    </row>
    <row r="9667" spans="13:13" ht="15" customHeight="1" x14ac:dyDescent="0.3">
      <c r="M9667" s="5"/>
    </row>
    <row r="9668" spans="13:13" ht="15" customHeight="1" x14ac:dyDescent="0.3">
      <c r="M9668" s="5"/>
    </row>
    <row r="9669" spans="13:13" ht="15" customHeight="1" x14ac:dyDescent="0.3">
      <c r="M9669" s="5"/>
    </row>
    <row r="9670" spans="13:13" ht="15" customHeight="1" x14ac:dyDescent="0.3">
      <c r="M9670" s="5"/>
    </row>
    <row r="9671" spans="13:13" ht="15" customHeight="1" x14ac:dyDescent="0.3">
      <c r="M9671" s="5"/>
    </row>
    <row r="9672" spans="13:13" ht="15" customHeight="1" x14ac:dyDescent="0.3">
      <c r="M9672" s="5"/>
    </row>
    <row r="9673" spans="13:13" ht="15" customHeight="1" x14ac:dyDescent="0.3">
      <c r="M9673" s="5"/>
    </row>
    <row r="9674" spans="13:13" ht="15" customHeight="1" x14ac:dyDescent="0.3">
      <c r="M9674" s="5"/>
    </row>
    <row r="9675" spans="13:13" ht="15" customHeight="1" x14ac:dyDescent="0.3">
      <c r="M9675" s="5"/>
    </row>
    <row r="9676" spans="13:13" ht="15" customHeight="1" x14ac:dyDescent="0.3">
      <c r="M9676" s="5"/>
    </row>
    <row r="9677" spans="13:13" ht="15" customHeight="1" x14ac:dyDescent="0.3">
      <c r="M9677" s="5"/>
    </row>
    <row r="9678" spans="13:13" ht="15" customHeight="1" x14ac:dyDescent="0.3">
      <c r="M9678" s="5"/>
    </row>
    <row r="9679" spans="13:13" ht="15" customHeight="1" x14ac:dyDescent="0.3">
      <c r="M9679" s="5"/>
    </row>
    <row r="9680" spans="13:13" ht="15" customHeight="1" x14ac:dyDescent="0.3">
      <c r="M9680" s="5"/>
    </row>
    <row r="9681" spans="13:13" ht="15" customHeight="1" x14ac:dyDescent="0.3">
      <c r="M9681" s="5"/>
    </row>
    <row r="9682" spans="13:13" ht="15" customHeight="1" x14ac:dyDescent="0.3">
      <c r="M9682" s="5"/>
    </row>
    <row r="9683" spans="13:13" ht="15" customHeight="1" x14ac:dyDescent="0.3">
      <c r="M9683" s="5"/>
    </row>
    <row r="9684" spans="13:13" ht="15" customHeight="1" x14ac:dyDescent="0.3">
      <c r="M9684" s="5"/>
    </row>
    <row r="9685" spans="13:13" ht="15" customHeight="1" x14ac:dyDescent="0.3">
      <c r="M9685" s="5"/>
    </row>
    <row r="9686" spans="13:13" ht="15" customHeight="1" x14ac:dyDescent="0.3">
      <c r="M9686" s="5"/>
    </row>
    <row r="9687" spans="13:13" ht="15" customHeight="1" x14ac:dyDescent="0.3">
      <c r="M9687" s="5"/>
    </row>
    <row r="9688" spans="13:13" ht="15" customHeight="1" x14ac:dyDescent="0.3">
      <c r="M9688" s="5"/>
    </row>
    <row r="9689" spans="13:13" ht="15" customHeight="1" x14ac:dyDescent="0.3">
      <c r="M9689" s="5"/>
    </row>
    <row r="9690" spans="13:13" ht="15" customHeight="1" x14ac:dyDescent="0.3">
      <c r="M9690" s="5"/>
    </row>
    <row r="9691" spans="13:13" ht="15" customHeight="1" x14ac:dyDescent="0.3">
      <c r="M9691" s="5"/>
    </row>
    <row r="9692" spans="13:13" ht="15" customHeight="1" x14ac:dyDescent="0.3">
      <c r="M9692" s="5"/>
    </row>
    <row r="9693" spans="13:13" ht="15" customHeight="1" x14ac:dyDescent="0.3">
      <c r="M9693" s="5"/>
    </row>
    <row r="9694" spans="13:13" ht="15" customHeight="1" x14ac:dyDescent="0.3">
      <c r="M9694" s="5"/>
    </row>
    <row r="9695" spans="13:13" ht="15" customHeight="1" x14ac:dyDescent="0.3">
      <c r="M9695" s="5"/>
    </row>
    <row r="9696" spans="13:13" ht="15" customHeight="1" x14ac:dyDescent="0.3">
      <c r="M9696" s="5"/>
    </row>
    <row r="9697" spans="13:13" ht="15" customHeight="1" x14ac:dyDescent="0.3">
      <c r="M9697" s="5"/>
    </row>
    <row r="9698" spans="13:13" ht="15" customHeight="1" x14ac:dyDescent="0.3">
      <c r="M9698" s="5"/>
    </row>
    <row r="9699" spans="13:13" ht="15" customHeight="1" x14ac:dyDescent="0.3">
      <c r="M9699" s="5"/>
    </row>
    <row r="9700" spans="13:13" ht="15" customHeight="1" x14ac:dyDescent="0.3">
      <c r="M9700" s="5"/>
    </row>
    <row r="9701" spans="13:13" ht="15" customHeight="1" x14ac:dyDescent="0.3">
      <c r="M9701" s="5"/>
    </row>
    <row r="9702" spans="13:13" ht="15" customHeight="1" x14ac:dyDescent="0.3">
      <c r="M9702" s="5"/>
    </row>
    <row r="9703" spans="13:13" ht="15" customHeight="1" x14ac:dyDescent="0.3">
      <c r="M9703" s="5"/>
    </row>
    <row r="9704" spans="13:13" ht="15" customHeight="1" x14ac:dyDescent="0.3">
      <c r="M9704" s="5"/>
    </row>
    <row r="9705" spans="13:13" ht="15" customHeight="1" x14ac:dyDescent="0.3">
      <c r="M9705" s="5"/>
    </row>
    <row r="9706" spans="13:13" ht="15" customHeight="1" x14ac:dyDescent="0.3">
      <c r="M9706" s="5"/>
    </row>
    <row r="9707" spans="13:13" ht="15" customHeight="1" x14ac:dyDescent="0.3">
      <c r="M9707" s="5"/>
    </row>
    <row r="9708" spans="13:13" ht="15" customHeight="1" x14ac:dyDescent="0.3">
      <c r="M9708" s="5"/>
    </row>
    <row r="9709" spans="13:13" ht="15" customHeight="1" x14ac:dyDescent="0.3">
      <c r="M9709" s="5"/>
    </row>
    <row r="9710" spans="13:13" ht="15" customHeight="1" x14ac:dyDescent="0.3">
      <c r="M9710" s="5"/>
    </row>
    <row r="9711" spans="13:13" ht="15" customHeight="1" x14ac:dyDescent="0.3">
      <c r="M9711" s="5"/>
    </row>
    <row r="9712" spans="13:13" ht="15" customHeight="1" x14ac:dyDescent="0.3">
      <c r="M9712" s="5"/>
    </row>
    <row r="9713" spans="13:13" ht="15" customHeight="1" x14ac:dyDescent="0.3">
      <c r="M9713" s="5"/>
    </row>
    <row r="9714" spans="13:13" ht="15" customHeight="1" x14ac:dyDescent="0.3">
      <c r="M9714" s="5"/>
    </row>
    <row r="9715" spans="13:13" ht="15" customHeight="1" x14ac:dyDescent="0.3">
      <c r="M9715" s="5"/>
    </row>
    <row r="9716" spans="13:13" ht="15" customHeight="1" x14ac:dyDescent="0.3">
      <c r="M9716" s="5"/>
    </row>
    <row r="9717" spans="13:13" ht="15" customHeight="1" x14ac:dyDescent="0.3">
      <c r="M9717" s="5"/>
    </row>
    <row r="9718" spans="13:13" ht="15" customHeight="1" x14ac:dyDescent="0.3">
      <c r="M9718" s="5"/>
    </row>
    <row r="9719" spans="13:13" ht="15" customHeight="1" x14ac:dyDescent="0.3">
      <c r="M9719" s="5"/>
    </row>
    <row r="9720" spans="13:13" ht="15" customHeight="1" x14ac:dyDescent="0.3">
      <c r="M9720" s="5"/>
    </row>
    <row r="9721" spans="13:13" ht="15" customHeight="1" x14ac:dyDescent="0.3">
      <c r="M9721" s="5"/>
    </row>
    <row r="9722" spans="13:13" ht="15" customHeight="1" x14ac:dyDescent="0.3">
      <c r="M9722" s="5"/>
    </row>
    <row r="9723" spans="13:13" ht="15" customHeight="1" x14ac:dyDescent="0.3">
      <c r="M9723" s="5"/>
    </row>
    <row r="9724" spans="13:13" ht="15" customHeight="1" x14ac:dyDescent="0.3">
      <c r="M9724" s="5"/>
    </row>
    <row r="9725" spans="13:13" ht="15" customHeight="1" x14ac:dyDescent="0.3">
      <c r="M9725" s="5"/>
    </row>
    <row r="9726" spans="13:13" ht="15" customHeight="1" x14ac:dyDescent="0.3">
      <c r="M9726" s="5"/>
    </row>
    <row r="9727" spans="13:13" ht="15" customHeight="1" x14ac:dyDescent="0.3">
      <c r="M9727" s="5"/>
    </row>
    <row r="9728" spans="13:13" ht="15" customHeight="1" x14ac:dyDescent="0.3">
      <c r="M9728" s="5"/>
    </row>
    <row r="9729" spans="13:13" ht="15" customHeight="1" x14ac:dyDescent="0.3">
      <c r="M9729" s="5"/>
    </row>
    <row r="9730" spans="13:13" ht="15" customHeight="1" x14ac:dyDescent="0.3">
      <c r="M9730" s="5"/>
    </row>
    <row r="9731" spans="13:13" ht="15" customHeight="1" x14ac:dyDescent="0.3">
      <c r="M9731" s="5"/>
    </row>
    <row r="9732" spans="13:13" ht="15" customHeight="1" x14ac:dyDescent="0.3">
      <c r="M9732" s="5"/>
    </row>
    <row r="9733" spans="13:13" ht="15" customHeight="1" x14ac:dyDescent="0.3">
      <c r="M9733" s="5"/>
    </row>
    <row r="9734" spans="13:13" ht="15" customHeight="1" x14ac:dyDescent="0.3">
      <c r="M9734" s="5"/>
    </row>
    <row r="9735" spans="13:13" ht="15" customHeight="1" x14ac:dyDescent="0.3">
      <c r="M9735" s="5"/>
    </row>
    <row r="9736" spans="13:13" ht="15" customHeight="1" x14ac:dyDescent="0.3">
      <c r="M9736" s="5"/>
    </row>
    <row r="9737" spans="13:13" ht="15" customHeight="1" x14ac:dyDescent="0.3">
      <c r="M9737" s="5"/>
    </row>
    <row r="9738" spans="13:13" ht="15" customHeight="1" x14ac:dyDescent="0.3">
      <c r="M9738" s="5"/>
    </row>
    <row r="9739" spans="13:13" ht="15" customHeight="1" x14ac:dyDescent="0.3">
      <c r="M9739" s="5"/>
    </row>
    <row r="9740" spans="13:13" ht="15" customHeight="1" x14ac:dyDescent="0.3">
      <c r="M9740" s="5"/>
    </row>
    <row r="9741" spans="13:13" ht="15" customHeight="1" x14ac:dyDescent="0.3">
      <c r="M9741" s="5"/>
    </row>
    <row r="9742" spans="13:13" ht="15" customHeight="1" x14ac:dyDescent="0.3">
      <c r="M9742" s="5"/>
    </row>
    <row r="9743" spans="13:13" ht="15" customHeight="1" x14ac:dyDescent="0.3">
      <c r="M9743" s="5"/>
    </row>
    <row r="9744" spans="13:13" ht="15" customHeight="1" x14ac:dyDescent="0.3">
      <c r="M9744" s="5"/>
    </row>
    <row r="9745" spans="13:13" ht="15" customHeight="1" x14ac:dyDescent="0.3">
      <c r="M9745" s="5"/>
    </row>
    <row r="9746" spans="13:13" ht="15" customHeight="1" x14ac:dyDescent="0.3">
      <c r="M9746" s="5"/>
    </row>
    <row r="9747" spans="13:13" ht="15" customHeight="1" x14ac:dyDescent="0.3">
      <c r="M9747" s="5"/>
    </row>
    <row r="9748" spans="13:13" ht="15" customHeight="1" x14ac:dyDescent="0.3">
      <c r="M9748" s="5"/>
    </row>
    <row r="9749" spans="13:13" ht="15" customHeight="1" x14ac:dyDescent="0.3">
      <c r="M9749" s="5"/>
    </row>
    <row r="9750" spans="13:13" ht="15" customHeight="1" x14ac:dyDescent="0.3">
      <c r="M9750" s="5"/>
    </row>
    <row r="9751" spans="13:13" ht="15" customHeight="1" x14ac:dyDescent="0.3">
      <c r="M9751" s="5"/>
    </row>
    <row r="9752" spans="13:13" ht="15" customHeight="1" x14ac:dyDescent="0.3">
      <c r="M9752" s="5"/>
    </row>
    <row r="9753" spans="13:13" ht="15" customHeight="1" x14ac:dyDescent="0.3">
      <c r="M9753" s="5"/>
    </row>
    <row r="9754" spans="13:13" ht="15" customHeight="1" x14ac:dyDescent="0.3">
      <c r="M9754" s="5"/>
    </row>
    <row r="9755" spans="13:13" ht="15" customHeight="1" x14ac:dyDescent="0.3">
      <c r="M9755" s="5"/>
    </row>
    <row r="9756" spans="13:13" ht="15" customHeight="1" x14ac:dyDescent="0.3">
      <c r="M9756" s="5"/>
    </row>
    <row r="9757" spans="13:13" ht="15" customHeight="1" x14ac:dyDescent="0.3">
      <c r="M9757" s="5"/>
    </row>
    <row r="9758" spans="13:13" ht="15" customHeight="1" x14ac:dyDescent="0.3">
      <c r="M9758" s="5"/>
    </row>
    <row r="9759" spans="13:13" ht="15" customHeight="1" x14ac:dyDescent="0.3">
      <c r="M9759" s="5"/>
    </row>
    <row r="9760" spans="13:13" ht="15" customHeight="1" x14ac:dyDescent="0.3">
      <c r="M9760" s="5"/>
    </row>
    <row r="9761" spans="13:13" ht="15" customHeight="1" x14ac:dyDescent="0.3">
      <c r="M9761" s="5"/>
    </row>
    <row r="9762" spans="13:13" ht="15" customHeight="1" x14ac:dyDescent="0.3">
      <c r="M9762" s="5"/>
    </row>
    <row r="9763" spans="13:13" ht="15" customHeight="1" x14ac:dyDescent="0.3">
      <c r="M9763" s="5"/>
    </row>
    <row r="9764" spans="13:13" ht="15" customHeight="1" x14ac:dyDescent="0.3">
      <c r="M9764" s="5"/>
    </row>
    <row r="9765" spans="13:13" ht="15" customHeight="1" x14ac:dyDescent="0.3">
      <c r="M9765" s="5"/>
    </row>
    <row r="9766" spans="13:13" ht="15" customHeight="1" x14ac:dyDescent="0.3">
      <c r="M9766" s="5"/>
    </row>
    <row r="9767" spans="13:13" ht="15" customHeight="1" x14ac:dyDescent="0.3">
      <c r="M9767" s="5"/>
    </row>
    <row r="9768" spans="13:13" ht="15" customHeight="1" x14ac:dyDescent="0.3">
      <c r="M9768" s="5"/>
    </row>
    <row r="9769" spans="13:13" ht="15" customHeight="1" x14ac:dyDescent="0.3">
      <c r="M9769" s="5"/>
    </row>
    <row r="9770" spans="13:13" ht="15" customHeight="1" x14ac:dyDescent="0.3">
      <c r="M9770" s="5"/>
    </row>
    <row r="9771" spans="13:13" ht="15" customHeight="1" x14ac:dyDescent="0.3">
      <c r="M9771" s="5"/>
    </row>
    <row r="9772" spans="13:13" ht="15" customHeight="1" x14ac:dyDescent="0.3">
      <c r="M9772" s="5"/>
    </row>
    <row r="9773" spans="13:13" ht="15" customHeight="1" x14ac:dyDescent="0.3">
      <c r="M9773" s="5"/>
    </row>
    <row r="9774" spans="13:13" ht="15" customHeight="1" x14ac:dyDescent="0.3">
      <c r="M9774" s="5"/>
    </row>
    <row r="9775" spans="13:13" ht="15" customHeight="1" x14ac:dyDescent="0.3">
      <c r="M9775" s="5"/>
    </row>
    <row r="9776" spans="13:13" ht="15" customHeight="1" x14ac:dyDescent="0.3">
      <c r="M9776" s="5"/>
    </row>
    <row r="9777" spans="13:13" ht="15" customHeight="1" x14ac:dyDescent="0.3">
      <c r="M9777" s="5"/>
    </row>
    <row r="9778" spans="13:13" ht="15" customHeight="1" x14ac:dyDescent="0.3">
      <c r="M9778" s="5"/>
    </row>
    <row r="9779" spans="13:13" ht="15" customHeight="1" x14ac:dyDescent="0.3">
      <c r="M9779" s="5"/>
    </row>
    <row r="9780" spans="13:13" ht="15" customHeight="1" x14ac:dyDescent="0.3">
      <c r="M9780" s="5"/>
    </row>
    <row r="9781" spans="13:13" ht="15" customHeight="1" x14ac:dyDescent="0.3">
      <c r="M9781" s="5"/>
    </row>
    <row r="9782" spans="13:13" ht="15" customHeight="1" x14ac:dyDescent="0.3">
      <c r="M9782" s="5"/>
    </row>
    <row r="9783" spans="13:13" ht="15" customHeight="1" x14ac:dyDescent="0.3">
      <c r="M9783" s="5"/>
    </row>
    <row r="9784" spans="13:13" ht="15" customHeight="1" x14ac:dyDescent="0.3">
      <c r="M9784" s="5"/>
    </row>
    <row r="9785" spans="13:13" ht="15" customHeight="1" x14ac:dyDescent="0.3">
      <c r="M9785" s="5"/>
    </row>
    <row r="9786" spans="13:13" ht="15" customHeight="1" x14ac:dyDescent="0.3">
      <c r="M9786" s="5"/>
    </row>
    <row r="9787" spans="13:13" ht="15" customHeight="1" x14ac:dyDescent="0.3">
      <c r="M9787" s="5"/>
    </row>
    <row r="9788" spans="13:13" ht="15" customHeight="1" x14ac:dyDescent="0.3">
      <c r="M9788" s="5"/>
    </row>
    <row r="9789" spans="13:13" ht="15" customHeight="1" x14ac:dyDescent="0.3">
      <c r="M9789" s="5"/>
    </row>
    <row r="9790" spans="13:13" ht="15" customHeight="1" x14ac:dyDescent="0.3">
      <c r="M9790" s="5"/>
    </row>
    <row r="9791" spans="13:13" ht="15" customHeight="1" x14ac:dyDescent="0.3">
      <c r="M9791" s="5"/>
    </row>
    <row r="9792" spans="13:13" ht="15" customHeight="1" x14ac:dyDescent="0.3">
      <c r="M9792" s="5"/>
    </row>
    <row r="9793" spans="13:13" ht="15" customHeight="1" x14ac:dyDescent="0.3">
      <c r="M9793" s="5"/>
    </row>
    <row r="9794" spans="13:13" ht="15" customHeight="1" x14ac:dyDescent="0.3">
      <c r="M9794" s="5"/>
    </row>
    <row r="9795" spans="13:13" ht="15" customHeight="1" x14ac:dyDescent="0.3">
      <c r="M9795" s="5"/>
    </row>
    <row r="9796" spans="13:13" ht="15" customHeight="1" x14ac:dyDescent="0.3">
      <c r="M9796" s="5"/>
    </row>
    <row r="9797" spans="13:13" ht="15" customHeight="1" x14ac:dyDescent="0.3">
      <c r="M9797" s="5"/>
    </row>
    <row r="9798" spans="13:13" ht="15" customHeight="1" x14ac:dyDescent="0.3">
      <c r="M9798" s="5"/>
    </row>
    <row r="9799" spans="13:13" ht="15" customHeight="1" x14ac:dyDescent="0.3">
      <c r="M9799" s="5"/>
    </row>
    <row r="9800" spans="13:13" ht="15" customHeight="1" x14ac:dyDescent="0.3">
      <c r="M9800" s="5"/>
    </row>
    <row r="9801" spans="13:13" ht="15" customHeight="1" x14ac:dyDescent="0.3">
      <c r="M9801" s="5"/>
    </row>
    <row r="9802" spans="13:13" ht="15" customHeight="1" x14ac:dyDescent="0.3">
      <c r="M9802" s="5"/>
    </row>
    <row r="9803" spans="13:13" ht="15" customHeight="1" x14ac:dyDescent="0.3">
      <c r="M9803" s="5"/>
    </row>
    <row r="9804" spans="13:13" ht="15" customHeight="1" x14ac:dyDescent="0.3">
      <c r="M9804" s="5"/>
    </row>
    <row r="9805" spans="13:13" ht="15" customHeight="1" x14ac:dyDescent="0.3">
      <c r="M9805" s="5"/>
    </row>
    <row r="9806" spans="13:13" ht="15" customHeight="1" x14ac:dyDescent="0.3">
      <c r="M9806" s="5"/>
    </row>
    <row r="9807" spans="13:13" ht="15" customHeight="1" x14ac:dyDescent="0.3">
      <c r="M9807" s="5"/>
    </row>
    <row r="9808" spans="13:13" ht="15" customHeight="1" x14ac:dyDescent="0.3">
      <c r="M9808" s="5"/>
    </row>
    <row r="9809" spans="13:13" ht="15" customHeight="1" x14ac:dyDescent="0.3">
      <c r="M9809" s="5"/>
    </row>
    <row r="9810" spans="13:13" ht="15" customHeight="1" x14ac:dyDescent="0.3">
      <c r="M9810" s="5"/>
    </row>
    <row r="9811" spans="13:13" ht="15" customHeight="1" x14ac:dyDescent="0.3">
      <c r="M9811" s="5"/>
    </row>
    <row r="9812" spans="13:13" ht="15" customHeight="1" x14ac:dyDescent="0.3">
      <c r="M9812" s="5"/>
    </row>
    <row r="9813" spans="13:13" ht="15" customHeight="1" x14ac:dyDescent="0.3">
      <c r="M9813" s="5"/>
    </row>
    <row r="9814" spans="13:13" ht="15" customHeight="1" x14ac:dyDescent="0.3">
      <c r="M9814" s="5"/>
    </row>
    <row r="9815" spans="13:13" ht="15" customHeight="1" x14ac:dyDescent="0.3">
      <c r="M9815" s="5"/>
    </row>
    <row r="9816" spans="13:13" ht="15" customHeight="1" x14ac:dyDescent="0.3">
      <c r="M9816" s="5"/>
    </row>
    <row r="9817" spans="13:13" ht="15" customHeight="1" x14ac:dyDescent="0.3">
      <c r="M9817" s="5"/>
    </row>
    <row r="9818" spans="13:13" ht="15" customHeight="1" x14ac:dyDescent="0.3">
      <c r="M9818" s="5"/>
    </row>
    <row r="9819" spans="13:13" ht="15" customHeight="1" x14ac:dyDescent="0.3">
      <c r="M9819" s="5"/>
    </row>
    <row r="9820" spans="13:13" ht="15" customHeight="1" x14ac:dyDescent="0.3">
      <c r="M9820" s="5"/>
    </row>
    <row r="9821" spans="13:13" ht="15" customHeight="1" x14ac:dyDescent="0.3">
      <c r="M9821" s="5"/>
    </row>
    <row r="9822" spans="13:13" ht="15" customHeight="1" x14ac:dyDescent="0.3">
      <c r="M9822" s="5"/>
    </row>
    <row r="9823" spans="13:13" ht="15" customHeight="1" x14ac:dyDescent="0.3">
      <c r="M9823" s="5"/>
    </row>
    <row r="9824" spans="13:13" ht="15" customHeight="1" x14ac:dyDescent="0.3">
      <c r="M9824" s="5"/>
    </row>
    <row r="9825" spans="13:13" ht="15" customHeight="1" x14ac:dyDescent="0.3">
      <c r="M9825" s="5"/>
    </row>
    <row r="9826" spans="13:13" ht="15" customHeight="1" x14ac:dyDescent="0.3">
      <c r="M9826" s="5"/>
    </row>
    <row r="9827" spans="13:13" ht="15" customHeight="1" x14ac:dyDescent="0.3">
      <c r="M9827" s="5"/>
    </row>
    <row r="9828" spans="13:13" ht="15" customHeight="1" x14ac:dyDescent="0.3">
      <c r="M9828" s="5"/>
    </row>
    <row r="9829" spans="13:13" ht="15" customHeight="1" x14ac:dyDescent="0.3">
      <c r="M9829" s="5"/>
    </row>
    <row r="9830" spans="13:13" ht="15" customHeight="1" x14ac:dyDescent="0.3">
      <c r="M9830" s="5"/>
    </row>
    <row r="9831" spans="13:13" ht="15" customHeight="1" x14ac:dyDescent="0.3">
      <c r="M9831" s="5"/>
    </row>
    <row r="9832" spans="13:13" ht="15" customHeight="1" x14ac:dyDescent="0.3">
      <c r="M9832" s="5"/>
    </row>
    <row r="9833" spans="13:13" ht="15" customHeight="1" x14ac:dyDescent="0.3">
      <c r="M9833" s="5"/>
    </row>
    <row r="9834" spans="13:13" ht="15" customHeight="1" x14ac:dyDescent="0.3">
      <c r="M9834" s="5"/>
    </row>
    <row r="9835" spans="13:13" ht="15" customHeight="1" x14ac:dyDescent="0.3">
      <c r="M9835" s="5"/>
    </row>
    <row r="9836" spans="13:13" ht="15" customHeight="1" x14ac:dyDescent="0.3">
      <c r="M9836" s="5"/>
    </row>
    <row r="9837" spans="13:13" ht="15" customHeight="1" x14ac:dyDescent="0.3">
      <c r="M9837" s="5"/>
    </row>
    <row r="9838" spans="13:13" ht="15" customHeight="1" x14ac:dyDescent="0.3">
      <c r="M9838" s="5"/>
    </row>
    <row r="9839" spans="13:13" ht="15" customHeight="1" x14ac:dyDescent="0.3">
      <c r="M9839" s="5"/>
    </row>
    <row r="9840" spans="13:13" ht="15" customHeight="1" x14ac:dyDescent="0.3">
      <c r="M9840" s="5"/>
    </row>
    <row r="9841" spans="13:13" ht="15" customHeight="1" x14ac:dyDescent="0.3">
      <c r="M9841" s="5"/>
    </row>
    <row r="9842" spans="13:13" ht="15" customHeight="1" x14ac:dyDescent="0.3">
      <c r="M9842" s="5"/>
    </row>
    <row r="9843" spans="13:13" ht="15" customHeight="1" x14ac:dyDescent="0.3">
      <c r="M9843" s="5"/>
    </row>
    <row r="9844" spans="13:13" ht="15" customHeight="1" x14ac:dyDescent="0.3">
      <c r="M9844" s="5"/>
    </row>
    <row r="9845" spans="13:13" ht="15" customHeight="1" x14ac:dyDescent="0.3">
      <c r="M9845" s="5"/>
    </row>
    <row r="9846" spans="13:13" ht="15" customHeight="1" x14ac:dyDescent="0.3">
      <c r="M9846" s="5"/>
    </row>
    <row r="9847" spans="13:13" ht="15" customHeight="1" x14ac:dyDescent="0.3">
      <c r="M9847" s="5"/>
    </row>
    <row r="9848" spans="13:13" ht="15" customHeight="1" x14ac:dyDescent="0.3">
      <c r="M9848" s="5"/>
    </row>
    <row r="9849" spans="13:13" ht="15" customHeight="1" x14ac:dyDescent="0.3">
      <c r="M9849" s="5"/>
    </row>
    <row r="9850" spans="13:13" ht="15" customHeight="1" x14ac:dyDescent="0.3">
      <c r="M9850" s="5"/>
    </row>
    <row r="9851" spans="13:13" ht="15" customHeight="1" x14ac:dyDescent="0.3">
      <c r="M9851" s="5"/>
    </row>
    <row r="9852" spans="13:13" ht="15" customHeight="1" x14ac:dyDescent="0.3">
      <c r="M9852" s="5"/>
    </row>
    <row r="9853" spans="13:13" ht="15" customHeight="1" x14ac:dyDescent="0.3">
      <c r="M9853" s="5"/>
    </row>
    <row r="9854" spans="13:13" ht="15" customHeight="1" x14ac:dyDescent="0.3">
      <c r="M9854" s="5"/>
    </row>
    <row r="9855" spans="13:13" ht="15" customHeight="1" x14ac:dyDescent="0.3">
      <c r="M9855" s="5"/>
    </row>
    <row r="9856" spans="13:13" ht="15" customHeight="1" x14ac:dyDescent="0.3">
      <c r="M9856" s="5"/>
    </row>
    <row r="9857" spans="13:13" ht="15" customHeight="1" x14ac:dyDescent="0.3">
      <c r="M9857" s="5"/>
    </row>
    <row r="9858" spans="13:13" ht="15" customHeight="1" x14ac:dyDescent="0.3">
      <c r="M9858" s="5"/>
    </row>
    <row r="9859" spans="13:13" ht="15" customHeight="1" x14ac:dyDescent="0.3">
      <c r="M9859" s="5"/>
    </row>
    <row r="9860" spans="13:13" ht="15" customHeight="1" x14ac:dyDescent="0.3">
      <c r="M9860" s="5"/>
    </row>
    <row r="9861" spans="13:13" ht="15" customHeight="1" x14ac:dyDescent="0.3">
      <c r="M9861" s="5"/>
    </row>
    <row r="9862" spans="13:13" ht="15" customHeight="1" x14ac:dyDescent="0.3">
      <c r="M9862" s="5"/>
    </row>
    <row r="9863" spans="13:13" ht="15" customHeight="1" x14ac:dyDescent="0.3">
      <c r="M9863" s="5"/>
    </row>
    <row r="9864" spans="13:13" ht="15" customHeight="1" x14ac:dyDescent="0.3">
      <c r="M9864" s="5"/>
    </row>
    <row r="9865" spans="13:13" ht="15" customHeight="1" x14ac:dyDescent="0.3">
      <c r="M9865" s="5"/>
    </row>
    <row r="9866" spans="13:13" ht="15" customHeight="1" x14ac:dyDescent="0.3">
      <c r="M9866" s="5"/>
    </row>
    <row r="9867" spans="13:13" ht="15" customHeight="1" x14ac:dyDescent="0.3">
      <c r="M9867" s="5"/>
    </row>
    <row r="9868" spans="13:13" ht="15" customHeight="1" x14ac:dyDescent="0.3">
      <c r="M9868" s="5"/>
    </row>
    <row r="9869" spans="13:13" ht="15" customHeight="1" x14ac:dyDescent="0.3">
      <c r="M9869" s="5"/>
    </row>
    <row r="9870" spans="13:13" ht="15" customHeight="1" x14ac:dyDescent="0.3">
      <c r="M9870" s="5"/>
    </row>
    <row r="9871" spans="13:13" ht="15" customHeight="1" x14ac:dyDescent="0.3">
      <c r="M9871" s="5"/>
    </row>
    <row r="9872" spans="13:13" ht="15" customHeight="1" x14ac:dyDescent="0.3">
      <c r="M9872" s="5"/>
    </row>
    <row r="9873" spans="13:13" ht="15" customHeight="1" x14ac:dyDescent="0.3">
      <c r="M9873" s="5"/>
    </row>
    <row r="9874" spans="13:13" ht="15" customHeight="1" x14ac:dyDescent="0.3">
      <c r="M9874" s="5"/>
    </row>
    <row r="9875" spans="13:13" ht="15" customHeight="1" x14ac:dyDescent="0.3">
      <c r="M9875" s="5"/>
    </row>
    <row r="9876" spans="13:13" ht="15" customHeight="1" x14ac:dyDescent="0.3">
      <c r="M9876" s="5"/>
    </row>
    <row r="9877" spans="13:13" ht="15" customHeight="1" x14ac:dyDescent="0.3">
      <c r="M9877" s="5"/>
    </row>
    <row r="9878" spans="13:13" ht="15" customHeight="1" x14ac:dyDescent="0.3">
      <c r="M9878" s="5"/>
    </row>
    <row r="9879" spans="13:13" ht="15" customHeight="1" x14ac:dyDescent="0.3">
      <c r="M9879" s="5"/>
    </row>
    <row r="9880" spans="13:13" ht="15" customHeight="1" x14ac:dyDescent="0.3">
      <c r="M9880" s="5"/>
    </row>
    <row r="9881" spans="13:13" ht="15" customHeight="1" x14ac:dyDescent="0.3">
      <c r="M9881" s="5"/>
    </row>
    <row r="9882" spans="13:13" ht="15" customHeight="1" x14ac:dyDescent="0.3">
      <c r="M9882" s="5"/>
    </row>
    <row r="9883" spans="13:13" ht="15" customHeight="1" x14ac:dyDescent="0.3">
      <c r="M9883" s="5"/>
    </row>
    <row r="9884" spans="13:13" ht="15" customHeight="1" x14ac:dyDescent="0.3">
      <c r="M9884" s="5"/>
    </row>
    <row r="9885" spans="13:13" ht="15" customHeight="1" x14ac:dyDescent="0.3">
      <c r="M9885" s="5"/>
    </row>
    <row r="9886" spans="13:13" ht="15" customHeight="1" x14ac:dyDescent="0.3">
      <c r="M9886" s="5"/>
    </row>
    <row r="9887" spans="13:13" ht="15" customHeight="1" x14ac:dyDescent="0.3">
      <c r="M9887" s="5"/>
    </row>
    <row r="9888" spans="13:13" ht="15" customHeight="1" x14ac:dyDescent="0.3">
      <c r="M9888" s="5"/>
    </row>
    <row r="9889" spans="13:13" ht="15" customHeight="1" x14ac:dyDescent="0.3">
      <c r="M9889" s="5"/>
    </row>
    <row r="9890" spans="13:13" ht="15" customHeight="1" x14ac:dyDescent="0.3">
      <c r="M9890" s="5"/>
    </row>
    <row r="9891" spans="13:13" ht="15" customHeight="1" x14ac:dyDescent="0.3">
      <c r="M9891" s="5"/>
    </row>
    <row r="9892" spans="13:13" ht="15" customHeight="1" x14ac:dyDescent="0.3">
      <c r="M9892" s="5"/>
    </row>
    <row r="9893" spans="13:13" ht="15" customHeight="1" x14ac:dyDescent="0.3">
      <c r="M9893" s="5"/>
    </row>
    <row r="9894" spans="13:13" ht="15" customHeight="1" x14ac:dyDescent="0.3">
      <c r="M9894" s="5"/>
    </row>
    <row r="9895" spans="13:13" ht="15" customHeight="1" x14ac:dyDescent="0.3">
      <c r="M9895" s="5"/>
    </row>
    <row r="9896" spans="13:13" ht="15" customHeight="1" x14ac:dyDescent="0.3">
      <c r="M9896" s="5"/>
    </row>
    <row r="9897" spans="13:13" ht="15" customHeight="1" x14ac:dyDescent="0.3">
      <c r="M9897" s="5"/>
    </row>
    <row r="9898" spans="13:13" ht="15" customHeight="1" x14ac:dyDescent="0.3">
      <c r="M9898" s="5"/>
    </row>
    <row r="9899" spans="13:13" ht="15" customHeight="1" x14ac:dyDescent="0.3">
      <c r="M9899" s="5"/>
    </row>
    <row r="9900" spans="13:13" ht="15" customHeight="1" x14ac:dyDescent="0.3">
      <c r="M9900" s="5"/>
    </row>
    <row r="9901" spans="13:13" ht="15" customHeight="1" x14ac:dyDescent="0.3">
      <c r="M9901" s="5"/>
    </row>
    <row r="9902" spans="13:13" ht="15" customHeight="1" x14ac:dyDescent="0.3">
      <c r="M9902" s="5"/>
    </row>
    <row r="9903" spans="13:13" ht="15" customHeight="1" x14ac:dyDescent="0.3">
      <c r="M9903" s="5"/>
    </row>
    <row r="9904" spans="13:13" ht="15" customHeight="1" x14ac:dyDescent="0.3">
      <c r="M9904" s="5"/>
    </row>
    <row r="9905" spans="13:13" ht="15" customHeight="1" x14ac:dyDescent="0.3">
      <c r="M9905" s="5"/>
    </row>
    <row r="9906" spans="13:13" ht="15" customHeight="1" x14ac:dyDescent="0.3">
      <c r="M9906" s="5"/>
    </row>
    <row r="9907" spans="13:13" ht="15" customHeight="1" x14ac:dyDescent="0.3">
      <c r="M9907" s="5"/>
    </row>
    <row r="9908" spans="13:13" ht="15" customHeight="1" x14ac:dyDescent="0.3">
      <c r="M9908" s="5"/>
    </row>
    <row r="9909" spans="13:13" ht="15" customHeight="1" x14ac:dyDescent="0.3">
      <c r="M9909" s="5"/>
    </row>
    <row r="9910" spans="13:13" ht="15" customHeight="1" x14ac:dyDescent="0.3">
      <c r="M9910" s="5"/>
    </row>
    <row r="9911" spans="13:13" ht="15" customHeight="1" x14ac:dyDescent="0.3">
      <c r="M9911" s="5"/>
    </row>
    <row r="9912" spans="13:13" ht="15" customHeight="1" x14ac:dyDescent="0.3">
      <c r="M9912" s="5"/>
    </row>
    <row r="9913" spans="13:13" ht="15" customHeight="1" x14ac:dyDescent="0.3">
      <c r="M9913" s="5"/>
    </row>
    <row r="9914" spans="13:13" ht="15" customHeight="1" x14ac:dyDescent="0.3">
      <c r="M9914" s="5"/>
    </row>
    <row r="9915" spans="13:13" ht="15" customHeight="1" x14ac:dyDescent="0.3">
      <c r="M9915" s="5"/>
    </row>
    <row r="9916" spans="13:13" ht="15" customHeight="1" x14ac:dyDescent="0.3">
      <c r="M9916" s="5"/>
    </row>
    <row r="9917" spans="13:13" ht="15" customHeight="1" x14ac:dyDescent="0.3">
      <c r="M9917" s="5"/>
    </row>
    <row r="9918" spans="13:13" ht="15" customHeight="1" x14ac:dyDescent="0.3">
      <c r="M9918" s="5"/>
    </row>
    <row r="9919" spans="13:13" ht="15" customHeight="1" x14ac:dyDescent="0.3">
      <c r="M9919" s="5"/>
    </row>
    <row r="9920" spans="13:13" ht="15" customHeight="1" x14ac:dyDescent="0.3">
      <c r="M9920" s="5"/>
    </row>
    <row r="9921" spans="13:13" ht="15" customHeight="1" x14ac:dyDescent="0.3">
      <c r="M9921" s="5"/>
    </row>
    <row r="9922" spans="13:13" ht="15" customHeight="1" x14ac:dyDescent="0.3">
      <c r="M9922" s="5"/>
    </row>
    <row r="9923" spans="13:13" ht="15" customHeight="1" x14ac:dyDescent="0.3">
      <c r="M9923" s="5"/>
    </row>
    <row r="9924" spans="13:13" ht="15" customHeight="1" x14ac:dyDescent="0.3">
      <c r="M9924" s="5"/>
    </row>
    <row r="9925" spans="13:13" ht="15" customHeight="1" x14ac:dyDescent="0.3">
      <c r="M9925" s="5"/>
    </row>
    <row r="9926" spans="13:13" ht="15" customHeight="1" x14ac:dyDescent="0.3">
      <c r="M9926" s="5"/>
    </row>
    <row r="9927" spans="13:13" ht="15" customHeight="1" x14ac:dyDescent="0.3">
      <c r="M9927" s="5"/>
    </row>
    <row r="9928" spans="13:13" ht="15" customHeight="1" x14ac:dyDescent="0.3">
      <c r="M9928" s="5"/>
    </row>
    <row r="9929" spans="13:13" ht="15" customHeight="1" x14ac:dyDescent="0.3">
      <c r="M9929" s="5"/>
    </row>
    <row r="9930" spans="13:13" ht="15" customHeight="1" x14ac:dyDescent="0.3">
      <c r="M9930" s="5"/>
    </row>
    <row r="9931" spans="13:13" ht="15" customHeight="1" x14ac:dyDescent="0.3">
      <c r="M9931" s="5"/>
    </row>
    <row r="9932" spans="13:13" ht="15" customHeight="1" x14ac:dyDescent="0.3">
      <c r="M9932" s="5"/>
    </row>
    <row r="9933" spans="13:13" ht="15" customHeight="1" x14ac:dyDescent="0.3">
      <c r="M9933" s="5"/>
    </row>
    <row r="9934" spans="13:13" ht="15" customHeight="1" x14ac:dyDescent="0.3">
      <c r="M9934" s="5"/>
    </row>
    <row r="9935" spans="13:13" ht="15" customHeight="1" x14ac:dyDescent="0.3">
      <c r="M9935" s="5"/>
    </row>
    <row r="9936" spans="13:13" ht="15" customHeight="1" x14ac:dyDescent="0.3">
      <c r="M9936" s="5"/>
    </row>
    <row r="9937" spans="13:13" ht="15" customHeight="1" x14ac:dyDescent="0.3">
      <c r="M9937" s="5"/>
    </row>
    <row r="9938" spans="13:13" ht="15" customHeight="1" x14ac:dyDescent="0.3">
      <c r="M9938" s="5"/>
    </row>
    <row r="9939" spans="13:13" ht="15" customHeight="1" x14ac:dyDescent="0.3">
      <c r="M9939" s="5"/>
    </row>
    <row r="9940" spans="13:13" ht="15" customHeight="1" x14ac:dyDescent="0.3">
      <c r="M9940" s="5"/>
    </row>
    <row r="9941" spans="13:13" ht="15" customHeight="1" x14ac:dyDescent="0.3">
      <c r="M9941" s="5"/>
    </row>
    <row r="9942" spans="13:13" ht="15" customHeight="1" x14ac:dyDescent="0.3">
      <c r="M9942" s="5"/>
    </row>
    <row r="9943" spans="13:13" ht="15" customHeight="1" x14ac:dyDescent="0.3">
      <c r="M9943" s="5"/>
    </row>
    <row r="9944" spans="13:13" ht="15" customHeight="1" x14ac:dyDescent="0.3">
      <c r="M9944" s="5"/>
    </row>
    <row r="9945" spans="13:13" ht="15" customHeight="1" x14ac:dyDescent="0.3">
      <c r="M9945" s="5"/>
    </row>
    <row r="9946" spans="13:13" ht="15" customHeight="1" x14ac:dyDescent="0.3">
      <c r="M9946" s="5"/>
    </row>
    <row r="9947" spans="13:13" ht="15" customHeight="1" x14ac:dyDescent="0.3">
      <c r="M9947" s="5"/>
    </row>
    <row r="9948" spans="13:13" ht="15" customHeight="1" x14ac:dyDescent="0.3">
      <c r="M9948" s="5"/>
    </row>
    <row r="9949" spans="13:13" ht="15" customHeight="1" x14ac:dyDescent="0.3">
      <c r="M9949" s="5"/>
    </row>
    <row r="9950" spans="13:13" ht="15" customHeight="1" x14ac:dyDescent="0.3">
      <c r="M9950" s="5"/>
    </row>
    <row r="9951" spans="13:13" ht="15" customHeight="1" x14ac:dyDescent="0.3">
      <c r="M9951" s="5"/>
    </row>
    <row r="9952" spans="13:13" ht="15" customHeight="1" x14ac:dyDescent="0.3">
      <c r="M9952" s="5"/>
    </row>
    <row r="9953" spans="13:13" ht="15" customHeight="1" x14ac:dyDescent="0.3">
      <c r="M9953" s="5"/>
    </row>
    <row r="9954" spans="13:13" ht="15" customHeight="1" x14ac:dyDescent="0.3">
      <c r="M9954" s="5"/>
    </row>
    <row r="9955" spans="13:13" ht="15" customHeight="1" x14ac:dyDescent="0.3">
      <c r="M9955" s="5"/>
    </row>
    <row r="9956" spans="13:13" ht="15" customHeight="1" x14ac:dyDescent="0.3">
      <c r="M9956" s="5"/>
    </row>
    <row r="9957" spans="13:13" ht="15" customHeight="1" x14ac:dyDescent="0.3">
      <c r="M9957" s="5"/>
    </row>
    <row r="9958" spans="13:13" ht="15" customHeight="1" x14ac:dyDescent="0.3">
      <c r="M9958" s="5"/>
    </row>
    <row r="9959" spans="13:13" ht="15" customHeight="1" x14ac:dyDescent="0.3">
      <c r="M9959" s="5"/>
    </row>
    <row r="9960" spans="13:13" ht="15" customHeight="1" x14ac:dyDescent="0.3">
      <c r="M9960" s="5"/>
    </row>
    <row r="9961" spans="13:13" ht="15" customHeight="1" x14ac:dyDescent="0.3">
      <c r="M9961" s="5"/>
    </row>
    <row r="9962" spans="13:13" ht="15" customHeight="1" x14ac:dyDescent="0.3">
      <c r="M9962" s="5"/>
    </row>
    <row r="9963" spans="13:13" ht="15" customHeight="1" x14ac:dyDescent="0.3">
      <c r="M9963" s="5"/>
    </row>
    <row r="9964" spans="13:13" ht="15" customHeight="1" x14ac:dyDescent="0.3">
      <c r="M9964" s="5"/>
    </row>
    <row r="9965" spans="13:13" ht="15" customHeight="1" x14ac:dyDescent="0.3">
      <c r="M9965" s="5"/>
    </row>
    <row r="9966" spans="13:13" ht="15" customHeight="1" x14ac:dyDescent="0.3">
      <c r="M9966" s="5"/>
    </row>
    <row r="9967" spans="13:13" ht="15" customHeight="1" x14ac:dyDescent="0.3">
      <c r="M9967" s="5"/>
    </row>
    <row r="9968" spans="13:13" ht="15" customHeight="1" x14ac:dyDescent="0.3">
      <c r="M9968" s="5"/>
    </row>
    <row r="9969" spans="13:13" ht="15" customHeight="1" x14ac:dyDescent="0.3">
      <c r="M9969" s="5"/>
    </row>
    <row r="9970" spans="13:13" ht="15" customHeight="1" x14ac:dyDescent="0.3">
      <c r="M9970" s="5"/>
    </row>
    <row r="9971" spans="13:13" ht="15" customHeight="1" x14ac:dyDescent="0.3">
      <c r="M9971" s="5"/>
    </row>
    <row r="9972" spans="13:13" ht="15" customHeight="1" x14ac:dyDescent="0.3">
      <c r="M9972" s="5"/>
    </row>
    <row r="9973" spans="13:13" ht="15" customHeight="1" x14ac:dyDescent="0.3">
      <c r="M9973" s="5"/>
    </row>
    <row r="9974" spans="13:13" ht="15" customHeight="1" x14ac:dyDescent="0.3">
      <c r="M9974" s="5"/>
    </row>
    <row r="9975" spans="13:13" ht="15" customHeight="1" x14ac:dyDescent="0.3">
      <c r="M9975" s="5"/>
    </row>
    <row r="9976" spans="13:13" ht="15" customHeight="1" x14ac:dyDescent="0.3">
      <c r="M9976" s="5"/>
    </row>
    <row r="9977" spans="13:13" ht="15" customHeight="1" x14ac:dyDescent="0.3">
      <c r="M9977" s="5"/>
    </row>
    <row r="9978" spans="13:13" ht="15" customHeight="1" x14ac:dyDescent="0.3">
      <c r="M9978" s="5"/>
    </row>
    <row r="9979" spans="13:13" ht="15" customHeight="1" x14ac:dyDescent="0.3">
      <c r="M9979" s="5"/>
    </row>
    <row r="9980" spans="13:13" ht="15" customHeight="1" x14ac:dyDescent="0.3">
      <c r="M9980" s="5"/>
    </row>
    <row r="9981" spans="13:13" ht="15" customHeight="1" x14ac:dyDescent="0.3">
      <c r="M9981" s="5"/>
    </row>
    <row r="9982" spans="13:13" ht="15" customHeight="1" x14ac:dyDescent="0.3">
      <c r="M9982" s="5"/>
    </row>
    <row r="9983" spans="13:13" ht="15" customHeight="1" x14ac:dyDescent="0.3">
      <c r="M9983" s="5"/>
    </row>
    <row r="9984" spans="13:13" ht="15" customHeight="1" x14ac:dyDescent="0.3">
      <c r="M9984" s="5"/>
    </row>
    <row r="9985" spans="13:13" ht="15" customHeight="1" x14ac:dyDescent="0.3">
      <c r="M9985" s="5"/>
    </row>
    <row r="9986" spans="13:13" ht="15" customHeight="1" x14ac:dyDescent="0.3">
      <c r="M9986" s="5"/>
    </row>
    <row r="9987" spans="13:13" ht="15" customHeight="1" x14ac:dyDescent="0.3">
      <c r="M9987" s="5"/>
    </row>
    <row r="9988" spans="13:13" ht="15" customHeight="1" x14ac:dyDescent="0.3">
      <c r="M9988" s="5"/>
    </row>
    <row r="9989" spans="13:13" ht="15" customHeight="1" x14ac:dyDescent="0.3">
      <c r="M9989" s="5"/>
    </row>
    <row r="9990" spans="13:13" ht="15" customHeight="1" x14ac:dyDescent="0.3">
      <c r="M9990" s="5"/>
    </row>
    <row r="9991" spans="13:13" ht="15" customHeight="1" x14ac:dyDescent="0.3">
      <c r="M9991" s="5"/>
    </row>
    <row r="9992" spans="13:13" ht="15" customHeight="1" x14ac:dyDescent="0.3">
      <c r="M9992" s="5"/>
    </row>
    <row r="9993" spans="13:13" ht="15" customHeight="1" x14ac:dyDescent="0.3">
      <c r="M9993" s="5"/>
    </row>
    <row r="9994" spans="13:13" ht="15" customHeight="1" x14ac:dyDescent="0.3">
      <c r="M9994" s="5"/>
    </row>
    <row r="9995" spans="13:13" ht="15" customHeight="1" x14ac:dyDescent="0.3">
      <c r="M9995" s="5"/>
    </row>
    <row r="9996" spans="13:13" ht="15" customHeight="1" x14ac:dyDescent="0.3">
      <c r="M9996" s="5"/>
    </row>
    <row r="9997" spans="13:13" ht="15" customHeight="1" x14ac:dyDescent="0.3">
      <c r="M9997" s="5"/>
    </row>
    <row r="9998" spans="13:13" ht="15" customHeight="1" x14ac:dyDescent="0.3">
      <c r="M9998" s="5"/>
    </row>
    <row r="9999" spans="13:13" ht="15" customHeight="1" x14ac:dyDescent="0.3">
      <c r="M9999" s="5"/>
    </row>
    <row r="10000" spans="13:13" ht="15" customHeight="1" x14ac:dyDescent="0.3">
      <c r="M10000" s="5"/>
    </row>
    <row r="10001" spans="13:13" ht="15" customHeight="1" x14ac:dyDescent="0.3">
      <c r="M10001" s="5"/>
    </row>
    <row r="10002" spans="13:13" ht="15" customHeight="1" x14ac:dyDescent="0.3">
      <c r="M10002" s="5"/>
    </row>
    <row r="10003" spans="13:13" ht="15" customHeight="1" x14ac:dyDescent="0.3">
      <c r="M10003" s="5"/>
    </row>
    <row r="10004" spans="13:13" ht="15" customHeight="1" x14ac:dyDescent="0.3">
      <c r="M10004" s="5"/>
    </row>
    <row r="10005" spans="13:13" ht="15" customHeight="1" x14ac:dyDescent="0.3">
      <c r="M10005" s="5"/>
    </row>
    <row r="10006" spans="13:13" ht="15" customHeight="1" x14ac:dyDescent="0.3">
      <c r="M10006" s="5"/>
    </row>
    <row r="10007" spans="13:13" ht="15" customHeight="1" x14ac:dyDescent="0.3">
      <c r="M10007" s="5"/>
    </row>
    <row r="10008" spans="13:13" ht="15" customHeight="1" x14ac:dyDescent="0.3">
      <c r="M10008" s="5"/>
    </row>
    <row r="10009" spans="13:13" ht="15" customHeight="1" x14ac:dyDescent="0.3">
      <c r="M10009" s="5"/>
    </row>
    <row r="10010" spans="13:13" ht="15" customHeight="1" x14ac:dyDescent="0.3">
      <c r="M10010" s="5"/>
    </row>
    <row r="10011" spans="13:13" ht="15" customHeight="1" x14ac:dyDescent="0.3">
      <c r="M10011" s="5"/>
    </row>
    <row r="10012" spans="13:13" ht="15" customHeight="1" x14ac:dyDescent="0.3">
      <c r="M10012" s="5"/>
    </row>
    <row r="10013" spans="13:13" ht="15" customHeight="1" x14ac:dyDescent="0.3">
      <c r="M10013" s="5"/>
    </row>
    <row r="10014" spans="13:13" ht="15" customHeight="1" x14ac:dyDescent="0.3">
      <c r="M10014" s="5"/>
    </row>
    <row r="10015" spans="13:13" ht="15" customHeight="1" x14ac:dyDescent="0.3">
      <c r="M10015" s="5"/>
    </row>
    <row r="10016" spans="13:13" ht="15" customHeight="1" x14ac:dyDescent="0.3">
      <c r="M10016" s="5"/>
    </row>
    <row r="10017" spans="13:13" ht="15" customHeight="1" x14ac:dyDescent="0.3">
      <c r="M10017" s="5"/>
    </row>
    <row r="10018" spans="13:13" ht="15" customHeight="1" x14ac:dyDescent="0.3">
      <c r="M10018" s="5"/>
    </row>
    <row r="10019" spans="13:13" ht="15" customHeight="1" x14ac:dyDescent="0.3">
      <c r="M10019" s="5"/>
    </row>
    <row r="10020" spans="13:13" ht="15" customHeight="1" x14ac:dyDescent="0.3">
      <c r="M10020" s="5"/>
    </row>
    <row r="10021" spans="13:13" ht="15" customHeight="1" x14ac:dyDescent="0.3">
      <c r="M10021" s="5"/>
    </row>
    <row r="10022" spans="13:13" ht="15" customHeight="1" x14ac:dyDescent="0.3">
      <c r="M10022" s="5"/>
    </row>
    <row r="10023" spans="13:13" ht="15" customHeight="1" x14ac:dyDescent="0.3">
      <c r="M10023" s="5"/>
    </row>
    <row r="10024" spans="13:13" ht="15" customHeight="1" x14ac:dyDescent="0.3">
      <c r="M10024" s="5"/>
    </row>
    <row r="10025" spans="13:13" ht="15" customHeight="1" x14ac:dyDescent="0.3">
      <c r="M10025" s="5"/>
    </row>
    <row r="10026" spans="13:13" ht="15" customHeight="1" x14ac:dyDescent="0.3">
      <c r="M10026" s="5"/>
    </row>
    <row r="10027" spans="13:13" ht="15" customHeight="1" x14ac:dyDescent="0.3">
      <c r="M10027" s="5"/>
    </row>
    <row r="10028" spans="13:13" ht="15" customHeight="1" x14ac:dyDescent="0.3">
      <c r="M10028" s="5"/>
    </row>
    <row r="10029" spans="13:13" ht="15" customHeight="1" x14ac:dyDescent="0.3">
      <c r="M10029" s="5"/>
    </row>
    <row r="10030" spans="13:13" ht="15" customHeight="1" x14ac:dyDescent="0.3">
      <c r="M10030" s="5"/>
    </row>
    <row r="10031" spans="13:13" ht="15" customHeight="1" x14ac:dyDescent="0.3">
      <c r="M10031" s="5"/>
    </row>
    <row r="10032" spans="13:13" ht="15" customHeight="1" x14ac:dyDescent="0.3">
      <c r="M10032" s="5"/>
    </row>
    <row r="10033" spans="13:13" ht="15" customHeight="1" x14ac:dyDescent="0.3">
      <c r="M10033" s="5"/>
    </row>
    <row r="10034" spans="13:13" ht="15" customHeight="1" x14ac:dyDescent="0.3">
      <c r="M10034" s="5"/>
    </row>
    <row r="10035" spans="13:13" ht="15" customHeight="1" x14ac:dyDescent="0.3">
      <c r="M10035" s="5"/>
    </row>
    <row r="10036" spans="13:13" ht="15" customHeight="1" x14ac:dyDescent="0.3">
      <c r="M10036" s="5"/>
    </row>
    <row r="10037" spans="13:13" ht="15" customHeight="1" x14ac:dyDescent="0.3">
      <c r="M10037" s="5"/>
    </row>
    <row r="10038" spans="13:13" ht="15" customHeight="1" x14ac:dyDescent="0.3">
      <c r="M10038" s="5"/>
    </row>
    <row r="10039" spans="13:13" ht="15" customHeight="1" x14ac:dyDescent="0.3">
      <c r="M10039" s="5"/>
    </row>
    <row r="10040" spans="13:13" ht="15" customHeight="1" x14ac:dyDescent="0.3">
      <c r="M10040" s="5"/>
    </row>
    <row r="10041" spans="13:13" ht="15" customHeight="1" x14ac:dyDescent="0.3">
      <c r="M10041" s="5"/>
    </row>
    <row r="10042" spans="13:13" ht="15" customHeight="1" x14ac:dyDescent="0.3">
      <c r="M10042" s="5"/>
    </row>
    <row r="10043" spans="13:13" ht="15" customHeight="1" x14ac:dyDescent="0.3">
      <c r="M10043" s="5"/>
    </row>
    <row r="10044" spans="13:13" ht="15" customHeight="1" x14ac:dyDescent="0.3">
      <c r="M10044" s="5"/>
    </row>
    <row r="10045" spans="13:13" ht="15" customHeight="1" x14ac:dyDescent="0.3">
      <c r="M10045" s="5"/>
    </row>
    <row r="10046" spans="13:13" ht="15" customHeight="1" x14ac:dyDescent="0.3">
      <c r="M10046" s="5"/>
    </row>
    <row r="10047" spans="13:13" ht="15" customHeight="1" x14ac:dyDescent="0.3">
      <c r="M10047" s="5"/>
    </row>
    <row r="10048" spans="13:13" ht="15" customHeight="1" x14ac:dyDescent="0.3">
      <c r="M10048" s="5"/>
    </row>
    <row r="10049" spans="13:13" ht="15" customHeight="1" x14ac:dyDescent="0.3">
      <c r="M10049" s="5"/>
    </row>
    <row r="10050" spans="13:13" ht="15" customHeight="1" x14ac:dyDescent="0.3">
      <c r="M10050" s="5"/>
    </row>
    <row r="10051" spans="13:13" ht="15" customHeight="1" x14ac:dyDescent="0.3">
      <c r="M10051" s="5"/>
    </row>
    <row r="10052" spans="13:13" ht="15" customHeight="1" x14ac:dyDescent="0.3">
      <c r="M10052" s="5"/>
    </row>
    <row r="10053" spans="13:13" ht="15" customHeight="1" x14ac:dyDescent="0.3">
      <c r="M10053" s="5"/>
    </row>
    <row r="10054" spans="13:13" ht="15" customHeight="1" x14ac:dyDescent="0.3">
      <c r="M10054" s="5"/>
    </row>
    <row r="10055" spans="13:13" ht="15" customHeight="1" x14ac:dyDescent="0.3">
      <c r="M10055" s="5"/>
    </row>
    <row r="10056" spans="13:13" ht="15" customHeight="1" x14ac:dyDescent="0.3">
      <c r="M10056" s="5"/>
    </row>
    <row r="10057" spans="13:13" ht="15" customHeight="1" x14ac:dyDescent="0.3">
      <c r="M10057" s="5"/>
    </row>
    <row r="10058" spans="13:13" ht="15" customHeight="1" x14ac:dyDescent="0.3">
      <c r="M10058" s="5"/>
    </row>
    <row r="10059" spans="13:13" ht="15" customHeight="1" x14ac:dyDescent="0.3">
      <c r="M10059" s="5"/>
    </row>
    <row r="10060" spans="13:13" ht="15" customHeight="1" x14ac:dyDescent="0.3">
      <c r="M10060" s="5"/>
    </row>
    <row r="10061" spans="13:13" ht="15" customHeight="1" x14ac:dyDescent="0.3">
      <c r="M10061" s="5"/>
    </row>
    <row r="10062" spans="13:13" ht="15" customHeight="1" x14ac:dyDescent="0.3">
      <c r="M10062" s="5"/>
    </row>
    <row r="10063" spans="13:13" ht="15" customHeight="1" x14ac:dyDescent="0.3">
      <c r="M10063" s="5"/>
    </row>
    <row r="10064" spans="13:13" ht="15" customHeight="1" x14ac:dyDescent="0.3">
      <c r="M10064" s="5"/>
    </row>
    <row r="10065" spans="13:13" ht="15" customHeight="1" x14ac:dyDescent="0.3">
      <c r="M10065" s="5"/>
    </row>
    <row r="10066" spans="13:13" ht="15" customHeight="1" x14ac:dyDescent="0.3">
      <c r="M10066" s="5"/>
    </row>
    <row r="10067" spans="13:13" ht="15" customHeight="1" x14ac:dyDescent="0.3">
      <c r="M10067" s="5"/>
    </row>
    <row r="10068" spans="13:13" ht="15" customHeight="1" x14ac:dyDescent="0.3">
      <c r="M10068" s="5"/>
    </row>
    <row r="10069" spans="13:13" ht="15" customHeight="1" x14ac:dyDescent="0.3">
      <c r="M10069" s="5"/>
    </row>
    <row r="10070" spans="13:13" ht="15" customHeight="1" x14ac:dyDescent="0.3">
      <c r="M10070" s="5"/>
    </row>
    <row r="10071" spans="13:13" ht="15" customHeight="1" x14ac:dyDescent="0.3">
      <c r="M10071" s="5"/>
    </row>
    <row r="10072" spans="13:13" ht="15" customHeight="1" x14ac:dyDescent="0.3">
      <c r="M10072" s="5"/>
    </row>
    <row r="10073" spans="13:13" ht="15" customHeight="1" x14ac:dyDescent="0.3">
      <c r="M10073" s="5"/>
    </row>
    <row r="10074" spans="13:13" ht="15" customHeight="1" x14ac:dyDescent="0.3">
      <c r="M10074" s="5"/>
    </row>
    <row r="10075" spans="13:13" ht="15" customHeight="1" x14ac:dyDescent="0.3">
      <c r="M10075" s="5"/>
    </row>
    <row r="10076" spans="13:13" ht="15" customHeight="1" x14ac:dyDescent="0.3">
      <c r="M10076" s="5"/>
    </row>
    <row r="10077" spans="13:13" ht="15" customHeight="1" x14ac:dyDescent="0.3">
      <c r="M10077" s="5"/>
    </row>
    <row r="10078" spans="13:13" ht="15" customHeight="1" x14ac:dyDescent="0.3">
      <c r="M10078" s="5"/>
    </row>
    <row r="10079" spans="13:13" ht="15" customHeight="1" x14ac:dyDescent="0.3">
      <c r="M10079" s="5"/>
    </row>
    <row r="10080" spans="13:13" ht="15" customHeight="1" x14ac:dyDescent="0.3">
      <c r="M10080" s="5"/>
    </row>
    <row r="10081" spans="13:13" ht="15" customHeight="1" x14ac:dyDescent="0.3">
      <c r="M10081" s="5"/>
    </row>
    <row r="10082" spans="13:13" ht="15" customHeight="1" x14ac:dyDescent="0.3">
      <c r="M10082" s="5"/>
    </row>
    <row r="10083" spans="13:13" ht="15" customHeight="1" x14ac:dyDescent="0.3">
      <c r="M10083" s="5"/>
    </row>
    <row r="10084" spans="13:13" ht="15" customHeight="1" x14ac:dyDescent="0.3">
      <c r="M10084" s="5"/>
    </row>
    <row r="10085" spans="13:13" ht="15" customHeight="1" x14ac:dyDescent="0.3">
      <c r="M10085" s="5"/>
    </row>
    <row r="10086" spans="13:13" ht="15" customHeight="1" x14ac:dyDescent="0.3">
      <c r="M10086" s="5"/>
    </row>
    <row r="10087" spans="13:13" ht="15" customHeight="1" x14ac:dyDescent="0.3">
      <c r="M10087" s="5"/>
    </row>
    <row r="10088" spans="13:13" ht="15" customHeight="1" x14ac:dyDescent="0.3">
      <c r="M10088" s="5"/>
    </row>
    <row r="10089" spans="13:13" ht="15" customHeight="1" x14ac:dyDescent="0.3">
      <c r="M10089" s="5"/>
    </row>
    <row r="10090" spans="13:13" ht="15" customHeight="1" x14ac:dyDescent="0.3">
      <c r="M10090" s="5"/>
    </row>
    <row r="10091" spans="13:13" ht="15" customHeight="1" x14ac:dyDescent="0.3">
      <c r="M10091" s="5"/>
    </row>
    <row r="10092" spans="13:13" ht="15" customHeight="1" x14ac:dyDescent="0.3">
      <c r="M10092" s="5"/>
    </row>
    <row r="10093" spans="13:13" ht="15" customHeight="1" x14ac:dyDescent="0.3">
      <c r="M10093" s="5"/>
    </row>
    <row r="10094" spans="13:13" ht="15" customHeight="1" x14ac:dyDescent="0.3">
      <c r="M10094" s="5"/>
    </row>
    <row r="10095" spans="13:13" ht="15" customHeight="1" x14ac:dyDescent="0.3">
      <c r="M10095" s="5"/>
    </row>
    <row r="10096" spans="13:13" ht="15" customHeight="1" x14ac:dyDescent="0.3">
      <c r="M10096" s="5"/>
    </row>
    <row r="10097" spans="13:13" ht="15" customHeight="1" x14ac:dyDescent="0.3">
      <c r="M10097" s="5"/>
    </row>
    <row r="10098" spans="13:13" ht="15" customHeight="1" x14ac:dyDescent="0.3">
      <c r="M10098" s="5"/>
    </row>
    <row r="10099" spans="13:13" ht="15" customHeight="1" x14ac:dyDescent="0.3">
      <c r="M10099" s="5"/>
    </row>
    <row r="10100" spans="13:13" ht="15" customHeight="1" x14ac:dyDescent="0.3">
      <c r="M10100" s="5"/>
    </row>
    <row r="10101" spans="13:13" ht="15" customHeight="1" x14ac:dyDescent="0.3">
      <c r="M10101" s="5"/>
    </row>
    <row r="10102" spans="13:13" ht="15" customHeight="1" x14ac:dyDescent="0.3">
      <c r="M10102" s="5"/>
    </row>
    <row r="10103" spans="13:13" ht="15" customHeight="1" x14ac:dyDescent="0.3">
      <c r="M10103" s="5"/>
    </row>
    <row r="10104" spans="13:13" ht="15" customHeight="1" x14ac:dyDescent="0.3">
      <c r="M10104" s="5"/>
    </row>
    <row r="10105" spans="13:13" ht="15" customHeight="1" x14ac:dyDescent="0.3">
      <c r="M10105" s="5"/>
    </row>
    <row r="10106" spans="13:13" ht="15" customHeight="1" x14ac:dyDescent="0.3">
      <c r="M10106" s="5"/>
    </row>
    <row r="10107" spans="13:13" ht="15" customHeight="1" x14ac:dyDescent="0.3">
      <c r="M10107" s="5"/>
    </row>
    <row r="10108" spans="13:13" ht="15" customHeight="1" x14ac:dyDescent="0.3">
      <c r="M10108" s="5"/>
    </row>
    <row r="10109" spans="13:13" ht="15" customHeight="1" x14ac:dyDescent="0.3">
      <c r="M10109" s="5"/>
    </row>
    <row r="10110" spans="13:13" ht="15" customHeight="1" x14ac:dyDescent="0.3">
      <c r="M10110" s="5"/>
    </row>
    <row r="10111" spans="13:13" ht="15" customHeight="1" x14ac:dyDescent="0.3">
      <c r="M10111" s="5"/>
    </row>
    <row r="10112" spans="13:13" ht="15" customHeight="1" x14ac:dyDescent="0.3">
      <c r="M10112" s="5"/>
    </row>
    <row r="10113" spans="13:13" ht="15" customHeight="1" x14ac:dyDescent="0.3">
      <c r="M10113" s="5"/>
    </row>
    <row r="10114" spans="13:13" ht="15" customHeight="1" x14ac:dyDescent="0.3">
      <c r="M10114" s="5"/>
    </row>
    <row r="10115" spans="13:13" ht="15" customHeight="1" x14ac:dyDescent="0.3">
      <c r="M10115" s="5"/>
    </row>
    <row r="10116" spans="13:13" ht="15" customHeight="1" x14ac:dyDescent="0.3">
      <c r="M10116" s="5"/>
    </row>
    <row r="10117" spans="13:13" ht="15" customHeight="1" x14ac:dyDescent="0.3">
      <c r="M10117" s="5"/>
    </row>
    <row r="10118" spans="13:13" ht="15" customHeight="1" x14ac:dyDescent="0.3">
      <c r="M10118" s="5"/>
    </row>
    <row r="10119" spans="13:13" ht="15" customHeight="1" x14ac:dyDescent="0.3">
      <c r="M10119" s="5"/>
    </row>
    <row r="10120" spans="13:13" ht="15" customHeight="1" x14ac:dyDescent="0.3">
      <c r="M10120" s="5"/>
    </row>
    <row r="10121" spans="13:13" ht="15" customHeight="1" x14ac:dyDescent="0.3">
      <c r="M10121" s="5"/>
    </row>
    <row r="10122" spans="13:13" ht="15" customHeight="1" x14ac:dyDescent="0.3">
      <c r="M10122" s="5"/>
    </row>
    <row r="10123" spans="13:13" ht="15" customHeight="1" x14ac:dyDescent="0.3">
      <c r="M10123" s="5"/>
    </row>
    <row r="10124" spans="13:13" ht="15" customHeight="1" x14ac:dyDescent="0.3">
      <c r="M10124" s="5"/>
    </row>
    <row r="10125" spans="13:13" ht="15" customHeight="1" x14ac:dyDescent="0.3">
      <c r="M10125" s="5"/>
    </row>
    <row r="10126" spans="13:13" ht="15" customHeight="1" x14ac:dyDescent="0.3">
      <c r="M10126" s="5"/>
    </row>
    <row r="10127" spans="13:13" ht="15" customHeight="1" x14ac:dyDescent="0.3">
      <c r="M10127" s="5"/>
    </row>
    <row r="10128" spans="13:13" ht="15" customHeight="1" x14ac:dyDescent="0.3">
      <c r="M10128" s="5"/>
    </row>
    <row r="10129" spans="13:13" ht="15" customHeight="1" x14ac:dyDescent="0.3">
      <c r="M10129" s="5"/>
    </row>
    <row r="10130" spans="13:13" ht="15" customHeight="1" x14ac:dyDescent="0.3">
      <c r="M10130" s="5"/>
    </row>
    <row r="10131" spans="13:13" ht="15" customHeight="1" x14ac:dyDescent="0.3">
      <c r="M10131" s="5"/>
    </row>
    <row r="10132" spans="13:13" ht="15" customHeight="1" x14ac:dyDescent="0.3">
      <c r="M10132" s="5"/>
    </row>
    <row r="10133" spans="13:13" ht="15" customHeight="1" x14ac:dyDescent="0.3">
      <c r="M10133" s="5"/>
    </row>
    <row r="10134" spans="13:13" ht="15" customHeight="1" x14ac:dyDescent="0.3">
      <c r="M10134" s="5"/>
    </row>
    <row r="10135" spans="13:13" ht="15" customHeight="1" x14ac:dyDescent="0.3">
      <c r="M10135" s="5"/>
    </row>
    <row r="10136" spans="13:13" ht="15" customHeight="1" x14ac:dyDescent="0.3">
      <c r="M10136" s="5"/>
    </row>
    <row r="10137" spans="13:13" ht="15" customHeight="1" x14ac:dyDescent="0.3">
      <c r="M10137" s="5"/>
    </row>
    <row r="10138" spans="13:13" ht="15" customHeight="1" x14ac:dyDescent="0.3">
      <c r="M10138" s="5"/>
    </row>
    <row r="10139" spans="13:13" ht="15" customHeight="1" x14ac:dyDescent="0.3">
      <c r="M10139" s="5"/>
    </row>
    <row r="10140" spans="13:13" ht="15" customHeight="1" x14ac:dyDescent="0.3">
      <c r="M10140" s="5"/>
    </row>
    <row r="10141" spans="13:13" ht="15" customHeight="1" x14ac:dyDescent="0.3">
      <c r="M10141" s="5"/>
    </row>
    <row r="10142" spans="13:13" ht="15" customHeight="1" x14ac:dyDescent="0.3">
      <c r="M10142" s="5"/>
    </row>
    <row r="10143" spans="13:13" ht="15" customHeight="1" x14ac:dyDescent="0.3">
      <c r="M10143" s="5"/>
    </row>
    <row r="10144" spans="13:13" ht="15" customHeight="1" x14ac:dyDescent="0.3">
      <c r="M10144" s="5"/>
    </row>
    <row r="10145" spans="13:13" ht="15" customHeight="1" x14ac:dyDescent="0.3">
      <c r="M10145" s="5"/>
    </row>
    <row r="10146" spans="13:13" ht="15" customHeight="1" x14ac:dyDescent="0.3">
      <c r="M10146" s="5"/>
    </row>
    <row r="10147" spans="13:13" ht="15" customHeight="1" x14ac:dyDescent="0.3">
      <c r="M10147" s="5"/>
    </row>
    <row r="10148" spans="13:13" ht="15" customHeight="1" x14ac:dyDescent="0.3">
      <c r="M10148" s="5"/>
    </row>
    <row r="10149" spans="13:13" ht="15" customHeight="1" x14ac:dyDescent="0.3">
      <c r="M10149" s="5"/>
    </row>
    <row r="10150" spans="13:13" ht="15" customHeight="1" x14ac:dyDescent="0.3">
      <c r="M10150" s="5"/>
    </row>
    <row r="10151" spans="13:13" ht="15" customHeight="1" x14ac:dyDescent="0.3">
      <c r="M10151" s="5"/>
    </row>
    <row r="10152" spans="13:13" ht="15" customHeight="1" x14ac:dyDescent="0.3">
      <c r="M10152" s="5"/>
    </row>
    <row r="10153" spans="13:13" ht="15" customHeight="1" x14ac:dyDescent="0.3">
      <c r="M10153" s="5"/>
    </row>
    <row r="10154" spans="13:13" ht="15" customHeight="1" x14ac:dyDescent="0.3">
      <c r="M10154" s="5"/>
    </row>
    <row r="10155" spans="13:13" ht="15" customHeight="1" x14ac:dyDescent="0.3">
      <c r="M10155" s="5"/>
    </row>
    <row r="10156" spans="13:13" ht="15" customHeight="1" x14ac:dyDescent="0.3">
      <c r="M10156" s="5"/>
    </row>
    <row r="10157" spans="13:13" ht="15" customHeight="1" x14ac:dyDescent="0.3">
      <c r="M10157" s="5"/>
    </row>
    <row r="10158" spans="13:13" ht="15" customHeight="1" x14ac:dyDescent="0.3">
      <c r="M10158" s="5"/>
    </row>
    <row r="10159" spans="13:13" ht="15" customHeight="1" x14ac:dyDescent="0.3">
      <c r="M10159" s="5"/>
    </row>
    <row r="10160" spans="13:13" ht="15" customHeight="1" x14ac:dyDescent="0.3">
      <c r="M10160" s="5"/>
    </row>
    <row r="10161" spans="13:13" ht="15" customHeight="1" x14ac:dyDescent="0.3">
      <c r="M10161" s="5"/>
    </row>
    <row r="10162" spans="13:13" ht="15" customHeight="1" x14ac:dyDescent="0.3">
      <c r="M10162" s="5"/>
    </row>
    <row r="10163" spans="13:13" ht="15" customHeight="1" x14ac:dyDescent="0.3">
      <c r="M10163" s="5"/>
    </row>
    <row r="10164" spans="13:13" ht="15" customHeight="1" x14ac:dyDescent="0.3">
      <c r="M10164" s="5"/>
    </row>
    <row r="10165" spans="13:13" ht="15" customHeight="1" x14ac:dyDescent="0.3">
      <c r="M10165" s="5"/>
    </row>
    <row r="10166" spans="13:13" ht="15" customHeight="1" x14ac:dyDescent="0.3">
      <c r="M10166" s="5"/>
    </row>
    <row r="10167" spans="13:13" ht="15" customHeight="1" x14ac:dyDescent="0.3">
      <c r="M10167" s="5"/>
    </row>
    <row r="10168" spans="13:13" ht="15" customHeight="1" x14ac:dyDescent="0.3">
      <c r="M10168" s="5"/>
    </row>
    <row r="10169" spans="13:13" ht="15" customHeight="1" x14ac:dyDescent="0.3">
      <c r="M10169" s="5"/>
    </row>
    <row r="10170" spans="13:13" ht="15" customHeight="1" x14ac:dyDescent="0.3">
      <c r="M10170" s="5"/>
    </row>
    <row r="10171" spans="13:13" ht="15" customHeight="1" x14ac:dyDescent="0.3">
      <c r="M10171" s="5"/>
    </row>
    <row r="10172" spans="13:13" ht="15" customHeight="1" x14ac:dyDescent="0.3">
      <c r="M10172" s="5"/>
    </row>
    <row r="10173" spans="13:13" ht="15" customHeight="1" x14ac:dyDescent="0.3">
      <c r="M10173" s="5"/>
    </row>
    <row r="10174" spans="13:13" ht="15" customHeight="1" x14ac:dyDescent="0.3">
      <c r="M10174" s="5"/>
    </row>
    <row r="10175" spans="13:13" ht="15" customHeight="1" x14ac:dyDescent="0.3">
      <c r="M10175" s="5"/>
    </row>
    <row r="10176" spans="13:13" ht="15" customHeight="1" x14ac:dyDescent="0.3">
      <c r="M10176" s="5"/>
    </row>
    <row r="10177" spans="13:13" ht="15" customHeight="1" x14ac:dyDescent="0.3">
      <c r="M10177" s="5"/>
    </row>
    <row r="10178" spans="13:13" ht="15" customHeight="1" x14ac:dyDescent="0.3">
      <c r="M10178" s="5"/>
    </row>
    <row r="10179" spans="13:13" ht="15" customHeight="1" x14ac:dyDescent="0.3">
      <c r="M10179" s="5"/>
    </row>
    <row r="10180" spans="13:13" ht="15" customHeight="1" x14ac:dyDescent="0.3">
      <c r="M10180" s="5"/>
    </row>
    <row r="10181" spans="13:13" ht="15" customHeight="1" x14ac:dyDescent="0.3">
      <c r="M10181" s="5"/>
    </row>
    <row r="10182" spans="13:13" ht="15" customHeight="1" x14ac:dyDescent="0.3">
      <c r="M10182" s="5"/>
    </row>
    <row r="10183" spans="13:13" ht="15" customHeight="1" x14ac:dyDescent="0.3">
      <c r="M10183" s="5"/>
    </row>
    <row r="10184" spans="13:13" ht="15" customHeight="1" x14ac:dyDescent="0.3">
      <c r="M10184" s="5"/>
    </row>
    <row r="10185" spans="13:13" ht="15" customHeight="1" x14ac:dyDescent="0.3">
      <c r="M10185" s="5"/>
    </row>
    <row r="10186" spans="13:13" ht="15" customHeight="1" x14ac:dyDescent="0.3">
      <c r="M10186" s="5"/>
    </row>
    <row r="10187" spans="13:13" ht="15" customHeight="1" x14ac:dyDescent="0.3">
      <c r="M10187" s="5"/>
    </row>
    <row r="10188" spans="13:13" ht="15" customHeight="1" x14ac:dyDescent="0.3">
      <c r="M10188" s="5"/>
    </row>
    <row r="10189" spans="13:13" ht="15" customHeight="1" x14ac:dyDescent="0.3">
      <c r="M10189" s="5"/>
    </row>
    <row r="10190" spans="13:13" ht="15" customHeight="1" x14ac:dyDescent="0.3">
      <c r="M10190" s="5"/>
    </row>
    <row r="10191" spans="13:13" ht="15" customHeight="1" x14ac:dyDescent="0.3">
      <c r="M10191" s="5"/>
    </row>
    <row r="10192" spans="13:13" ht="15" customHeight="1" x14ac:dyDescent="0.3">
      <c r="M10192" s="5"/>
    </row>
    <row r="10193" spans="13:13" ht="15" customHeight="1" x14ac:dyDescent="0.3">
      <c r="M10193" s="5"/>
    </row>
    <row r="10194" spans="13:13" ht="15" customHeight="1" x14ac:dyDescent="0.3">
      <c r="M10194" s="5"/>
    </row>
    <row r="10195" spans="13:13" ht="15" customHeight="1" x14ac:dyDescent="0.3">
      <c r="M10195" s="5"/>
    </row>
    <row r="10196" spans="13:13" ht="15" customHeight="1" x14ac:dyDescent="0.3">
      <c r="M10196" s="5"/>
    </row>
    <row r="10197" spans="13:13" ht="15" customHeight="1" x14ac:dyDescent="0.3">
      <c r="M10197" s="5"/>
    </row>
    <row r="10198" spans="13:13" ht="15" customHeight="1" x14ac:dyDescent="0.3">
      <c r="M10198" s="5"/>
    </row>
    <row r="10199" spans="13:13" ht="15" customHeight="1" x14ac:dyDescent="0.3">
      <c r="M10199" s="5"/>
    </row>
    <row r="10200" spans="13:13" ht="15" customHeight="1" x14ac:dyDescent="0.3">
      <c r="M10200" s="5"/>
    </row>
    <row r="10201" spans="13:13" ht="15" customHeight="1" x14ac:dyDescent="0.3">
      <c r="M10201" s="5"/>
    </row>
    <row r="10202" spans="13:13" ht="15" customHeight="1" x14ac:dyDescent="0.3">
      <c r="M10202" s="5"/>
    </row>
    <row r="10203" spans="13:13" ht="15" customHeight="1" x14ac:dyDescent="0.3">
      <c r="M10203" s="5"/>
    </row>
    <row r="10204" spans="13:13" ht="15" customHeight="1" x14ac:dyDescent="0.3">
      <c r="M10204" s="5"/>
    </row>
    <row r="10205" spans="13:13" ht="15" customHeight="1" x14ac:dyDescent="0.3">
      <c r="M10205" s="5"/>
    </row>
    <row r="10206" spans="13:13" ht="15" customHeight="1" x14ac:dyDescent="0.3">
      <c r="M10206" s="5"/>
    </row>
    <row r="10207" spans="13:13" ht="15" customHeight="1" x14ac:dyDescent="0.3">
      <c r="M10207" s="5"/>
    </row>
    <row r="10208" spans="13:13" ht="15" customHeight="1" x14ac:dyDescent="0.3">
      <c r="M10208" s="5"/>
    </row>
    <row r="10209" spans="13:13" ht="15" customHeight="1" x14ac:dyDescent="0.3">
      <c r="M10209" s="5"/>
    </row>
    <row r="10210" spans="13:13" ht="15" customHeight="1" x14ac:dyDescent="0.3">
      <c r="M10210" s="5"/>
    </row>
    <row r="10211" spans="13:13" ht="15" customHeight="1" x14ac:dyDescent="0.3">
      <c r="M10211" s="5"/>
    </row>
    <row r="10212" spans="13:13" ht="15" customHeight="1" x14ac:dyDescent="0.3">
      <c r="M10212" s="5"/>
    </row>
    <row r="10213" spans="13:13" ht="15" customHeight="1" x14ac:dyDescent="0.3">
      <c r="M10213" s="5"/>
    </row>
    <row r="10214" spans="13:13" ht="15" customHeight="1" x14ac:dyDescent="0.3">
      <c r="M10214" s="5"/>
    </row>
    <row r="10215" spans="13:13" ht="15" customHeight="1" x14ac:dyDescent="0.3">
      <c r="M10215" s="5"/>
    </row>
    <row r="10216" spans="13:13" ht="15" customHeight="1" x14ac:dyDescent="0.3">
      <c r="M10216" s="5"/>
    </row>
    <row r="10217" spans="13:13" ht="15" customHeight="1" x14ac:dyDescent="0.3">
      <c r="M10217" s="5"/>
    </row>
    <row r="10218" spans="13:13" ht="15" customHeight="1" x14ac:dyDescent="0.3">
      <c r="M10218" s="5"/>
    </row>
    <row r="10219" spans="13:13" ht="15" customHeight="1" x14ac:dyDescent="0.3">
      <c r="M10219" s="5"/>
    </row>
    <row r="10220" spans="13:13" ht="15" customHeight="1" x14ac:dyDescent="0.3">
      <c r="M10220" s="5"/>
    </row>
    <row r="10221" spans="13:13" ht="15" customHeight="1" x14ac:dyDescent="0.3">
      <c r="M10221" s="5"/>
    </row>
    <row r="10222" spans="13:13" ht="15" customHeight="1" x14ac:dyDescent="0.3">
      <c r="M10222" s="5"/>
    </row>
    <row r="10223" spans="13:13" ht="15" customHeight="1" x14ac:dyDescent="0.3">
      <c r="M10223" s="5"/>
    </row>
    <row r="10224" spans="13:13" ht="15" customHeight="1" x14ac:dyDescent="0.3">
      <c r="M10224" s="5"/>
    </row>
    <row r="10225" spans="13:13" ht="15" customHeight="1" x14ac:dyDescent="0.3">
      <c r="M10225" s="5"/>
    </row>
    <row r="10226" spans="13:13" ht="15" customHeight="1" x14ac:dyDescent="0.3">
      <c r="M10226" s="5"/>
    </row>
    <row r="10227" spans="13:13" ht="15" customHeight="1" x14ac:dyDescent="0.3">
      <c r="M10227" s="5"/>
    </row>
    <row r="10228" spans="13:13" ht="15" customHeight="1" x14ac:dyDescent="0.3">
      <c r="M10228" s="5"/>
    </row>
    <row r="10229" spans="13:13" ht="15" customHeight="1" x14ac:dyDescent="0.3">
      <c r="M10229" s="5"/>
    </row>
    <row r="10230" spans="13:13" ht="15" customHeight="1" x14ac:dyDescent="0.3">
      <c r="M10230" s="5"/>
    </row>
    <row r="10231" spans="13:13" ht="15" customHeight="1" x14ac:dyDescent="0.3">
      <c r="M10231" s="5"/>
    </row>
    <row r="10232" spans="13:13" ht="15" customHeight="1" x14ac:dyDescent="0.3">
      <c r="M10232" s="5"/>
    </row>
    <row r="10233" spans="13:13" ht="15" customHeight="1" x14ac:dyDescent="0.3">
      <c r="M10233" s="5"/>
    </row>
    <row r="10234" spans="13:13" ht="15" customHeight="1" x14ac:dyDescent="0.3">
      <c r="M10234" s="5"/>
    </row>
    <row r="10235" spans="13:13" ht="15" customHeight="1" x14ac:dyDescent="0.3">
      <c r="M10235" s="5"/>
    </row>
    <row r="10236" spans="13:13" ht="15" customHeight="1" x14ac:dyDescent="0.3">
      <c r="M10236" s="5"/>
    </row>
    <row r="10237" spans="13:13" ht="15" customHeight="1" x14ac:dyDescent="0.3">
      <c r="M10237" s="5"/>
    </row>
    <row r="10238" spans="13:13" ht="15" customHeight="1" x14ac:dyDescent="0.3">
      <c r="M10238" s="5"/>
    </row>
    <row r="10239" spans="13:13" ht="15" customHeight="1" x14ac:dyDescent="0.3">
      <c r="M10239" s="5"/>
    </row>
    <row r="10240" spans="13:13" ht="15" customHeight="1" x14ac:dyDescent="0.3">
      <c r="M10240" s="5"/>
    </row>
    <row r="10241" spans="13:13" ht="15" customHeight="1" x14ac:dyDescent="0.3">
      <c r="M10241" s="5"/>
    </row>
    <row r="10242" spans="13:13" ht="15" customHeight="1" x14ac:dyDescent="0.3">
      <c r="M10242" s="5"/>
    </row>
    <row r="10243" spans="13:13" ht="15" customHeight="1" x14ac:dyDescent="0.3">
      <c r="M10243" s="5"/>
    </row>
    <row r="10244" spans="13:13" ht="15" customHeight="1" x14ac:dyDescent="0.3">
      <c r="M10244" s="5"/>
    </row>
    <row r="10245" spans="13:13" ht="15" customHeight="1" x14ac:dyDescent="0.3">
      <c r="M10245" s="5"/>
    </row>
    <row r="10246" spans="13:13" ht="15" customHeight="1" x14ac:dyDescent="0.3">
      <c r="M10246" s="5"/>
    </row>
    <row r="10247" spans="13:13" ht="15" customHeight="1" x14ac:dyDescent="0.3">
      <c r="M10247" s="5"/>
    </row>
    <row r="10248" spans="13:13" ht="15" customHeight="1" x14ac:dyDescent="0.3">
      <c r="M10248" s="5"/>
    </row>
    <row r="10249" spans="13:13" ht="15" customHeight="1" x14ac:dyDescent="0.3">
      <c r="M10249" s="5"/>
    </row>
    <row r="10250" spans="13:13" ht="15" customHeight="1" x14ac:dyDescent="0.3">
      <c r="M10250" s="5"/>
    </row>
    <row r="10251" spans="13:13" ht="15" customHeight="1" x14ac:dyDescent="0.3">
      <c r="M10251" s="5"/>
    </row>
    <row r="10252" spans="13:13" ht="15" customHeight="1" x14ac:dyDescent="0.3">
      <c r="M10252" s="5"/>
    </row>
    <row r="10253" spans="13:13" ht="15" customHeight="1" x14ac:dyDescent="0.3">
      <c r="M10253" s="5"/>
    </row>
    <row r="10254" spans="13:13" ht="15" customHeight="1" x14ac:dyDescent="0.3">
      <c r="M10254" s="5"/>
    </row>
    <row r="10255" spans="13:13" ht="15" customHeight="1" x14ac:dyDescent="0.3">
      <c r="M10255" s="5"/>
    </row>
    <row r="10256" spans="13:13" ht="15" customHeight="1" x14ac:dyDescent="0.3">
      <c r="M10256" s="5"/>
    </row>
    <row r="10257" spans="13:13" ht="15" customHeight="1" x14ac:dyDescent="0.3">
      <c r="M10257" s="5"/>
    </row>
    <row r="10258" spans="13:13" ht="15" customHeight="1" x14ac:dyDescent="0.3">
      <c r="M10258" s="5"/>
    </row>
    <row r="10259" spans="13:13" ht="15" customHeight="1" x14ac:dyDescent="0.3">
      <c r="M10259" s="5"/>
    </row>
    <row r="10260" spans="13:13" ht="15" customHeight="1" x14ac:dyDescent="0.3">
      <c r="M10260" s="5"/>
    </row>
    <row r="10261" spans="13:13" ht="15" customHeight="1" x14ac:dyDescent="0.3">
      <c r="M10261" s="5"/>
    </row>
    <row r="10262" spans="13:13" ht="15" customHeight="1" x14ac:dyDescent="0.3">
      <c r="M10262" s="5"/>
    </row>
    <row r="10263" spans="13:13" ht="15" customHeight="1" x14ac:dyDescent="0.3">
      <c r="M10263" s="5"/>
    </row>
    <row r="10264" spans="13:13" ht="15" customHeight="1" x14ac:dyDescent="0.3">
      <c r="M10264" s="5"/>
    </row>
    <row r="10265" spans="13:13" ht="15" customHeight="1" x14ac:dyDescent="0.3">
      <c r="M10265" s="5"/>
    </row>
    <row r="10266" spans="13:13" ht="15" customHeight="1" x14ac:dyDescent="0.3">
      <c r="M10266" s="5"/>
    </row>
    <row r="10267" spans="13:13" ht="15" customHeight="1" x14ac:dyDescent="0.3">
      <c r="M10267" s="5"/>
    </row>
    <row r="10268" spans="13:13" ht="15" customHeight="1" x14ac:dyDescent="0.3">
      <c r="M10268" s="5"/>
    </row>
    <row r="10269" spans="13:13" ht="15" customHeight="1" x14ac:dyDescent="0.3">
      <c r="M10269" s="5"/>
    </row>
    <row r="10270" spans="13:13" ht="15" customHeight="1" x14ac:dyDescent="0.3">
      <c r="M10270" s="5"/>
    </row>
    <row r="10271" spans="13:13" ht="15" customHeight="1" x14ac:dyDescent="0.3">
      <c r="M10271" s="5"/>
    </row>
    <row r="10272" spans="13:13" ht="15" customHeight="1" x14ac:dyDescent="0.3">
      <c r="M10272" s="5"/>
    </row>
    <row r="10273" spans="13:13" ht="15" customHeight="1" x14ac:dyDescent="0.3">
      <c r="M10273" s="5"/>
    </row>
    <row r="10274" spans="13:13" ht="15" customHeight="1" x14ac:dyDescent="0.3">
      <c r="M10274" s="5"/>
    </row>
    <row r="10275" spans="13:13" ht="15" customHeight="1" x14ac:dyDescent="0.3">
      <c r="M10275" s="5"/>
    </row>
    <row r="10276" spans="13:13" ht="15" customHeight="1" x14ac:dyDescent="0.3">
      <c r="M10276" s="5"/>
    </row>
    <row r="10277" spans="13:13" ht="15" customHeight="1" x14ac:dyDescent="0.3">
      <c r="M10277" s="5"/>
    </row>
    <row r="10278" spans="13:13" ht="15" customHeight="1" x14ac:dyDescent="0.3">
      <c r="M10278" s="5"/>
    </row>
    <row r="10279" spans="13:13" ht="15" customHeight="1" x14ac:dyDescent="0.3">
      <c r="M10279" s="5"/>
    </row>
    <row r="10280" spans="13:13" ht="15" customHeight="1" x14ac:dyDescent="0.3">
      <c r="M10280" s="5"/>
    </row>
    <row r="10281" spans="13:13" ht="15" customHeight="1" x14ac:dyDescent="0.3">
      <c r="M10281" s="5"/>
    </row>
    <row r="10282" spans="13:13" ht="15" customHeight="1" x14ac:dyDescent="0.3">
      <c r="M10282" s="5"/>
    </row>
    <row r="10283" spans="13:13" ht="15" customHeight="1" x14ac:dyDescent="0.3">
      <c r="M10283" s="5"/>
    </row>
    <row r="10284" spans="13:13" ht="15" customHeight="1" x14ac:dyDescent="0.3">
      <c r="M10284" s="5"/>
    </row>
    <row r="10285" spans="13:13" ht="15" customHeight="1" x14ac:dyDescent="0.3">
      <c r="M10285" s="5"/>
    </row>
    <row r="10286" spans="13:13" ht="15" customHeight="1" x14ac:dyDescent="0.3">
      <c r="M10286" s="5"/>
    </row>
    <row r="10287" spans="13:13" ht="15" customHeight="1" x14ac:dyDescent="0.3">
      <c r="M10287" s="5"/>
    </row>
    <row r="10288" spans="13:13" ht="15" customHeight="1" x14ac:dyDescent="0.3">
      <c r="M10288" s="5"/>
    </row>
    <row r="10289" spans="13:13" ht="15" customHeight="1" x14ac:dyDescent="0.3">
      <c r="M10289" s="5"/>
    </row>
    <row r="10290" spans="13:13" ht="15" customHeight="1" x14ac:dyDescent="0.3">
      <c r="M10290" s="5"/>
    </row>
    <row r="10291" spans="13:13" ht="15" customHeight="1" x14ac:dyDescent="0.3">
      <c r="M10291" s="5"/>
    </row>
    <row r="10292" spans="13:13" ht="15" customHeight="1" x14ac:dyDescent="0.3">
      <c r="M10292" s="5"/>
    </row>
    <row r="10293" spans="13:13" ht="15" customHeight="1" x14ac:dyDescent="0.3">
      <c r="M10293" s="5"/>
    </row>
    <row r="10294" spans="13:13" ht="15" customHeight="1" x14ac:dyDescent="0.3">
      <c r="M10294" s="5"/>
    </row>
    <row r="10295" spans="13:13" ht="15" customHeight="1" x14ac:dyDescent="0.3">
      <c r="M10295" s="5"/>
    </row>
    <row r="10296" spans="13:13" ht="15" customHeight="1" x14ac:dyDescent="0.3">
      <c r="M10296" s="5"/>
    </row>
    <row r="10297" spans="13:13" ht="15" customHeight="1" x14ac:dyDescent="0.3">
      <c r="M10297" s="5"/>
    </row>
    <row r="10298" spans="13:13" ht="15" customHeight="1" x14ac:dyDescent="0.3">
      <c r="M10298" s="5"/>
    </row>
    <row r="10299" spans="13:13" ht="15" customHeight="1" x14ac:dyDescent="0.3">
      <c r="M10299" s="5"/>
    </row>
    <row r="10300" spans="13:13" ht="15" customHeight="1" x14ac:dyDescent="0.3">
      <c r="M10300" s="5"/>
    </row>
    <row r="10301" spans="13:13" ht="15" customHeight="1" x14ac:dyDescent="0.3">
      <c r="M10301" s="5"/>
    </row>
    <row r="10302" spans="13:13" ht="15" customHeight="1" x14ac:dyDescent="0.3">
      <c r="M10302" s="5"/>
    </row>
    <row r="10303" spans="13:13" ht="15" customHeight="1" x14ac:dyDescent="0.3">
      <c r="M10303" s="5"/>
    </row>
    <row r="10304" spans="13:13" ht="15" customHeight="1" x14ac:dyDescent="0.3">
      <c r="M10304" s="5"/>
    </row>
    <row r="10305" spans="13:13" ht="15" customHeight="1" x14ac:dyDescent="0.3">
      <c r="M10305" s="5"/>
    </row>
    <row r="10306" spans="13:13" ht="15" customHeight="1" x14ac:dyDescent="0.3">
      <c r="M10306" s="5"/>
    </row>
    <row r="10307" spans="13:13" ht="15" customHeight="1" x14ac:dyDescent="0.3">
      <c r="M10307" s="5"/>
    </row>
    <row r="10308" spans="13:13" ht="15" customHeight="1" x14ac:dyDescent="0.3">
      <c r="M10308" s="5"/>
    </row>
    <row r="10309" spans="13:13" ht="15" customHeight="1" x14ac:dyDescent="0.3">
      <c r="M10309" s="5"/>
    </row>
    <row r="10310" spans="13:13" ht="15" customHeight="1" x14ac:dyDescent="0.3">
      <c r="M10310" s="5"/>
    </row>
    <row r="10311" spans="13:13" ht="15" customHeight="1" x14ac:dyDescent="0.3">
      <c r="M10311" s="5"/>
    </row>
    <row r="10312" spans="13:13" ht="15" customHeight="1" x14ac:dyDescent="0.3">
      <c r="M10312" s="5"/>
    </row>
    <row r="10313" spans="13:13" ht="15" customHeight="1" x14ac:dyDescent="0.3">
      <c r="M10313" s="5"/>
    </row>
    <row r="10314" spans="13:13" ht="15" customHeight="1" x14ac:dyDescent="0.3">
      <c r="M10314" s="5"/>
    </row>
    <row r="10315" spans="13:13" ht="15" customHeight="1" x14ac:dyDescent="0.3">
      <c r="M10315" s="5"/>
    </row>
    <row r="10316" spans="13:13" ht="15" customHeight="1" x14ac:dyDescent="0.3">
      <c r="M10316" s="5"/>
    </row>
    <row r="10317" spans="13:13" ht="15" customHeight="1" x14ac:dyDescent="0.3">
      <c r="M10317" s="5"/>
    </row>
    <row r="10318" spans="13:13" ht="15" customHeight="1" x14ac:dyDescent="0.3">
      <c r="M10318" s="5"/>
    </row>
    <row r="10319" spans="13:13" ht="15" customHeight="1" x14ac:dyDescent="0.3">
      <c r="M10319" s="5"/>
    </row>
    <row r="10320" spans="13:13" ht="15" customHeight="1" x14ac:dyDescent="0.3">
      <c r="M10320" s="5"/>
    </row>
    <row r="10321" spans="13:13" ht="15" customHeight="1" x14ac:dyDescent="0.3">
      <c r="M10321" s="5"/>
    </row>
    <row r="10322" spans="13:13" ht="15" customHeight="1" x14ac:dyDescent="0.3">
      <c r="M10322" s="5"/>
    </row>
    <row r="10323" spans="13:13" ht="15" customHeight="1" x14ac:dyDescent="0.3">
      <c r="M10323" s="5"/>
    </row>
    <row r="10324" spans="13:13" ht="15" customHeight="1" x14ac:dyDescent="0.3">
      <c r="M10324" s="5"/>
    </row>
    <row r="10325" spans="13:13" ht="15" customHeight="1" x14ac:dyDescent="0.3">
      <c r="M10325" s="5"/>
    </row>
    <row r="10326" spans="13:13" ht="15" customHeight="1" x14ac:dyDescent="0.3">
      <c r="M10326" s="5"/>
    </row>
    <row r="10327" spans="13:13" ht="15" customHeight="1" x14ac:dyDescent="0.3">
      <c r="M10327" s="5"/>
    </row>
    <row r="10328" spans="13:13" ht="15" customHeight="1" x14ac:dyDescent="0.3">
      <c r="M10328" s="5"/>
    </row>
    <row r="10329" spans="13:13" ht="15" customHeight="1" x14ac:dyDescent="0.3">
      <c r="M10329" s="5"/>
    </row>
    <row r="10330" spans="13:13" ht="15" customHeight="1" x14ac:dyDescent="0.3">
      <c r="M10330" s="5"/>
    </row>
    <row r="10331" spans="13:13" ht="15" customHeight="1" x14ac:dyDescent="0.3">
      <c r="M10331" s="5"/>
    </row>
    <row r="10332" spans="13:13" ht="15" customHeight="1" x14ac:dyDescent="0.3">
      <c r="M10332" s="5"/>
    </row>
    <row r="10333" spans="13:13" ht="15" customHeight="1" x14ac:dyDescent="0.3">
      <c r="M10333" s="5"/>
    </row>
    <row r="10334" spans="13:13" ht="15" customHeight="1" x14ac:dyDescent="0.3">
      <c r="M10334" s="5"/>
    </row>
    <row r="10335" spans="13:13" ht="15" customHeight="1" x14ac:dyDescent="0.3">
      <c r="M10335" s="5"/>
    </row>
    <row r="10336" spans="13:13" ht="15" customHeight="1" x14ac:dyDescent="0.3">
      <c r="M10336" s="5"/>
    </row>
    <row r="10337" spans="13:13" ht="15" customHeight="1" x14ac:dyDescent="0.3">
      <c r="M10337" s="5"/>
    </row>
    <row r="10338" spans="13:13" ht="15" customHeight="1" x14ac:dyDescent="0.3">
      <c r="M10338" s="5"/>
    </row>
    <row r="10339" spans="13:13" ht="15" customHeight="1" x14ac:dyDescent="0.3">
      <c r="M10339" s="5"/>
    </row>
    <row r="10340" spans="13:13" ht="15" customHeight="1" x14ac:dyDescent="0.3">
      <c r="M10340" s="5"/>
    </row>
    <row r="10341" spans="13:13" ht="15" customHeight="1" x14ac:dyDescent="0.3">
      <c r="M10341" s="5"/>
    </row>
    <row r="10342" spans="13:13" ht="15" customHeight="1" x14ac:dyDescent="0.3">
      <c r="M10342" s="5"/>
    </row>
    <row r="10343" spans="13:13" ht="15" customHeight="1" x14ac:dyDescent="0.3">
      <c r="M10343" s="5"/>
    </row>
    <row r="10344" spans="13:13" ht="15" customHeight="1" x14ac:dyDescent="0.3">
      <c r="M10344" s="5"/>
    </row>
    <row r="10345" spans="13:13" ht="15" customHeight="1" x14ac:dyDescent="0.3">
      <c r="M10345" s="5"/>
    </row>
    <row r="10346" spans="13:13" ht="15" customHeight="1" x14ac:dyDescent="0.3">
      <c r="M10346" s="5"/>
    </row>
    <row r="10347" spans="13:13" ht="15" customHeight="1" x14ac:dyDescent="0.3">
      <c r="M10347" s="5"/>
    </row>
    <row r="10348" spans="13:13" ht="15" customHeight="1" x14ac:dyDescent="0.3">
      <c r="M10348" s="5"/>
    </row>
    <row r="10349" spans="13:13" ht="15" customHeight="1" x14ac:dyDescent="0.3">
      <c r="M10349" s="5"/>
    </row>
    <row r="10350" spans="13:13" ht="15" customHeight="1" x14ac:dyDescent="0.3">
      <c r="M10350" s="5"/>
    </row>
    <row r="10351" spans="13:13" ht="15" customHeight="1" x14ac:dyDescent="0.3">
      <c r="M10351" s="5"/>
    </row>
    <row r="10352" spans="13:13" ht="15" customHeight="1" x14ac:dyDescent="0.3">
      <c r="M10352" s="5"/>
    </row>
    <row r="10353" spans="13:13" ht="15" customHeight="1" x14ac:dyDescent="0.3">
      <c r="M10353" s="5"/>
    </row>
    <row r="10354" spans="13:13" ht="15" customHeight="1" x14ac:dyDescent="0.3">
      <c r="M10354" s="5"/>
    </row>
    <row r="10355" spans="13:13" ht="15" customHeight="1" x14ac:dyDescent="0.3">
      <c r="M10355" s="5"/>
    </row>
    <row r="10356" spans="13:13" ht="15" customHeight="1" x14ac:dyDescent="0.3">
      <c r="M10356" s="5"/>
    </row>
    <row r="10357" spans="13:13" ht="15" customHeight="1" x14ac:dyDescent="0.3">
      <c r="M10357" s="5"/>
    </row>
    <row r="10358" spans="13:13" ht="15" customHeight="1" x14ac:dyDescent="0.3">
      <c r="M10358" s="5"/>
    </row>
    <row r="10359" spans="13:13" ht="15" customHeight="1" x14ac:dyDescent="0.3">
      <c r="M10359" s="5"/>
    </row>
    <row r="10360" spans="13:13" ht="15" customHeight="1" x14ac:dyDescent="0.3">
      <c r="M10360" s="5"/>
    </row>
    <row r="10361" spans="13:13" ht="15" customHeight="1" x14ac:dyDescent="0.3">
      <c r="M10361" s="5"/>
    </row>
    <row r="10362" spans="13:13" ht="15" customHeight="1" x14ac:dyDescent="0.3">
      <c r="M10362" s="5"/>
    </row>
    <row r="10363" spans="13:13" ht="15" customHeight="1" x14ac:dyDescent="0.3">
      <c r="M10363" s="5"/>
    </row>
    <row r="10364" spans="13:13" ht="15" customHeight="1" x14ac:dyDescent="0.3">
      <c r="M10364" s="5"/>
    </row>
    <row r="10365" spans="13:13" ht="15" customHeight="1" x14ac:dyDescent="0.3">
      <c r="M10365" s="5"/>
    </row>
    <row r="10366" spans="13:13" ht="15" customHeight="1" x14ac:dyDescent="0.3">
      <c r="M10366" s="5"/>
    </row>
    <row r="10367" spans="13:13" ht="15" customHeight="1" x14ac:dyDescent="0.3">
      <c r="M10367" s="5"/>
    </row>
    <row r="10368" spans="13:13" ht="15" customHeight="1" x14ac:dyDescent="0.3">
      <c r="M10368" s="5"/>
    </row>
    <row r="10369" spans="13:13" ht="15" customHeight="1" x14ac:dyDescent="0.3">
      <c r="M10369" s="5"/>
    </row>
    <row r="10370" spans="13:13" ht="15" customHeight="1" x14ac:dyDescent="0.3">
      <c r="M10370" s="5"/>
    </row>
    <row r="10371" spans="13:13" ht="15" customHeight="1" x14ac:dyDescent="0.3">
      <c r="M10371" s="5"/>
    </row>
    <row r="10372" spans="13:13" ht="15" customHeight="1" x14ac:dyDescent="0.3">
      <c r="M10372" s="5"/>
    </row>
    <row r="10373" spans="13:13" ht="15" customHeight="1" x14ac:dyDescent="0.3">
      <c r="M10373" s="5"/>
    </row>
    <row r="10374" spans="13:13" ht="15" customHeight="1" x14ac:dyDescent="0.3">
      <c r="M10374" s="5"/>
    </row>
    <row r="10375" spans="13:13" ht="15" customHeight="1" x14ac:dyDescent="0.3">
      <c r="M10375" s="5"/>
    </row>
    <row r="10376" spans="13:13" ht="15" customHeight="1" x14ac:dyDescent="0.3">
      <c r="M10376" s="5"/>
    </row>
    <row r="10377" spans="13:13" ht="15" customHeight="1" x14ac:dyDescent="0.3">
      <c r="M10377" s="5"/>
    </row>
    <row r="10378" spans="13:13" ht="15" customHeight="1" x14ac:dyDescent="0.3">
      <c r="M10378" s="5"/>
    </row>
    <row r="10379" spans="13:13" ht="15" customHeight="1" x14ac:dyDescent="0.3">
      <c r="M10379" s="5"/>
    </row>
    <row r="10380" spans="13:13" ht="15" customHeight="1" x14ac:dyDescent="0.3">
      <c r="M10380" s="5"/>
    </row>
    <row r="10381" spans="13:13" ht="15" customHeight="1" x14ac:dyDescent="0.3">
      <c r="M10381" s="5"/>
    </row>
    <row r="10382" spans="13:13" ht="15" customHeight="1" x14ac:dyDescent="0.3">
      <c r="M10382" s="5"/>
    </row>
    <row r="10383" spans="13:13" ht="15" customHeight="1" x14ac:dyDescent="0.3">
      <c r="M10383" s="5"/>
    </row>
    <row r="10384" spans="13:13" ht="15" customHeight="1" x14ac:dyDescent="0.3">
      <c r="M10384" s="5"/>
    </row>
    <row r="10385" spans="13:13" ht="15" customHeight="1" x14ac:dyDescent="0.3">
      <c r="M10385" s="5"/>
    </row>
    <row r="10386" spans="13:13" ht="15" customHeight="1" x14ac:dyDescent="0.3">
      <c r="M10386" s="5"/>
    </row>
    <row r="10387" spans="13:13" ht="15" customHeight="1" x14ac:dyDescent="0.3">
      <c r="M10387" s="5"/>
    </row>
    <row r="10388" spans="13:13" ht="15" customHeight="1" x14ac:dyDescent="0.3">
      <c r="M10388" s="5"/>
    </row>
    <row r="10389" spans="13:13" ht="15" customHeight="1" x14ac:dyDescent="0.3">
      <c r="M10389" s="5"/>
    </row>
    <row r="10390" spans="13:13" ht="15" customHeight="1" x14ac:dyDescent="0.3">
      <c r="M10390" s="5"/>
    </row>
    <row r="10391" spans="13:13" ht="15" customHeight="1" x14ac:dyDescent="0.3">
      <c r="M10391" s="5"/>
    </row>
    <row r="10392" spans="13:13" ht="15" customHeight="1" x14ac:dyDescent="0.3">
      <c r="M10392" s="5"/>
    </row>
    <row r="10393" spans="13:13" ht="15" customHeight="1" x14ac:dyDescent="0.3">
      <c r="M10393" s="5"/>
    </row>
    <row r="10394" spans="13:13" ht="15" customHeight="1" x14ac:dyDescent="0.3">
      <c r="M10394" s="5"/>
    </row>
    <row r="10395" spans="13:13" ht="15" customHeight="1" x14ac:dyDescent="0.3">
      <c r="M10395" s="5"/>
    </row>
    <row r="10396" spans="13:13" ht="15" customHeight="1" x14ac:dyDescent="0.3">
      <c r="M10396" s="5"/>
    </row>
    <row r="10397" spans="13:13" ht="15" customHeight="1" x14ac:dyDescent="0.3">
      <c r="M10397" s="5"/>
    </row>
    <row r="10398" spans="13:13" ht="15" customHeight="1" x14ac:dyDescent="0.3">
      <c r="M10398" s="5"/>
    </row>
    <row r="10399" spans="13:13" ht="15" customHeight="1" x14ac:dyDescent="0.3">
      <c r="M10399" s="5"/>
    </row>
    <row r="10400" spans="13:13" ht="15" customHeight="1" x14ac:dyDescent="0.3">
      <c r="M10400" s="5"/>
    </row>
    <row r="10401" spans="13:13" ht="15" customHeight="1" x14ac:dyDescent="0.3">
      <c r="M10401" s="5"/>
    </row>
    <row r="10402" spans="13:13" ht="15" customHeight="1" x14ac:dyDescent="0.3">
      <c r="M10402" s="5"/>
    </row>
    <row r="10403" spans="13:13" ht="15" customHeight="1" x14ac:dyDescent="0.3">
      <c r="M10403" s="5"/>
    </row>
    <row r="10404" spans="13:13" ht="15" customHeight="1" x14ac:dyDescent="0.3">
      <c r="M10404" s="5"/>
    </row>
    <row r="10405" spans="13:13" ht="15" customHeight="1" x14ac:dyDescent="0.3">
      <c r="M10405" s="5"/>
    </row>
    <row r="10406" spans="13:13" ht="15" customHeight="1" x14ac:dyDescent="0.3">
      <c r="M10406" s="5"/>
    </row>
    <row r="10407" spans="13:13" ht="15" customHeight="1" x14ac:dyDescent="0.3">
      <c r="M10407" s="5"/>
    </row>
    <row r="10408" spans="13:13" ht="15" customHeight="1" x14ac:dyDescent="0.3">
      <c r="M10408" s="5"/>
    </row>
    <row r="10409" spans="13:13" ht="15" customHeight="1" x14ac:dyDescent="0.3">
      <c r="M10409" s="5"/>
    </row>
    <row r="10410" spans="13:13" ht="15" customHeight="1" x14ac:dyDescent="0.3">
      <c r="M10410" s="5"/>
    </row>
    <row r="10411" spans="13:13" ht="15" customHeight="1" x14ac:dyDescent="0.3">
      <c r="M10411" s="5"/>
    </row>
    <row r="10412" spans="13:13" ht="15" customHeight="1" x14ac:dyDescent="0.3">
      <c r="M10412" s="5"/>
    </row>
    <row r="10413" spans="13:13" ht="15" customHeight="1" x14ac:dyDescent="0.3">
      <c r="M10413" s="5"/>
    </row>
    <row r="10414" spans="13:13" ht="15" customHeight="1" x14ac:dyDescent="0.3">
      <c r="M10414" s="5"/>
    </row>
    <row r="10415" spans="13:13" ht="15" customHeight="1" x14ac:dyDescent="0.3">
      <c r="M10415" s="5"/>
    </row>
    <row r="10416" spans="13:13" ht="15" customHeight="1" x14ac:dyDescent="0.3">
      <c r="M10416" s="5"/>
    </row>
    <row r="10417" spans="13:13" ht="15" customHeight="1" x14ac:dyDescent="0.3">
      <c r="M10417" s="5"/>
    </row>
    <row r="10418" spans="13:13" ht="15" customHeight="1" x14ac:dyDescent="0.3">
      <c r="M10418" s="5"/>
    </row>
    <row r="10419" spans="13:13" ht="15" customHeight="1" x14ac:dyDescent="0.3">
      <c r="M10419" s="5"/>
    </row>
    <row r="10420" spans="13:13" ht="15" customHeight="1" x14ac:dyDescent="0.3">
      <c r="M10420" s="5"/>
    </row>
    <row r="10421" spans="13:13" ht="15" customHeight="1" x14ac:dyDescent="0.3">
      <c r="M10421" s="5"/>
    </row>
    <row r="10422" spans="13:13" ht="15" customHeight="1" x14ac:dyDescent="0.3">
      <c r="M10422" s="5"/>
    </row>
    <row r="10423" spans="13:13" ht="15" customHeight="1" x14ac:dyDescent="0.3">
      <c r="M10423" s="5"/>
    </row>
    <row r="10424" spans="13:13" ht="15" customHeight="1" x14ac:dyDescent="0.3">
      <c r="M10424" s="5"/>
    </row>
    <row r="10425" spans="13:13" ht="15" customHeight="1" x14ac:dyDescent="0.3">
      <c r="M10425" s="5"/>
    </row>
    <row r="10426" spans="13:13" ht="15" customHeight="1" x14ac:dyDescent="0.3">
      <c r="M10426" s="5"/>
    </row>
    <row r="10427" spans="13:13" ht="15" customHeight="1" x14ac:dyDescent="0.3">
      <c r="M10427" s="5"/>
    </row>
    <row r="10428" spans="13:13" ht="15" customHeight="1" x14ac:dyDescent="0.3">
      <c r="M10428" s="5"/>
    </row>
    <row r="10429" spans="13:13" ht="15" customHeight="1" x14ac:dyDescent="0.3">
      <c r="M10429" s="5"/>
    </row>
    <row r="10430" spans="13:13" ht="15" customHeight="1" x14ac:dyDescent="0.3">
      <c r="M10430" s="5"/>
    </row>
    <row r="10431" spans="13:13" ht="15" customHeight="1" x14ac:dyDescent="0.3">
      <c r="M10431" s="5"/>
    </row>
    <row r="10432" spans="13:13" ht="15" customHeight="1" x14ac:dyDescent="0.3">
      <c r="M10432" s="5"/>
    </row>
    <row r="10433" spans="13:13" ht="15" customHeight="1" x14ac:dyDescent="0.3">
      <c r="M10433" s="5"/>
    </row>
    <row r="10434" spans="13:13" ht="15" customHeight="1" x14ac:dyDescent="0.3">
      <c r="M10434" s="5"/>
    </row>
    <row r="10435" spans="13:13" ht="15" customHeight="1" x14ac:dyDescent="0.3">
      <c r="M10435" s="5"/>
    </row>
    <row r="10436" spans="13:13" ht="15" customHeight="1" x14ac:dyDescent="0.3">
      <c r="M10436" s="5"/>
    </row>
    <row r="10437" spans="13:13" ht="15" customHeight="1" x14ac:dyDescent="0.3">
      <c r="M10437" s="5"/>
    </row>
    <row r="10438" spans="13:13" ht="15" customHeight="1" x14ac:dyDescent="0.3">
      <c r="M10438" s="5"/>
    </row>
    <row r="10439" spans="13:13" ht="15" customHeight="1" x14ac:dyDescent="0.3">
      <c r="M10439" s="5"/>
    </row>
    <row r="10440" spans="13:13" ht="15" customHeight="1" x14ac:dyDescent="0.3">
      <c r="M10440" s="5"/>
    </row>
    <row r="10441" spans="13:13" ht="15" customHeight="1" x14ac:dyDescent="0.3">
      <c r="M10441" s="5"/>
    </row>
    <row r="10442" spans="13:13" ht="15" customHeight="1" x14ac:dyDescent="0.3">
      <c r="M10442" s="5"/>
    </row>
    <row r="10443" spans="13:13" ht="15" customHeight="1" x14ac:dyDescent="0.3">
      <c r="M10443" s="5"/>
    </row>
    <row r="10444" spans="13:13" ht="15" customHeight="1" x14ac:dyDescent="0.3">
      <c r="M10444" s="5"/>
    </row>
    <row r="10445" spans="13:13" ht="15" customHeight="1" x14ac:dyDescent="0.3">
      <c r="M10445" s="5"/>
    </row>
    <row r="10446" spans="13:13" ht="15" customHeight="1" x14ac:dyDescent="0.3">
      <c r="M10446" s="5"/>
    </row>
    <row r="10447" spans="13:13" ht="15" customHeight="1" x14ac:dyDescent="0.3">
      <c r="M10447" s="5"/>
    </row>
    <row r="10448" spans="13:13" ht="15" customHeight="1" x14ac:dyDescent="0.3">
      <c r="M10448" s="5"/>
    </row>
    <row r="10449" spans="13:13" ht="15" customHeight="1" x14ac:dyDescent="0.3">
      <c r="M10449" s="5"/>
    </row>
    <row r="10450" spans="13:13" ht="15" customHeight="1" x14ac:dyDescent="0.3">
      <c r="M10450" s="5"/>
    </row>
    <row r="10451" spans="13:13" ht="15" customHeight="1" x14ac:dyDescent="0.3">
      <c r="M10451" s="5"/>
    </row>
    <row r="10452" spans="13:13" ht="15" customHeight="1" x14ac:dyDescent="0.3">
      <c r="M10452" s="5"/>
    </row>
    <row r="10453" spans="13:13" ht="15" customHeight="1" x14ac:dyDescent="0.3">
      <c r="M10453" s="5"/>
    </row>
    <row r="10454" spans="13:13" ht="15" customHeight="1" x14ac:dyDescent="0.3">
      <c r="M10454" s="5"/>
    </row>
    <row r="10455" spans="13:13" ht="15" customHeight="1" x14ac:dyDescent="0.3">
      <c r="M10455" s="5"/>
    </row>
    <row r="10456" spans="13:13" ht="15" customHeight="1" x14ac:dyDescent="0.3">
      <c r="M10456" s="5"/>
    </row>
    <row r="10457" spans="13:13" ht="15" customHeight="1" x14ac:dyDescent="0.3">
      <c r="M10457" s="5"/>
    </row>
    <row r="10458" spans="13:13" ht="15" customHeight="1" x14ac:dyDescent="0.3">
      <c r="M10458" s="5"/>
    </row>
    <row r="10459" spans="13:13" ht="15" customHeight="1" x14ac:dyDescent="0.3">
      <c r="M10459" s="5"/>
    </row>
    <row r="10460" spans="13:13" ht="15" customHeight="1" x14ac:dyDescent="0.3">
      <c r="M10460" s="5"/>
    </row>
    <row r="10461" spans="13:13" ht="15" customHeight="1" x14ac:dyDescent="0.3">
      <c r="M10461" s="5"/>
    </row>
    <row r="10462" spans="13:13" ht="15" customHeight="1" x14ac:dyDescent="0.3">
      <c r="M10462" s="5"/>
    </row>
    <row r="10463" spans="13:13" ht="15" customHeight="1" x14ac:dyDescent="0.3">
      <c r="M10463" s="5"/>
    </row>
    <row r="10464" spans="13:13" ht="15" customHeight="1" x14ac:dyDescent="0.3">
      <c r="M10464" s="5"/>
    </row>
    <row r="10465" spans="13:13" ht="15" customHeight="1" x14ac:dyDescent="0.3">
      <c r="M10465" s="5"/>
    </row>
    <row r="10466" spans="13:13" ht="15" customHeight="1" x14ac:dyDescent="0.3">
      <c r="M10466" s="5"/>
    </row>
    <row r="10467" spans="13:13" ht="15" customHeight="1" x14ac:dyDescent="0.3">
      <c r="M10467" s="5"/>
    </row>
    <row r="10468" spans="13:13" ht="15" customHeight="1" x14ac:dyDescent="0.3">
      <c r="M10468" s="5"/>
    </row>
    <row r="10469" spans="13:13" ht="15" customHeight="1" x14ac:dyDescent="0.3">
      <c r="M10469" s="5"/>
    </row>
    <row r="10470" spans="13:13" ht="15" customHeight="1" x14ac:dyDescent="0.3">
      <c r="M10470" s="5"/>
    </row>
    <row r="10471" spans="13:13" ht="15" customHeight="1" x14ac:dyDescent="0.3">
      <c r="M10471" s="5"/>
    </row>
    <row r="10472" spans="13:13" ht="15" customHeight="1" x14ac:dyDescent="0.3">
      <c r="M10472" s="5"/>
    </row>
    <row r="10473" spans="13:13" ht="15" customHeight="1" x14ac:dyDescent="0.3">
      <c r="M10473" s="5"/>
    </row>
    <row r="10474" spans="13:13" ht="15" customHeight="1" x14ac:dyDescent="0.3">
      <c r="M10474" s="5"/>
    </row>
    <row r="10475" spans="13:13" ht="15" customHeight="1" x14ac:dyDescent="0.3">
      <c r="M10475" s="5"/>
    </row>
    <row r="10476" spans="13:13" ht="15" customHeight="1" x14ac:dyDescent="0.3">
      <c r="M10476" s="5"/>
    </row>
    <row r="10477" spans="13:13" ht="15" customHeight="1" x14ac:dyDescent="0.3">
      <c r="M10477" s="5"/>
    </row>
    <row r="10478" spans="13:13" ht="15" customHeight="1" x14ac:dyDescent="0.3">
      <c r="M10478" s="5"/>
    </row>
    <row r="10479" spans="13:13" ht="15" customHeight="1" x14ac:dyDescent="0.3">
      <c r="M10479" s="5"/>
    </row>
    <row r="10480" spans="13:13" ht="15" customHeight="1" x14ac:dyDescent="0.3">
      <c r="M10480" s="5"/>
    </row>
    <row r="10481" spans="13:13" ht="15" customHeight="1" x14ac:dyDescent="0.3">
      <c r="M10481" s="5"/>
    </row>
    <row r="10482" spans="13:13" ht="15" customHeight="1" x14ac:dyDescent="0.3">
      <c r="M10482" s="5"/>
    </row>
    <row r="10483" spans="13:13" ht="15" customHeight="1" x14ac:dyDescent="0.3">
      <c r="M10483" s="5"/>
    </row>
    <row r="10484" spans="13:13" ht="15" customHeight="1" x14ac:dyDescent="0.3">
      <c r="M10484" s="5"/>
    </row>
    <row r="10485" spans="13:13" ht="15" customHeight="1" x14ac:dyDescent="0.3">
      <c r="M10485" s="5"/>
    </row>
    <row r="10486" spans="13:13" ht="15" customHeight="1" x14ac:dyDescent="0.3">
      <c r="M10486" s="5"/>
    </row>
    <row r="10487" spans="13:13" ht="15" customHeight="1" x14ac:dyDescent="0.3">
      <c r="M10487" s="5"/>
    </row>
    <row r="10488" spans="13:13" ht="15" customHeight="1" x14ac:dyDescent="0.3">
      <c r="M10488" s="5"/>
    </row>
    <row r="10489" spans="13:13" ht="15" customHeight="1" x14ac:dyDescent="0.3">
      <c r="M10489" s="5"/>
    </row>
    <row r="10490" spans="13:13" ht="15" customHeight="1" x14ac:dyDescent="0.3">
      <c r="M10490" s="5"/>
    </row>
    <row r="10491" spans="13:13" ht="15" customHeight="1" x14ac:dyDescent="0.3">
      <c r="M10491" s="5"/>
    </row>
    <row r="10492" spans="13:13" ht="15" customHeight="1" x14ac:dyDescent="0.3">
      <c r="M10492" s="5"/>
    </row>
    <row r="10493" spans="13:13" ht="15" customHeight="1" x14ac:dyDescent="0.3">
      <c r="M10493" s="5"/>
    </row>
    <row r="10494" spans="13:13" ht="15" customHeight="1" x14ac:dyDescent="0.3">
      <c r="M10494" s="5"/>
    </row>
    <row r="10495" spans="13:13" ht="15" customHeight="1" x14ac:dyDescent="0.3">
      <c r="M10495" s="5"/>
    </row>
    <row r="10496" spans="13:13" ht="15" customHeight="1" x14ac:dyDescent="0.3">
      <c r="M10496" s="5"/>
    </row>
    <row r="10497" spans="13:13" ht="15" customHeight="1" x14ac:dyDescent="0.3">
      <c r="M10497" s="5"/>
    </row>
    <row r="10498" spans="13:13" ht="15" customHeight="1" x14ac:dyDescent="0.3">
      <c r="M10498" s="5"/>
    </row>
    <row r="10499" spans="13:13" ht="15" customHeight="1" x14ac:dyDescent="0.3">
      <c r="M10499" s="5"/>
    </row>
    <row r="10500" spans="13:13" ht="15" customHeight="1" x14ac:dyDescent="0.3">
      <c r="M10500" s="5"/>
    </row>
    <row r="10501" spans="13:13" ht="15" customHeight="1" x14ac:dyDescent="0.3">
      <c r="M10501" s="5"/>
    </row>
    <row r="10502" spans="13:13" ht="15" customHeight="1" x14ac:dyDescent="0.3">
      <c r="M10502" s="5"/>
    </row>
    <row r="10503" spans="13:13" ht="15" customHeight="1" x14ac:dyDescent="0.3">
      <c r="M10503" s="5"/>
    </row>
    <row r="10504" spans="13:13" ht="15" customHeight="1" x14ac:dyDescent="0.3">
      <c r="M10504" s="5"/>
    </row>
    <row r="10505" spans="13:13" ht="15" customHeight="1" x14ac:dyDescent="0.3">
      <c r="M10505" s="5"/>
    </row>
    <row r="10506" spans="13:13" ht="15" customHeight="1" x14ac:dyDescent="0.3">
      <c r="M10506" s="5"/>
    </row>
    <row r="10507" spans="13:13" ht="15" customHeight="1" x14ac:dyDescent="0.3">
      <c r="M10507" s="5"/>
    </row>
    <row r="10508" spans="13:13" ht="15" customHeight="1" x14ac:dyDescent="0.3">
      <c r="M10508" s="5"/>
    </row>
    <row r="10509" spans="13:13" ht="15" customHeight="1" x14ac:dyDescent="0.3">
      <c r="M10509" s="5"/>
    </row>
    <row r="10510" spans="13:13" ht="15" customHeight="1" x14ac:dyDescent="0.3">
      <c r="M10510" s="5"/>
    </row>
    <row r="10511" spans="13:13" ht="15" customHeight="1" x14ac:dyDescent="0.3">
      <c r="M10511" s="5"/>
    </row>
    <row r="10512" spans="13:13" ht="15" customHeight="1" x14ac:dyDescent="0.3">
      <c r="M10512" s="5"/>
    </row>
    <row r="10513" spans="13:13" ht="15" customHeight="1" x14ac:dyDescent="0.3">
      <c r="M10513" s="5"/>
    </row>
    <row r="10514" spans="13:13" ht="15" customHeight="1" x14ac:dyDescent="0.3">
      <c r="M10514" s="5"/>
    </row>
    <row r="10515" spans="13:13" ht="15" customHeight="1" x14ac:dyDescent="0.3">
      <c r="M10515" s="5"/>
    </row>
    <row r="10516" spans="13:13" ht="15" customHeight="1" x14ac:dyDescent="0.3">
      <c r="M10516" s="5"/>
    </row>
    <row r="10517" spans="13:13" ht="15" customHeight="1" x14ac:dyDescent="0.3">
      <c r="M10517" s="5"/>
    </row>
    <row r="10518" spans="13:13" ht="15" customHeight="1" x14ac:dyDescent="0.3">
      <c r="M10518" s="5"/>
    </row>
    <row r="10519" spans="13:13" ht="15" customHeight="1" x14ac:dyDescent="0.3">
      <c r="M10519" s="5"/>
    </row>
    <row r="10520" spans="13:13" ht="15" customHeight="1" x14ac:dyDescent="0.3">
      <c r="M10520" s="5"/>
    </row>
    <row r="10521" spans="13:13" ht="15" customHeight="1" x14ac:dyDescent="0.3">
      <c r="M10521" s="5"/>
    </row>
    <row r="10522" spans="13:13" ht="15" customHeight="1" x14ac:dyDescent="0.3">
      <c r="M10522" s="5"/>
    </row>
    <row r="10523" spans="13:13" ht="15" customHeight="1" x14ac:dyDescent="0.3">
      <c r="M10523" s="5"/>
    </row>
    <row r="10524" spans="13:13" ht="15" customHeight="1" x14ac:dyDescent="0.3">
      <c r="M10524" s="5"/>
    </row>
    <row r="10525" spans="13:13" ht="15" customHeight="1" x14ac:dyDescent="0.3">
      <c r="M10525" s="5"/>
    </row>
    <row r="10526" spans="13:13" ht="15" customHeight="1" x14ac:dyDescent="0.3">
      <c r="M10526" s="5"/>
    </row>
    <row r="10527" spans="13:13" ht="15" customHeight="1" x14ac:dyDescent="0.3">
      <c r="M10527" s="5"/>
    </row>
    <row r="10528" spans="13:13" ht="15" customHeight="1" x14ac:dyDescent="0.3">
      <c r="M10528" s="5"/>
    </row>
    <row r="10529" spans="13:13" ht="15" customHeight="1" x14ac:dyDescent="0.3">
      <c r="M10529" s="5"/>
    </row>
    <row r="10530" spans="13:13" ht="15" customHeight="1" x14ac:dyDescent="0.3">
      <c r="M10530" s="5"/>
    </row>
    <row r="10531" spans="13:13" ht="15" customHeight="1" x14ac:dyDescent="0.3">
      <c r="M10531" s="5"/>
    </row>
    <row r="10532" spans="13:13" ht="15" customHeight="1" x14ac:dyDescent="0.3">
      <c r="M10532" s="5"/>
    </row>
    <row r="10533" spans="13:13" ht="15" customHeight="1" x14ac:dyDescent="0.3">
      <c r="M10533" s="5"/>
    </row>
    <row r="10534" spans="13:13" ht="15" customHeight="1" x14ac:dyDescent="0.3">
      <c r="M10534" s="5"/>
    </row>
    <row r="10535" spans="13:13" ht="15" customHeight="1" x14ac:dyDescent="0.3">
      <c r="M10535" s="5"/>
    </row>
    <row r="10536" spans="13:13" ht="15" customHeight="1" x14ac:dyDescent="0.3">
      <c r="M10536" s="5"/>
    </row>
    <row r="10537" spans="13:13" ht="15" customHeight="1" x14ac:dyDescent="0.3">
      <c r="M10537" s="5"/>
    </row>
    <row r="10538" spans="13:13" ht="15" customHeight="1" x14ac:dyDescent="0.3">
      <c r="M10538" s="5"/>
    </row>
    <row r="10539" spans="13:13" ht="15" customHeight="1" x14ac:dyDescent="0.3">
      <c r="M10539" s="5"/>
    </row>
    <row r="10540" spans="13:13" ht="15" customHeight="1" x14ac:dyDescent="0.3">
      <c r="M10540" s="5"/>
    </row>
    <row r="10541" spans="13:13" ht="15" customHeight="1" x14ac:dyDescent="0.3">
      <c r="M10541" s="5"/>
    </row>
    <row r="10542" spans="13:13" ht="15" customHeight="1" x14ac:dyDescent="0.3">
      <c r="M10542" s="5"/>
    </row>
    <row r="10543" spans="13:13" ht="15" customHeight="1" x14ac:dyDescent="0.3">
      <c r="M10543" s="5"/>
    </row>
    <row r="10544" spans="13:13" ht="15" customHeight="1" x14ac:dyDescent="0.3">
      <c r="M10544" s="5"/>
    </row>
    <row r="10545" spans="13:13" ht="15" customHeight="1" x14ac:dyDescent="0.3">
      <c r="M10545" s="5"/>
    </row>
    <row r="10546" spans="13:13" ht="15" customHeight="1" x14ac:dyDescent="0.3">
      <c r="M10546" s="5"/>
    </row>
    <row r="10547" spans="13:13" ht="15" customHeight="1" x14ac:dyDescent="0.3">
      <c r="M10547" s="5"/>
    </row>
    <row r="10548" spans="13:13" ht="15" customHeight="1" x14ac:dyDescent="0.3">
      <c r="M10548" s="5"/>
    </row>
    <row r="10549" spans="13:13" ht="15" customHeight="1" x14ac:dyDescent="0.3">
      <c r="M10549" s="5"/>
    </row>
    <row r="10550" spans="13:13" ht="15" customHeight="1" x14ac:dyDescent="0.3">
      <c r="M10550" s="5"/>
    </row>
    <row r="10551" spans="13:13" ht="15" customHeight="1" x14ac:dyDescent="0.3">
      <c r="M10551" s="5"/>
    </row>
    <row r="10552" spans="13:13" ht="15" customHeight="1" x14ac:dyDescent="0.3">
      <c r="M10552" s="5"/>
    </row>
    <row r="10553" spans="13:13" ht="15" customHeight="1" x14ac:dyDescent="0.3">
      <c r="M10553" s="5"/>
    </row>
    <row r="10554" spans="13:13" ht="15" customHeight="1" x14ac:dyDescent="0.3">
      <c r="M10554" s="5"/>
    </row>
    <row r="10555" spans="13:13" ht="15" customHeight="1" x14ac:dyDescent="0.3">
      <c r="M10555" s="5"/>
    </row>
    <row r="10556" spans="13:13" ht="15" customHeight="1" x14ac:dyDescent="0.3">
      <c r="M10556" s="5"/>
    </row>
    <row r="10557" spans="13:13" ht="15" customHeight="1" x14ac:dyDescent="0.3">
      <c r="M10557" s="5"/>
    </row>
    <row r="10558" spans="13:13" ht="15" customHeight="1" x14ac:dyDescent="0.3">
      <c r="M10558" s="5"/>
    </row>
    <row r="10559" spans="13:13" ht="15" customHeight="1" x14ac:dyDescent="0.3">
      <c r="M10559" s="5"/>
    </row>
    <row r="10560" spans="13:13" ht="15" customHeight="1" x14ac:dyDescent="0.3">
      <c r="M10560" s="5"/>
    </row>
    <row r="10561" spans="13:13" ht="15" customHeight="1" x14ac:dyDescent="0.3">
      <c r="M10561" s="5"/>
    </row>
    <row r="10562" spans="13:13" ht="15" customHeight="1" x14ac:dyDescent="0.3">
      <c r="M10562" s="5"/>
    </row>
    <row r="10563" spans="13:13" ht="15" customHeight="1" x14ac:dyDescent="0.3">
      <c r="M10563" s="5"/>
    </row>
    <row r="10564" spans="13:13" ht="15" customHeight="1" x14ac:dyDescent="0.3">
      <c r="M10564" s="5"/>
    </row>
    <row r="10565" spans="13:13" ht="15" customHeight="1" x14ac:dyDescent="0.3">
      <c r="M10565" s="5"/>
    </row>
    <row r="10566" spans="13:13" ht="15" customHeight="1" x14ac:dyDescent="0.3">
      <c r="M10566" s="5"/>
    </row>
    <row r="10567" spans="13:13" ht="15" customHeight="1" x14ac:dyDescent="0.3">
      <c r="M10567" s="5"/>
    </row>
    <row r="10568" spans="13:13" ht="15" customHeight="1" x14ac:dyDescent="0.3">
      <c r="M10568" s="5"/>
    </row>
    <row r="10569" spans="13:13" ht="15" customHeight="1" x14ac:dyDescent="0.3">
      <c r="M10569" s="5"/>
    </row>
    <row r="10570" spans="13:13" ht="15" customHeight="1" x14ac:dyDescent="0.3">
      <c r="M10570" s="5"/>
    </row>
    <row r="10571" spans="13:13" ht="15" customHeight="1" x14ac:dyDescent="0.3">
      <c r="M10571" s="5"/>
    </row>
    <row r="10572" spans="13:13" ht="15" customHeight="1" x14ac:dyDescent="0.3">
      <c r="M10572" s="5"/>
    </row>
    <row r="10573" spans="13:13" ht="15" customHeight="1" x14ac:dyDescent="0.3">
      <c r="M10573" s="5"/>
    </row>
    <row r="10574" spans="13:13" ht="15" customHeight="1" x14ac:dyDescent="0.3">
      <c r="M10574" s="5"/>
    </row>
    <row r="10575" spans="13:13" ht="15" customHeight="1" x14ac:dyDescent="0.3">
      <c r="M10575" s="5"/>
    </row>
    <row r="10576" spans="13:13" ht="15" customHeight="1" x14ac:dyDescent="0.3">
      <c r="M10576" s="5"/>
    </row>
    <row r="10577" spans="13:13" ht="15" customHeight="1" x14ac:dyDescent="0.3">
      <c r="M10577" s="5"/>
    </row>
    <row r="10578" spans="13:13" ht="15" customHeight="1" x14ac:dyDescent="0.3">
      <c r="M10578" s="5"/>
    </row>
    <row r="10579" spans="13:13" ht="15" customHeight="1" x14ac:dyDescent="0.3">
      <c r="M10579" s="5"/>
    </row>
    <row r="10580" spans="13:13" ht="15" customHeight="1" x14ac:dyDescent="0.3">
      <c r="M10580" s="5"/>
    </row>
    <row r="10581" spans="13:13" ht="15" customHeight="1" x14ac:dyDescent="0.3">
      <c r="M10581" s="5"/>
    </row>
    <row r="10582" spans="13:13" ht="15" customHeight="1" x14ac:dyDescent="0.3">
      <c r="M10582" s="5"/>
    </row>
    <row r="10583" spans="13:13" ht="15" customHeight="1" x14ac:dyDescent="0.3">
      <c r="M10583" s="5"/>
    </row>
    <row r="10584" spans="13:13" ht="15" customHeight="1" x14ac:dyDescent="0.3">
      <c r="M10584" s="5"/>
    </row>
    <row r="10585" spans="13:13" ht="15" customHeight="1" x14ac:dyDescent="0.3">
      <c r="M10585" s="5"/>
    </row>
    <row r="10586" spans="13:13" ht="15" customHeight="1" x14ac:dyDescent="0.3">
      <c r="M10586" s="5"/>
    </row>
    <row r="10587" spans="13:13" ht="15" customHeight="1" x14ac:dyDescent="0.3">
      <c r="M10587" s="5"/>
    </row>
    <row r="10588" spans="13:13" ht="15" customHeight="1" x14ac:dyDescent="0.3">
      <c r="M10588" s="5"/>
    </row>
    <row r="10589" spans="13:13" ht="15" customHeight="1" x14ac:dyDescent="0.3">
      <c r="M10589" s="5"/>
    </row>
    <row r="10590" spans="13:13" ht="15" customHeight="1" x14ac:dyDescent="0.3">
      <c r="M10590" s="5"/>
    </row>
    <row r="10591" spans="13:13" ht="15" customHeight="1" x14ac:dyDescent="0.3">
      <c r="M10591" s="5"/>
    </row>
    <row r="10592" spans="13:13" ht="15" customHeight="1" x14ac:dyDescent="0.3">
      <c r="M10592" s="5"/>
    </row>
    <row r="10593" spans="13:13" ht="15" customHeight="1" x14ac:dyDescent="0.3">
      <c r="M10593" s="5"/>
    </row>
    <row r="10594" spans="13:13" ht="15" customHeight="1" x14ac:dyDescent="0.3">
      <c r="M10594" s="5"/>
    </row>
    <row r="10595" spans="13:13" ht="15" customHeight="1" x14ac:dyDescent="0.3">
      <c r="M10595" s="5"/>
    </row>
    <row r="10596" spans="13:13" ht="15" customHeight="1" x14ac:dyDescent="0.3">
      <c r="M10596" s="5"/>
    </row>
    <row r="10597" spans="13:13" ht="15" customHeight="1" x14ac:dyDescent="0.3">
      <c r="M10597" s="5"/>
    </row>
    <row r="10598" spans="13:13" ht="15" customHeight="1" x14ac:dyDescent="0.3">
      <c r="M10598" s="5"/>
    </row>
    <row r="10599" spans="13:13" ht="15" customHeight="1" x14ac:dyDescent="0.3">
      <c r="M10599" s="5"/>
    </row>
    <row r="10600" spans="13:13" ht="15" customHeight="1" x14ac:dyDescent="0.3">
      <c r="M10600" s="5"/>
    </row>
    <row r="10601" spans="13:13" ht="15" customHeight="1" x14ac:dyDescent="0.3">
      <c r="M10601" s="5"/>
    </row>
    <row r="10602" spans="13:13" ht="15" customHeight="1" x14ac:dyDescent="0.3">
      <c r="M10602" s="5"/>
    </row>
    <row r="10603" spans="13:13" ht="15" customHeight="1" x14ac:dyDescent="0.3">
      <c r="M10603" s="5"/>
    </row>
    <row r="10604" spans="13:13" ht="15" customHeight="1" x14ac:dyDescent="0.3">
      <c r="M10604" s="5"/>
    </row>
    <row r="10605" spans="13:13" ht="15" customHeight="1" x14ac:dyDescent="0.3">
      <c r="M10605" s="5"/>
    </row>
    <row r="10606" spans="13:13" ht="15" customHeight="1" x14ac:dyDescent="0.3">
      <c r="M10606" s="5"/>
    </row>
    <row r="10607" spans="13:13" ht="15" customHeight="1" x14ac:dyDescent="0.3">
      <c r="M10607" s="5"/>
    </row>
    <row r="10608" spans="13:13" ht="15" customHeight="1" x14ac:dyDescent="0.3">
      <c r="M10608" s="5"/>
    </row>
    <row r="10609" spans="13:13" ht="15" customHeight="1" x14ac:dyDescent="0.3">
      <c r="M10609" s="5"/>
    </row>
    <row r="10610" spans="13:13" ht="15" customHeight="1" x14ac:dyDescent="0.3">
      <c r="M10610" s="5"/>
    </row>
    <row r="10611" spans="13:13" ht="15" customHeight="1" x14ac:dyDescent="0.3">
      <c r="M10611" s="5"/>
    </row>
    <row r="10612" spans="13:13" ht="15" customHeight="1" x14ac:dyDescent="0.3">
      <c r="M10612" s="5"/>
    </row>
    <row r="10613" spans="13:13" ht="15" customHeight="1" x14ac:dyDescent="0.3">
      <c r="M10613" s="5"/>
    </row>
    <row r="10614" spans="13:13" ht="15" customHeight="1" x14ac:dyDescent="0.3">
      <c r="M10614" s="5"/>
    </row>
    <row r="10615" spans="13:13" ht="15" customHeight="1" x14ac:dyDescent="0.3">
      <c r="M10615" s="5"/>
    </row>
    <row r="10616" spans="13:13" ht="15" customHeight="1" x14ac:dyDescent="0.3">
      <c r="M10616" s="5"/>
    </row>
    <row r="10617" spans="13:13" ht="15" customHeight="1" x14ac:dyDescent="0.3">
      <c r="M10617" s="5"/>
    </row>
    <row r="10618" spans="13:13" ht="15" customHeight="1" x14ac:dyDescent="0.3">
      <c r="M10618" s="5"/>
    </row>
    <row r="10619" spans="13:13" ht="15" customHeight="1" x14ac:dyDescent="0.3">
      <c r="M10619" s="5"/>
    </row>
    <row r="10620" spans="13:13" ht="15" customHeight="1" x14ac:dyDescent="0.3">
      <c r="M10620" s="5"/>
    </row>
    <row r="10621" spans="13:13" ht="15" customHeight="1" x14ac:dyDescent="0.3">
      <c r="M10621" s="5"/>
    </row>
    <row r="10622" spans="13:13" ht="15" customHeight="1" x14ac:dyDescent="0.3">
      <c r="M10622" s="5"/>
    </row>
    <row r="10623" spans="13:13" ht="15" customHeight="1" x14ac:dyDescent="0.3">
      <c r="M10623" s="5"/>
    </row>
    <row r="10624" spans="13:13" ht="15" customHeight="1" x14ac:dyDescent="0.3">
      <c r="M10624" s="5"/>
    </row>
    <row r="10625" spans="13:13" ht="15" customHeight="1" x14ac:dyDescent="0.3">
      <c r="M10625" s="5"/>
    </row>
    <row r="10626" spans="13:13" ht="15" customHeight="1" x14ac:dyDescent="0.3">
      <c r="M10626" s="5"/>
    </row>
    <row r="10627" spans="13:13" ht="15" customHeight="1" x14ac:dyDescent="0.3">
      <c r="M10627" s="5"/>
    </row>
    <row r="10628" spans="13:13" ht="15" customHeight="1" x14ac:dyDescent="0.3">
      <c r="M10628" s="5"/>
    </row>
    <row r="10629" spans="13:13" ht="15" customHeight="1" x14ac:dyDescent="0.3">
      <c r="M10629" s="5"/>
    </row>
    <row r="10630" spans="13:13" ht="15" customHeight="1" x14ac:dyDescent="0.3">
      <c r="M10630" s="5"/>
    </row>
    <row r="10631" spans="13:13" ht="15" customHeight="1" x14ac:dyDescent="0.3">
      <c r="M10631" s="5"/>
    </row>
    <row r="10632" spans="13:13" ht="15" customHeight="1" x14ac:dyDescent="0.3">
      <c r="M10632" s="5"/>
    </row>
    <row r="10633" spans="13:13" ht="15" customHeight="1" x14ac:dyDescent="0.3">
      <c r="M10633" s="5"/>
    </row>
    <row r="10634" spans="13:13" ht="15" customHeight="1" x14ac:dyDescent="0.3">
      <c r="M10634" s="5"/>
    </row>
    <row r="10635" spans="13:13" ht="15" customHeight="1" x14ac:dyDescent="0.3">
      <c r="M10635" s="5"/>
    </row>
    <row r="10636" spans="13:13" ht="15" customHeight="1" x14ac:dyDescent="0.3">
      <c r="M10636" s="5"/>
    </row>
    <row r="10637" spans="13:13" ht="15" customHeight="1" x14ac:dyDescent="0.3">
      <c r="M10637" s="5"/>
    </row>
    <row r="10638" spans="13:13" ht="15" customHeight="1" x14ac:dyDescent="0.3">
      <c r="M10638" s="5"/>
    </row>
    <row r="10639" spans="13:13" ht="15" customHeight="1" x14ac:dyDescent="0.3">
      <c r="M10639" s="5"/>
    </row>
    <row r="10640" spans="13:13" ht="15" customHeight="1" x14ac:dyDescent="0.3">
      <c r="M10640" s="5"/>
    </row>
    <row r="10641" spans="13:13" ht="15" customHeight="1" x14ac:dyDescent="0.3">
      <c r="M10641" s="5"/>
    </row>
    <row r="10642" spans="13:13" ht="15" customHeight="1" x14ac:dyDescent="0.3">
      <c r="M10642" s="5"/>
    </row>
    <row r="10643" spans="13:13" ht="15" customHeight="1" x14ac:dyDescent="0.3">
      <c r="M10643" s="5"/>
    </row>
    <row r="10644" spans="13:13" ht="15" customHeight="1" x14ac:dyDescent="0.3">
      <c r="M10644" s="5"/>
    </row>
    <row r="10645" spans="13:13" ht="15" customHeight="1" x14ac:dyDescent="0.3">
      <c r="M10645" s="5"/>
    </row>
    <row r="10646" spans="13:13" ht="15" customHeight="1" x14ac:dyDescent="0.3">
      <c r="M10646" s="5"/>
    </row>
    <row r="10647" spans="13:13" ht="15" customHeight="1" x14ac:dyDescent="0.3">
      <c r="M10647" s="5"/>
    </row>
    <row r="10648" spans="13:13" ht="15" customHeight="1" x14ac:dyDescent="0.3">
      <c r="M10648" s="5"/>
    </row>
    <row r="10649" spans="13:13" ht="15" customHeight="1" x14ac:dyDescent="0.3">
      <c r="M10649" s="5"/>
    </row>
    <row r="10650" spans="13:13" ht="15" customHeight="1" x14ac:dyDescent="0.3">
      <c r="M10650" s="5"/>
    </row>
    <row r="10651" spans="13:13" ht="15" customHeight="1" x14ac:dyDescent="0.3">
      <c r="M10651" s="5"/>
    </row>
    <row r="10652" spans="13:13" ht="15" customHeight="1" x14ac:dyDescent="0.3">
      <c r="M10652" s="5"/>
    </row>
    <row r="10653" spans="13:13" ht="15" customHeight="1" x14ac:dyDescent="0.3">
      <c r="M10653" s="5"/>
    </row>
    <row r="10654" spans="13:13" ht="15" customHeight="1" x14ac:dyDescent="0.3">
      <c r="M10654" s="5"/>
    </row>
    <row r="10655" spans="13:13" ht="15" customHeight="1" x14ac:dyDescent="0.3">
      <c r="M10655" s="5"/>
    </row>
    <row r="10656" spans="13:13" ht="15" customHeight="1" x14ac:dyDescent="0.3">
      <c r="M10656" s="5"/>
    </row>
    <row r="10657" spans="13:13" ht="15" customHeight="1" x14ac:dyDescent="0.3">
      <c r="M10657" s="5"/>
    </row>
    <row r="10658" spans="13:13" ht="15" customHeight="1" x14ac:dyDescent="0.3">
      <c r="M10658" s="5"/>
    </row>
    <row r="10659" spans="13:13" ht="15" customHeight="1" x14ac:dyDescent="0.3">
      <c r="M10659" s="5"/>
    </row>
    <row r="10660" spans="13:13" ht="15" customHeight="1" x14ac:dyDescent="0.3">
      <c r="M10660" s="5"/>
    </row>
    <row r="10661" spans="13:13" ht="15" customHeight="1" x14ac:dyDescent="0.3">
      <c r="M10661" s="5"/>
    </row>
    <row r="10662" spans="13:13" ht="15" customHeight="1" x14ac:dyDescent="0.3">
      <c r="M10662" s="5"/>
    </row>
    <row r="10663" spans="13:13" ht="15" customHeight="1" x14ac:dyDescent="0.3">
      <c r="M10663" s="5"/>
    </row>
    <row r="10664" spans="13:13" ht="15" customHeight="1" x14ac:dyDescent="0.3">
      <c r="M10664" s="5"/>
    </row>
    <row r="10665" spans="13:13" ht="15" customHeight="1" x14ac:dyDescent="0.3">
      <c r="M10665" s="5"/>
    </row>
    <row r="10666" spans="13:13" ht="15" customHeight="1" x14ac:dyDescent="0.3">
      <c r="M10666" s="5"/>
    </row>
    <row r="10667" spans="13:13" ht="15" customHeight="1" x14ac:dyDescent="0.3">
      <c r="M10667" s="5"/>
    </row>
    <row r="10668" spans="13:13" ht="15" customHeight="1" x14ac:dyDescent="0.3">
      <c r="M10668" s="5"/>
    </row>
    <row r="10669" spans="13:13" ht="15" customHeight="1" x14ac:dyDescent="0.3">
      <c r="M10669" s="5"/>
    </row>
    <row r="10670" spans="13:13" ht="15" customHeight="1" x14ac:dyDescent="0.3">
      <c r="M10670" s="5"/>
    </row>
    <row r="10671" spans="13:13" ht="15" customHeight="1" x14ac:dyDescent="0.3">
      <c r="M10671" s="5"/>
    </row>
    <row r="10672" spans="13:13" ht="15" customHeight="1" x14ac:dyDescent="0.3">
      <c r="M10672" s="5"/>
    </row>
    <row r="10673" spans="13:13" ht="15" customHeight="1" x14ac:dyDescent="0.3">
      <c r="M10673" s="5"/>
    </row>
    <row r="10674" spans="13:13" ht="15" customHeight="1" x14ac:dyDescent="0.3">
      <c r="M10674" s="5"/>
    </row>
    <row r="10675" spans="13:13" ht="15" customHeight="1" x14ac:dyDescent="0.3">
      <c r="M10675" s="5"/>
    </row>
    <row r="10676" spans="13:13" ht="15" customHeight="1" x14ac:dyDescent="0.3">
      <c r="M10676" s="5"/>
    </row>
    <row r="10677" spans="13:13" ht="15" customHeight="1" x14ac:dyDescent="0.3">
      <c r="M10677" s="5"/>
    </row>
    <row r="10678" spans="13:13" ht="15" customHeight="1" x14ac:dyDescent="0.3">
      <c r="M10678" s="5"/>
    </row>
    <row r="10679" spans="13:13" ht="15" customHeight="1" x14ac:dyDescent="0.3">
      <c r="M10679" s="5"/>
    </row>
    <row r="10680" spans="13:13" ht="15" customHeight="1" x14ac:dyDescent="0.3">
      <c r="M10680" s="5"/>
    </row>
    <row r="10681" spans="13:13" ht="15" customHeight="1" x14ac:dyDescent="0.3">
      <c r="M10681" s="5"/>
    </row>
    <row r="10682" spans="13:13" ht="15" customHeight="1" x14ac:dyDescent="0.3">
      <c r="M10682" s="5"/>
    </row>
    <row r="10683" spans="13:13" ht="15" customHeight="1" x14ac:dyDescent="0.3">
      <c r="M10683" s="5"/>
    </row>
    <row r="10684" spans="13:13" ht="15" customHeight="1" x14ac:dyDescent="0.3">
      <c r="M10684" s="5"/>
    </row>
    <row r="10685" spans="13:13" ht="15" customHeight="1" x14ac:dyDescent="0.3">
      <c r="M10685" s="5"/>
    </row>
    <row r="10686" spans="13:13" ht="15" customHeight="1" x14ac:dyDescent="0.3">
      <c r="M10686" s="5"/>
    </row>
    <row r="10687" spans="13:13" ht="15" customHeight="1" x14ac:dyDescent="0.3">
      <c r="M10687" s="5"/>
    </row>
    <row r="10688" spans="13:13" ht="15" customHeight="1" x14ac:dyDescent="0.3">
      <c r="M10688" s="5"/>
    </row>
    <row r="10689" spans="13:13" ht="15" customHeight="1" x14ac:dyDescent="0.3">
      <c r="M10689" s="5"/>
    </row>
    <row r="10690" spans="13:13" ht="15" customHeight="1" x14ac:dyDescent="0.3">
      <c r="M10690" s="5"/>
    </row>
    <row r="10691" spans="13:13" ht="15" customHeight="1" x14ac:dyDescent="0.3">
      <c r="M10691" s="5"/>
    </row>
    <row r="10692" spans="13:13" ht="15" customHeight="1" x14ac:dyDescent="0.3">
      <c r="M10692" s="5"/>
    </row>
    <row r="10693" spans="13:13" ht="15" customHeight="1" x14ac:dyDescent="0.3">
      <c r="M10693" s="5"/>
    </row>
    <row r="10694" spans="13:13" ht="15" customHeight="1" x14ac:dyDescent="0.3">
      <c r="M10694" s="5"/>
    </row>
    <row r="10695" spans="13:13" ht="15" customHeight="1" x14ac:dyDescent="0.3">
      <c r="M10695" s="5"/>
    </row>
    <row r="10696" spans="13:13" ht="15" customHeight="1" x14ac:dyDescent="0.3">
      <c r="M10696" s="5"/>
    </row>
    <row r="10697" spans="13:13" ht="15" customHeight="1" x14ac:dyDescent="0.3">
      <c r="M10697" s="5"/>
    </row>
    <row r="10698" spans="13:13" ht="15" customHeight="1" x14ac:dyDescent="0.3">
      <c r="M10698" s="5"/>
    </row>
    <row r="10699" spans="13:13" ht="15" customHeight="1" x14ac:dyDescent="0.3">
      <c r="M10699" s="5"/>
    </row>
    <row r="10700" spans="13:13" ht="15" customHeight="1" x14ac:dyDescent="0.3">
      <c r="M10700" s="5"/>
    </row>
    <row r="10701" spans="13:13" ht="15" customHeight="1" x14ac:dyDescent="0.3">
      <c r="M10701" s="5"/>
    </row>
    <row r="10702" spans="13:13" ht="15" customHeight="1" x14ac:dyDescent="0.3">
      <c r="M10702" s="5"/>
    </row>
    <row r="10703" spans="13:13" ht="15" customHeight="1" x14ac:dyDescent="0.3">
      <c r="M10703" s="5"/>
    </row>
    <row r="10704" spans="13:13" ht="15" customHeight="1" x14ac:dyDescent="0.3">
      <c r="M10704" s="5"/>
    </row>
    <row r="10705" spans="13:13" ht="15" customHeight="1" x14ac:dyDescent="0.3">
      <c r="M10705" s="5"/>
    </row>
    <row r="10706" spans="13:13" ht="15" customHeight="1" x14ac:dyDescent="0.3">
      <c r="M10706" s="5"/>
    </row>
    <row r="10707" spans="13:13" ht="15" customHeight="1" x14ac:dyDescent="0.3">
      <c r="M10707" s="5"/>
    </row>
    <row r="10708" spans="13:13" ht="15" customHeight="1" x14ac:dyDescent="0.3">
      <c r="M10708" s="5"/>
    </row>
    <row r="10709" spans="13:13" ht="15" customHeight="1" x14ac:dyDescent="0.3">
      <c r="M10709" s="5"/>
    </row>
    <row r="10710" spans="13:13" ht="15" customHeight="1" x14ac:dyDescent="0.3">
      <c r="M10710" s="5"/>
    </row>
    <row r="10711" spans="13:13" ht="15" customHeight="1" x14ac:dyDescent="0.3">
      <c r="M10711" s="5"/>
    </row>
    <row r="10712" spans="13:13" ht="15" customHeight="1" x14ac:dyDescent="0.3">
      <c r="M10712" s="5"/>
    </row>
    <row r="10713" spans="13:13" ht="15" customHeight="1" x14ac:dyDescent="0.3">
      <c r="M10713" s="5"/>
    </row>
    <row r="10714" spans="13:13" ht="15" customHeight="1" x14ac:dyDescent="0.3">
      <c r="M10714" s="5"/>
    </row>
    <row r="10715" spans="13:13" ht="15" customHeight="1" x14ac:dyDescent="0.3">
      <c r="M10715" s="5"/>
    </row>
    <row r="10716" spans="13:13" ht="15" customHeight="1" x14ac:dyDescent="0.3">
      <c r="M10716" s="5"/>
    </row>
    <row r="10717" spans="13:13" ht="15" customHeight="1" x14ac:dyDescent="0.3">
      <c r="M10717" s="5"/>
    </row>
    <row r="10718" spans="13:13" ht="15" customHeight="1" x14ac:dyDescent="0.3">
      <c r="M10718" s="5"/>
    </row>
    <row r="10719" spans="13:13" ht="15" customHeight="1" x14ac:dyDescent="0.3">
      <c r="M10719" s="5"/>
    </row>
    <row r="10720" spans="13:13" ht="15" customHeight="1" x14ac:dyDescent="0.3">
      <c r="M10720" s="5"/>
    </row>
    <row r="10721" spans="13:13" ht="15" customHeight="1" x14ac:dyDescent="0.3">
      <c r="M10721" s="5"/>
    </row>
    <row r="10722" spans="13:13" ht="15" customHeight="1" x14ac:dyDescent="0.3">
      <c r="M10722" s="5"/>
    </row>
    <row r="10723" spans="13:13" ht="15" customHeight="1" x14ac:dyDescent="0.3">
      <c r="M10723" s="5"/>
    </row>
    <row r="10724" spans="13:13" ht="15" customHeight="1" x14ac:dyDescent="0.3">
      <c r="M10724" s="5"/>
    </row>
    <row r="10725" spans="13:13" ht="15" customHeight="1" x14ac:dyDescent="0.3">
      <c r="M10725" s="5"/>
    </row>
    <row r="10726" spans="13:13" ht="15" customHeight="1" x14ac:dyDescent="0.3">
      <c r="M10726" s="5"/>
    </row>
    <row r="10727" spans="13:13" ht="15" customHeight="1" x14ac:dyDescent="0.3">
      <c r="M10727" s="5"/>
    </row>
    <row r="10728" spans="13:13" ht="15" customHeight="1" x14ac:dyDescent="0.3">
      <c r="M10728" s="5"/>
    </row>
    <row r="10729" spans="13:13" ht="15" customHeight="1" x14ac:dyDescent="0.3">
      <c r="M10729" s="5"/>
    </row>
    <row r="10730" spans="13:13" ht="15" customHeight="1" x14ac:dyDescent="0.3">
      <c r="M10730" s="5"/>
    </row>
    <row r="10731" spans="13:13" ht="15" customHeight="1" x14ac:dyDescent="0.3">
      <c r="M10731" s="5"/>
    </row>
    <row r="10732" spans="13:13" ht="15" customHeight="1" x14ac:dyDescent="0.3">
      <c r="M10732" s="5"/>
    </row>
    <row r="10733" spans="13:13" ht="15" customHeight="1" x14ac:dyDescent="0.3">
      <c r="M10733" s="5"/>
    </row>
    <row r="10734" spans="13:13" ht="15" customHeight="1" x14ac:dyDescent="0.3">
      <c r="M10734" s="5"/>
    </row>
    <row r="10735" spans="13:13" ht="15" customHeight="1" x14ac:dyDescent="0.3">
      <c r="M10735" s="5"/>
    </row>
    <row r="10736" spans="13:13" ht="15" customHeight="1" x14ac:dyDescent="0.3">
      <c r="M10736" s="5"/>
    </row>
    <row r="10737" spans="13:13" ht="15" customHeight="1" x14ac:dyDescent="0.3">
      <c r="M10737" s="5"/>
    </row>
    <row r="10738" spans="13:13" ht="15" customHeight="1" x14ac:dyDescent="0.3">
      <c r="M10738" s="5"/>
    </row>
    <row r="10739" spans="13:13" ht="15" customHeight="1" x14ac:dyDescent="0.3">
      <c r="M10739" s="5"/>
    </row>
    <row r="10740" spans="13:13" ht="15" customHeight="1" x14ac:dyDescent="0.3">
      <c r="M10740" s="5"/>
    </row>
    <row r="10741" spans="13:13" ht="15" customHeight="1" x14ac:dyDescent="0.3">
      <c r="M10741" s="5"/>
    </row>
    <row r="10742" spans="13:13" ht="15" customHeight="1" x14ac:dyDescent="0.3">
      <c r="M10742" s="5"/>
    </row>
    <row r="10743" spans="13:13" ht="15" customHeight="1" x14ac:dyDescent="0.3">
      <c r="M10743" s="5"/>
    </row>
    <row r="10744" spans="13:13" ht="15" customHeight="1" x14ac:dyDescent="0.3">
      <c r="M10744" s="5"/>
    </row>
    <row r="10745" spans="13:13" ht="15" customHeight="1" x14ac:dyDescent="0.3">
      <c r="M10745" s="5"/>
    </row>
    <row r="10746" spans="13:13" ht="15" customHeight="1" x14ac:dyDescent="0.3">
      <c r="M10746" s="5"/>
    </row>
    <row r="10747" spans="13:13" ht="15" customHeight="1" x14ac:dyDescent="0.3">
      <c r="M10747" s="5"/>
    </row>
    <row r="10748" spans="13:13" ht="15" customHeight="1" x14ac:dyDescent="0.3">
      <c r="M10748" s="5"/>
    </row>
    <row r="10749" spans="13:13" ht="15" customHeight="1" x14ac:dyDescent="0.3">
      <c r="M10749" s="5"/>
    </row>
    <row r="10750" spans="13:13" ht="15" customHeight="1" x14ac:dyDescent="0.3">
      <c r="M10750" s="5"/>
    </row>
    <row r="10751" spans="13:13" ht="15" customHeight="1" x14ac:dyDescent="0.3">
      <c r="M10751" s="5"/>
    </row>
    <row r="10752" spans="13:13" ht="15" customHeight="1" x14ac:dyDescent="0.3">
      <c r="M10752" s="5"/>
    </row>
    <row r="10753" spans="13:13" ht="15" customHeight="1" x14ac:dyDescent="0.3">
      <c r="M10753" s="5"/>
    </row>
    <row r="10754" spans="13:13" ht="15" customHeight="1" x14ac:dyDescent="0.3">
      <c r="M10754" s="5"/>
    </row>
    <row r="10755" spans="13:13" ht="15" customHeight="1" x14ac:dyDescent="0.3">
      <c r="M10755" s="5"/>
    </row>
    <row r="10756" spans="13:13" ht="15" customHeight="1" x14ac:dyDescent="0.3">
      <c r="M10756" s="5"/>
    </row>
    <row r="10757" spans="13:13" ht="15" customHeight="1" x14ac:dyDescent="0.3">
      <c r="M10757" s="5"/>
    </row>
    <row r="10758" spans="13:13" ht="15" customHeight="1" x14ac:dyDescent="0.3">
      <c r="M10758" s="5"/>
    </row>
    <row r="10759" spans="13:13" ht="15" customHeight="1" x14ac:dyDescent="0.3">
      <c r="M10759" s="5"/>
    </row>
    <row r="10760" spans="13:13" ht="15" customHeight="1" x14ac:dyDescent="0.3">
      <c r="M10760" s="5"/>
    </row>
    <row r="10761" spans="13:13" ht="15" customHeight="1" x14ac:dyDescent="0.3">
      <c r="M10761" s="5"/>
    </row>
    <row r="10762" spans="13:13" ht="15" customHeight="1" x14ac:dyDescent="0.3">
      <c r="M10762" s="5"/>
    </row>
    <row r="10763" spans="13:13" ht="15" customHeight="1" x14ac:dyDescent="0.3">
      <c r="M10763" s="5"/>
    </row>
    <row r="10764" spans="13:13" ht="15" customHeight="1" x14ac:dyDescent="0.3">
      <c r="M10764" s="5"/>
    </row>
    <row r="10765" spans="13:13" ht="15" customHeight="1" x14ac:dyDescent="0.3">
      <c r="M10765" s="5"/>
    </row>
    <row r="10766" spans="13:13" ht="15" customHeight="1" x14ac:dyDescent="0.3">
      <c r="M10766" s="5"/>
    </row>
    <row r="10767" spans="13:13" ht="15" customHeight="1" x14ac:dyDescent="0.3">
      <c r="M10767" s="5"/>
    </row>
    <row r="10768" spans="13:13" ht="15" customHeight="1" x14ac:dyDescent="0.3">
      <c r="M10768" s="5"/>
    </row>
    <row r="10769" spans="13:13" ht="15" customHeight="1" x14ac:dyDescent="0.3">
      <c r="M10769" s="5"/>
    </row>
    <row r="10770" spans="13:13" ht="15" customHeight="1" x14ac:dyDescent="0.3">
      <c r="M10770" s="5"/>
    </row>
    <row r="10771" spans="13:13" ht="15" customHeight="1" x14ac:dyDescent="0.3">
      <c r="M10771" s="5"/>
    </row>
    <row r="10772" spans="13:13" ht="15" customHeight="1" x14ac:dyDescent="0.3">
      <c r="M10772" s="5"/>
    </row>
    <row r="10773" spans="13:13" ht="15" customHeight="1" x14ac:dyDescent="0.3">
      <c r="M10773" s="5"/>
    </row>
    <row r="10774" spans="13:13" ht="15" customHeight="1" x14ac:dyDescent="0.3">
      <c r="M10774" s="5"/>
    </row>
    <row r="10775" spans="13:13" ht="15" customHeight="1" x14ac:dyDescent="0.3">
      <c r="M10775" s="5"/>
    </row>
    <row r="10776" spans="13:13" ht="15" customHeight="1" x14ac:dyDescent="0.3">
      <c r="M10776" s="5"/>
    </row>
    <row r="10777" spans="13:13" ht="15" customHeight="1" x14ac:dyDescent="0.3">
      <c r="M10777" s="5"/>
    </row>
    <row r="10778" spans="13:13" ht="15" customHeight="1" x14ac:dyDescent="0.3">
      <c r="M10778" s="5"/>
    </row>
    <row r="10779" spans="13:13" ht="15" customHeight="1" x14ac:dyDescent="0.3">
      <c r="M10779" s="5"/>
    </row>
    <row r="10780" spans="13:13" ht="15" customHeight="1" x14ac:dyDescent="0.3">
      <c r="M10780" s="5"/>
    </row>
    <row r="10781" spans="13:13" ht="15" customHeight="1" x14ac:dyDescent="0.3">
      <c r="M10781" s="5"/>
    </row>
    <row r="10782" spans="13:13" ht="15" customHeight="1" x14ac:dyDescent="0.3">
      <c r="M10782" s="5"/>
    </row>
    <row r="10783" spans="13:13" ht="15" customHeight="1" x14ac:dyDescent="0.3">
      <c r="M10783" s="5"/>
    </row>
    <row r="10784" spans="13:13" ht="15" customHeight="1" x14ac:dyDescent="0.3">
      <c r="M10784" s="5"/>
    </row>
    <row r="10785" spans="13:13" ht="15" customHeight="1" x14ac:dyDescent="0.3">
      <c r="M10785" s="5"/>
    </row>
    <row r="10786" spans="13:13" ht="15" customHeight="1" x14ac:dyDescent="0.3">
      <c r="M10786" s="5"/>
    </row>
    <row r="10787" spans="13:13" ht="15" customHeight="1" x14ac:dyDescent="0.3">
      <c r="M10787" s="5"/>
    </row>
    <row r="10788" spans="13:13" ht="15" customHeight="1" x14ac:dyDescent="0.3">
      <c r="M10788" s="5"/>
    </row>
    <row r="10789" spans="13:13" ht="15" customHeight="1" x14ac:dyDescent="0.3">
      <c r="M10789" s="5"/>
    </row>
    <row r="10790" spans="13:13" ht="15" customHeight="1" x14ac:dyDescent="0.3">
      <c r="M10790" s="5"/>
    </row>
    <row r="10791" spans="13:13" ht="15" customHeight="1" x14ac:dyDescent="0.3">
      <c r="M10791" s="5"/>
    </row>
    <row r="10792" spans="13:13" ht="15" customHeight="1" x14ac:dyDescent="0.3">
      <c r="M10792" s="5"/>
    </row>
    <row r="10793" spans="13:13" ht="15" customHeight="1" x14ac:dyDescent="0.3">
      <c r="M10793" s="5"/>
    </row>
    <row r="10794" spans="13:13" ht="15" customHeight="1" x14ac:dyDescent="0.3">
      <c r="M10794" s="5"/>
    </row>
    <row r="10795" spans="13:13" ht="15" customHeight="1" x14ac:dyDescent="0.3">
      <c r="M10795" s="5"/>
    </row>
    <row r="10796" spans="13:13" ht="15" customHeight="1" x14ac:dyDescent="0.3">
      <c r="M10796" s="5"/>
    </row>
    <row r="10797" spans="13:13" ht="15" customHeight="1" x14ac:dyDescent="0.3">
      <c r="M10797" s="5"/>
    </row>
    <row r="10798" spans="13:13" ht="15" customHeight="1" x14ac:dyDescent="0.3">
      <c r="M10798" s="5"/>
    </row>
    <row r="10799" spans="13:13" ht="15" customHeight="1" x14ac:dyDescent="0.3">
      <c r="M10799" s="5"/>
    </row>
    <row r="10800" spans="13:13" ht="15" customHeight="1" x14ac:dyDescent="0.3">
      <c r="M10800" s="5"/>
    </row>
    <row r="10801" spans="13:13" ht="15" customHeight="1" x14ac:dyDescent="0.3">
      <c r="M10801" s="5"/>
    </row>
    <row r="10802" spans="13:13" ht="15" customHeight="1" x14ac:dyDescent="0.3">
      <c r="M10802" s="5"/>
    </row>
    <row r="10803" spans="13:13" ht="15" customHeight="1" x14ac:dyDescent="0.3">
      <c r="M10803" s="5"/>
    </row>
    <row r="10804" spans="13:13" ht="15" customHeight="1" x14ac:dyDescent="0.3">
      <c r="M10804" s="5"/>
    </row>
    <row r="10805" spans="13:13" ht="15" customHeight="1" x14ac:dyDescent="0.3">
      <c r="M10805" s="5"/>
    </row>
    <row r="10806" spans="13:13" ht="15" customHeight="1" x14ac:dyDescent="0.3">
      <c r="M10806" s="5"/>
    </row>
    <row r="10807" spans="13:13" ht="15" customHeight="1" x14ac:dyDescent="0.3">
      <c r="M10807" s="5"/>
    </row>
    <row r="10808" spans="13:13" ht="15" customHeight="1" x14ac:dyDescent="0.3">
      <c r="M10808" s="5"/>
    </row>
    <row r="10809" spans="13:13" ht="15" customHeight="1" x14ac:dyDescent="0.3">
      <c r="M10809" s="5"/>
    </row>
    <row r="10810" spans="13:13" ht="15" customHeight="1" x14ac:dyDescent="0.3">
      <c r="M10810" s="5"/>
    </row>
    <row r="10811" spans="13:13" ht="15" customHeight="1" x14ac:dyDescent="0.3">
      <c r="M10811" s="5"/>
    </row>
    <row r="10812" spans="13:13" ht="15" customHeight="1" x14ac:dyDescent="0.3">
      <c r="M10812" s="5"/>
    </row>
    <row r="10813" spans="13:13" ht="15" customHeight="1" x14ac:dyDescent="0.3">
      <c r="M10813" s="5"/>
    </row>
    <row r="10814" spans="13:13" ht="15" customHeight="1" x14ac:dyDescent="0.3">
      <c r="M10814" s="5"/>
    </row>
    <row r="10815" spans="13:13" ht="15" customHeight="1" x14ac:dyDescent="0.3">
      <c r="M10815" s="5"/>
    </row>
    <row r="10816" spans="13:13" ht="15" customHeight="1" x14ac:dyDescent="0.3">
      <c r="M10816" s="5"/>
    </row>
    <row r="10817" spans="13:13" ht="15" customHeight="1" x14ac:dyDescent="0.3">
      <c r="M10817" s="5"/>
    </row>
    <row r="10818" spans="13:13" ht="15" customHeight="1" x14ac:dyDescent="0.3">
      <c r="M10818" s="5"/>
    </row>
    <row r="10819" spans="13:13" ht="15" customHeight="1" x14ac:dyDescent="0.3">
      <c r="M10819" s="5"/>
    </row>
    <row r="10820" spans="13:13" ht="15" customHeight="1" x14ac:dyDescent="0.3">
      <c r="M10820" s="5"/>
    </row>
    <row r="10821" spans="13:13" ht="15" customHeight="1" x14ac:dyDescent="0.3">
      <c r="M10821" s="5"/>
    </row>
    <row r="10822" spans="13:13" ht="15" customHeight="1" x14ac:dyDescent="0.3">
      <c r="M10822" s="5"/>
    </row>
    <row r="10823" spans="13:13" ht="15" customHeight="1" x14ac:dyDescent="0.3">
      <c r="M10823" s="5"/>
    </row>
    <row r="10824" spans="13:13" ht="15" customHeight="1" x14ac:dyDescent="0.3">
      <c r="M10824" s="5"/>
    </row>
    <row r="10825" spans="13:13" ht="15" customHeight="1" x14ac:dyDescent="0.3">
      <c r="M10825" s="5"/>
    </row>
    <row r="10826" spans="13:13" ht="15" customHeight="1" x14ac:dyDescent="0.3">
      <c r="M10826" s="5"/>
    </row>
    <row r="10827" spans="13:13" ht="15" customHeight="1" x14ac:dyDescent="0.3">
      <c r="M10827" s="5"/>
    </row>
    <row r="10828" spans="13:13" ht="15" customHeight="1" x14ac:dyDescent="0.3">
      <c r="M10828" s="5"/>
    </row>
    <row r="10829" spans="13:13" ht="15" customHeight="1" x14ac:dyDescent="0.3">
      <c r="M10829" s="5"/>
    </row>
    <row r="10830" spans="13:13" ht="15" customHeight="1" x14ac:dyDescent="0.3">
      <c r="M10830" s="5"/>
    </row>
    <row r="10831" spans="13:13" ht="15" customHeight="1" x14ac:dyDescent="0.3">
      <c r="M10831" s="5"/>
    </row>
    <row r="10832" spans="13:13" ht="15" customHeight="1" x14ac:dyDescent="0.3">
      <c r="M10832" s="5"/>
    </row>
    <row r="10833" spans="13:13" ht="15" customHeight="1" x14ac:dyDescent="0.3">
      <c r="M10833" s="5"/>
    </row>
    <row r="10834" spans="13:13" ht="15" customHeight="1" x14ac:dyDescent="0.3">
      <c r="M10834" s="5"/>
    </row>
    <row r="10835" spans="13:13" ht="15" customHeight="1" x14ac:dyDescent="0.3">
      <c r="M10835" s="5"/>
    </row>
    <row r="10836" spans="13:13" ht="15" customHeight="1" x14ac:dyDescent="0.3">
      <c r="M10836" s="5"/>
    </row>
    <row r="10837" spans="13:13" ht="15" customHeight="1" x14ac:dyDescent="0.3">
      <c r="M10837" s="5"/>
    </row>
    <row r="10838" spans="13:13" ht="15" customHeight="1" x14ac:dyDescent="0.3">
      <c r="M10838" s="5"/>
    </row>
    <row r="10839" spans="13:13" ht="15" customHeight="1" x14ac:dyDescent="0.3">
      <c r="M10839" s="5"/>
    </row>
    <row r="10840" spans="13:13" ht="15" customHeight="1" x14ac:dyDescent="0.3">
      <c r="M10840" s="5"/>
    </row>
    <row r="10841" spans="13:13" ht="15" customHeight="1" x14ac:dyDescent="0.3">
      <c r="M10841" s="5"/>
    </row>
    <row r="10842" spans="13:13" ht="15" customHeight="1" x14ac:dyDescent="0.3">
      <c r="M10842" s="5"/>
    </row>
    <row r="10843" spans="13:13" ht="15" customHeight="1" x14ac:dyDescent="0.3">
      <c r="M10843" s="5"/>
    </row>
    <row r="10844" spans="13:13" ht="15" customHeight="1" x14ac:dyDescent="0.3">
      <c r="M10844" s="5"/>
    </row>
    <row r="10845" spans="13:13" ht="15" customHeight="1" x14ac:dyDescent="0.3">
      <c r="M10845" s="5"/>
    </row>
    <row r="10846" spans="13:13" ht="15" customHeight="1" x14ac:dyDescent="0.3">
      <c r="M10846" s="5"/>
    </row>
    <row r="10847" spans="13:13" ht="15" customHeight="1" x14ac:dyDescent="0.3">
      <c r="M10847" s="5"/>
    </row>
    <row r="10848" spans="13:13" ht="15" customHeight="1" x14ac:dyDescent="0.3">
      <c r="M10848" s="5"/>
    </row>
    <row r="10849" spans="13:13" ht="15" customHeight="1" x14ac:dyDescent="0.3">
      <c r="M10849" s="5"/>
    </row>
    <row r="10850" spans="13:13" ht="15" customHeight="1" x14ac:dyDescent="0.3">
      <c r="M10850" s="5"/>
    </row>
    <row r="10851" spans="13:13" ht="15" customHeight="1" x14ac:dyDescent="0.3">
      <c r="M10851" s="5"/>
    </row>
    <row r="10852" spans="13:13" ht="15" customHeight="1" x14ac:dyDescent="0.3">
      <c r="M10852" s="5"/>
    </row>
    <row r="10853" spans="13:13" ht="15" customHeight="1" x14ac:dyDescent="0.3">
      <c r="M10853" s="5"/>
    </row>
    <row r="10854" spans="13:13" ht="15" customHeight="1" x14ac:dyDescent="0.3">
      <c r="M10854" s="5"/>
    </row>
    <row r="10855" spans="13:13" ht="15" customHeight="1" x14ac:dyDescent="0.3">
      <c r="M10855" s="5"/>
    </row>
    <row r="10856" spans="13:13" ht="15" customHeight="1" x14ac:dyDescent="0.3">
      <c r="M10856" s="5"/>
    </row>
    <row r="10857" spans="13:13" ht="15" customHeight="1" x14ac:dyDescent="0.3">
      <c r="M10857" s="5"/>
    </row>
    <row r="10858" spans="13:13" ht="15" customHeight="1" x14ac:dyDescent="0.3">
      <c r="M10858" s="5"/>
    </row>
    <row r="10859" spans="13:13" ht="15" customHeight="1" x14ac:dyDescent="0.3">
      <c r="M10859" s="5"/>
    </row>
    <row r="10860" spans="13:13" ht="15" customHeight="1" x14ac:dyDescent="0.3">
      <c r="M10860" s="5"/>
    </row>
    <row r="10861" spans="13:13" ht="15" customHeight="1" x14ac:dyDescent="0.3">
      <c r="M10861" s="5"/>
    </row>
    <row r="10862" spans="13:13" ht="15" customHeight="1" x14ac:dyDescent="0.3">
      <c r="M10862" s="5"/>
    </row>
    <row r="10863" spans="13:13" ht="15" customHeight="1" x14ac:dyDescent="0.3">
      <c r="M10863" s="5"/>
    </row>
    <row r="10864" spans="13:13" ht="15" customHeight="1" x14ac:dyDescent="0.3">
      <c r="M10864" s="5"/>
    </row>
    <row r="10865" spans="13:13" ht="15" customHeight="1" x14ac:dyDescent="0.3">
      <c r="M10865" s="5"/>
    </row>
    <row r="10866" spans="13:13" ht="15" customHeight="1" x14ac:dyDescent="0.3">
      <c r="M10866" s="5"/>
    </row>
    <row r="10867" spans="13:13" ht="15" customHeight="1" x14ac:dyDescent="0.3">
      <c r="M10867" s="5"/>
    </row>
    <row r="10868" spans="13:13" ht="15" customHeight="1" x14ac:dyDescent="0.3">
      <c r="M10868" s="5"/>
    </row>
    <row r="10869" spans="13:13" ht="15" customHeight="1" x14ac:dyDescent="0.3">
      <c r="M10869" s="5"/>
    </row>
    <row r="10870" spans="13:13" ht="15" customHeight="1" x14ac:dyDescent="0.3">
      <c r="M10870" s="5"/>
    </row>
    <row r="10871" spans="13:13" ht="15" customHeight="1" x14ac:dyDescent="0.3">
      <c r="M10871" s="5"/>
    </row>
    <row r="10872" spans="13:13" ht="15" customHeight="1" x14ac:dyDescent="0.3">
      <c r="M10872" s="5"/>
    </row>
    <row r="10873" spans="13:13" ht="15" customHeight="1" x14ac:dyDescent="0.3">
      <c r="M10873" s="5"/>
    </row>
    <row r="10874" spans="13:13" ht="15" customHeight="1" x14ac:dyDescent="0.3">
      <c r="M10874" s="5"/>
    </row>
    <row r="10875" spans="13:13" ht="15" customHeight="1" x14ac:dyDescent="0.3">
      <c r="M10875" s="5"/>
    </row>
    <row r="10876" spans="13:13" ht="15" customHeight="1" x14ac:dyDescent="0.3">
      <c r="M10876" s="5"/>
    </row>
    <row r="10877" spans="13:13" ht="15" customHeight="1" x14ac:dyDescent="0.3">
      <c r="M10877" s="5"/>
    </row>
    <row r="10878" spans="13:13" ht="15" customHeight="1" x14ac:dyDescent="0.3">
      <c r="M10878" s="5"/>
    </row>
    <row r="10879" spans="13:13" ht="15" customHeight="1" x14ac:dyDescent="0.3">
      <c r="M10879" s="5"/>
    </row>
    <row r="10880" spans="13:13" ht="15" customHeight="1" x14ac:dyDescent="0.3">
      <c r="M10880" s="5"/>
    </row>
    <row r="10881" spans="13:13" ht="15" customHeight="1" x14ac:dyDescent="0.3">
      <c r="M10881" s="5"/>
    </row>
    <row r="10882" spans="13:13" ht="15" customHeight="1" x14ac:dyDescent="0.3">
      <c r="M10882" s="5"/>
    </row>
    <row r="10883" spans="13:13" ht="15" customHeight="1" x14ac:dyDescent="0.3">
      <c r="M10883" s="5"/>
    </row>
    <row r="10884" spans="13:13" ht="15" customHeight="1" x14ac:dyDescent="0.3">
      <c r="M10884" s="5"/>
    </row>
    <row r="10885" spans="13:13" ht="15" customHeight="1" x14ac:dyDescent="0.3">
      <c r="M10885" s="5"/>
    </row>
    <row r="10886" spans="13:13" ht="15" customHeight="1" x14ac:dyDescent="0.3">
      <c r="M10886" s="5"/>
    </row>
    <row r="10887" spans="13:13" ht="15" customHeight="1" x14ac:dyDescent="0.3">
      <c r="M10887" s="5"/>
    </row>
    <row r="10888" spans="13:13" ht="15" customHeight="1" x14ac:dyDescent="0.3">
      <c r="M10888" s="5"/>
    </row>
    <row r="10889" spans="13:13" ht="15" customHeight="1" x14ac:dyDescent="0.3">
      <c r="M10889" s="5"/>
    </row>
    <row r="10890" spans="13:13" ht="15" customHeight="1" x14ac:dyDescent="0.3">
      <c r="M10890" s="5"/>
    </row>
    <row r="10891" spans="13:13" ht="15" customHeight="1" x14ac:dyDescent="0.3">
      <c r="M10891" s="5"/>
    </row>
    <row r="10892" spans="13:13" ht="15" customHeight="1" x14ac:dyDescent="0.3">
      <c r="M10892" s="5"/>
    </row>
    <row r="10893" spans="13:13" ht="15" customHeight="1" x14ac:dyDescent="0.3">
      <c r="M10893" s="5"/>
    </row>
    <row r="10894" spans="13:13" ht="15" customHeight="1" x14ac:dyDescent="0.3">
      <c r="M10894" s="5"/>
    </row>
    <row r="10895" spans="13:13" ht="15" customHeight="1" x14ac:dyDescent="0.3">
      <c r="M10895" s="5"/>
    </row>
    <row r="10896" spans="13:13" ht="15" customHeight="1" x14ac:dyDescent="0.3">
      <c r="M10896" s="5"/>
    </row>
    <row r="10897" spans="13:13" ht="15" customHeight="1" x14ac:dyDescent="0.3">
      <c r="M10897" s="5"/>
    </row>
    <row r="10898" spans="13:13" ht="15" customHeight="1" x14ac:dyDescent="0.3">
      <c r="M10898" s="5"/>
    </row>
    <row r="10899" spans="13:13" ht="15" customHeight="1" x14ac:dyDescent="0.3">
      <c r="M10899" s="5"/>
    </row>
    <row r="10900" spans="13:13" ht="15" customHeight="1" x14ac:dyDescent="0.3">
      <c r="M10900" s="5"/>
    </row>
    <row r="10901" spans="13:13" ht="15" customHeight="1" x14ac:dyDescent="0.3">
      <c r="M10901" s="5"/>
    </row>
    <row r="10902" spans="13:13" ht="15" customHeight="1" x14ac:dyDescent="0.3">
      <c r="M10902" s="5"/>
    </row>
    <row r="10903" spans="13:13" ht="15" customHeight="1" x14ac:dyDescent="0.3">
      <c r="M10903" s="5"/>
    </row>
    <row r="10904" spans="13:13" ht="15" customHeight="1" x14ac:dyDescent="0.3">
      <c r="M10904" s="5"/>
    </row>
    <row r="10905" spans="13:13" ht="15" customHeight="1" x14ac:dyDescent="0.3">
      <c r="M10905" s="5"/>
    </row>
    <row r="10906" spans="13:13" ht="15" customHeight="1" x14ac:dyDescent="0.3">
      <c r="M10906" s="5"/>
    </row>
    <row r="10907" spans="13:13" ht="15" customHeight="1" x14ac:dyDescent="0.3">
      <c r="M10907" s="5"/>
    </row>
    <row r="10908" spans="13:13" ht="15" customHeight="1" x14ac:dyDescent="0.3">
      <c r="M10908" s="5"/>
    </row>
    <row r="10909" spans="13:13" ht="15" customHeight="1" x14ac:dyDescent="0.3">
      <c r="M10909" s="5"/>
    </row>
    <row r="10910" spans="13:13" ht="15" customHeight="1" x14ac:dyDescent="0.3">
      <c r="M10910" s="5"/>
    </row>
    <row r="10911" spans="13:13" ht="15" customHeight="1" x14ac:dyDescent="0.3">
      <c r="M10911" s="5"/>
    </row>
    <row r="10912" spans="13:13" ht="15" customHeight="1" x14ac:dyDescent="0.3">
      <c r="M10912" s="5"/>
    </row>
    <row r="10913" spans="13:13" ht="15" customHeight="1" x14ac:dyDescent="0.3">
      <c r="M10913" s="5"/>
    </row>
    <row r="10914" spans="13:13" ht="15" customHeight="1" x14ac:dyDescent="0.3">
      <c r="M10914" s="5"/>
    </row>
    <row r="10915" spans="13:13" ht="15" customHeight="1" x14ac:dyDescent="0.3">
      <c r="M10915" s="5"/>
    </row>
    <row r="10916" spans="13:13" ht="15" customHeight="1" x14ac:dyDescent="0.3">
      <c r="M10916" s="5"/>
    </row>
    <row r="10917" spans="13:13" ht="15" customHeight="1" x14ac:dyDescent="0.3">
      <c r="M10917" s="5"/>
    </row>
    <row r="10918" spans="13:13" ht="15" customHeight="1" x14ac:dyDescent="0.3">
      <c r="M10918" s="5"/>
    </row>
    <row r="10919" spans="13:13" ht="15" customHeight="1" x14ac:dyDescent="0.3">
      <c r="M10919" s="5"/>
    </row>
    <row r="10920" spans="13:13" ht="15" customHeight="1" x14ac:dyDescent="0.3">
      <c r="M10920" s="5"/>
    </row>
    <row r="10921" spans="13:13" ht="15" customHeight="1" x14ac:dyDescent="0.3">
      <c r="M10921" s="5"/>
    </row>
    <row r="10922" spans="13:13" ht="15" customHeight="1" x14ac:dyDescent="0.3">
      <c r="M10922" s="5"/>
    </row>
    <row r="10923" spans="13:13" ht="15" customHeight="1" x14ac:dyDescent="0.3">
      <c r="M10923" s="5"/>
    </row>
    <row r="10924" spans="13:13" ht="15" customHeight="1" x14ac:dyDescent="0.3">
      <c r="M10924" s="5"/>
    </row>
    <row r="10925" spans="13:13" ht="15" customHeight="1" x14ac:dyDescent="0.3">
      <c r="M10925" s="5"/>
    </row>
    <row r="10926" spans="13:13" ht="15" customHeight="1" x14ac:dyDescent="0.3">
      <c r="M10926" s="5"/>
    </row>
    <row r="10927" spans="13:13" ht="15" customHeight="1" x14ac:dyDescent="0.3">
      <c r="M10927" s="5"/>
    </row>
    <row r="10928" spans="13:13" ht="15" customHeight="1" x14ac:dyDescent="0.3">
      <c r="M10928" s="5"/>
    </row>
    <row r="10929" spans="13:13" ht="15" customHeight="1" x14ac:dyDescent="0.3">
      <c r="M10929" s="5"/>
    </row>
    <row r="10930" spans="13:13" ht="15" customHeight="1" x14ac:dyDescent="0.3">
      <c r="M10930" s="5"/>
    </row>
    <row r="10931" spans="13:13" ht="15" customHeight="1" x14ac:dyDescent="0.3">
      <c r="M10931" s="5"/>
    </row>
    <row r="10932" spans="13:13" ht="15" customHeight="1" x14ac:dyDescent="0.3">
      <c r="M10932" s="5"/>
    </row>
    <row r="10933" spans="13:13" ht="15" customHeight="1" x14ac:dyDescent="0.3">
      <c r="M10933" s="5"/>
    </row>
    <row r="10934" spans="13:13" ht="15" customHeight="1" x14ac:dyDescent="0.3">
      <c r="M10934" s="5"/>
    </row>
    <row r="10935" spans="13:13" ht="15" customHeight="1" x14ac:dyDescent="0.3">
      <c r="M10935" s="5"/>
    </row>
    <row r="10936" spans="13:13" ht="15" customHeight="1" x14ac:dyDescent="0.3">
      <c r="M10936" s="5"/>
    </row>
    <row r="10937" spans="13:13" ht="15" customHeight="1" x14ac:dyDescent="0.3">
      <c r="M10937" s="5"/>
    </row>
    <row r="10938" spans="13:13" ht="15" customHeight="1" x14ac:dyDescent="0.3">
      <c r="M10938" s="5"/>
    </row>
    <row r="10939" spans="13:13" ht="15" customHeight="1" x14ac:dyDescent="0.3">
      <c r="M10939" s="5"/>
    </row>
    <row r="10940" spans="13:13" ht="15" customHeight="1" x14ac:dyDescent="0.3">
      <c r="M10940" s="5"/>
    </row>
    <row r="10941" spans="13:13" ht="15" customHeight="1" x14ac:dyDescent="0.3">
      <c r="M10941" s="5"/>
    </row>
    <row r="10942" spans="13:13" ht="15" customHeight="1" x14ac:dyDescent="0.3">
      <c r="M10942" s="5"/>
    </row>
    <row r="10943" spans="13:13" ht="15" customHeight="1" x14ac:dyDescent="0.3">
      <c r="M10943" s="5"/>
    </row>
    <row r="10944" spans="13:13" ht="15" customHeight="1" x14ac:dyDescent="0.3">
      <c r="M10944" s="5"/>
    </row>
    <row r="10945" spans="13:13" ht="15" customHeight="1" x14ac:dyDescent="0.3">
      <c r="M10945" s="5"/>
    </row>
    <row r="10946" spans="13:13" ht="15" customHeight="1" x14ac:dyDescent="0.3">
      <c r="M10946" s="5"/>
    </row>
    <row r="10947" spans="13:13" ht="15" customHeight="1" x14ac:dyDescent="0.3">
      <c r="M10947" s="5"/>
    </row>
    <row r="10948" spans="13:13" ht="15" customHeight="1" x14ac:dyDescent="0.3">
      <c r="M10948" s="5"/>
    </row>
    <row r="10949" spans="13:13" ht="15" customHeight="1" x14ac:dyDescent="0.3">
      <c r="M10949" s="5"/>
    </row>
    <row r="10950" spans="13:13" ht="15" customHeight="1" x14ac:dyDescent="0.3">
      <c r="M10950" s="5"/>
    </row>
    <row r="10951" spans="13:13" ht="15" customHeight="1" x14ac:dyDescent="0.3">
      <c r="M10951" s="5"/>
    </row>
    <row r="10952" spans="13:13" ht="15" customHeight="1" x14ac:dyDescent="0.3">
      <c r="M10952" s="5"/>
    </row>
    <row r="10953" spans="13:13" ht="15" customHeight="1" x14ac:dyDescent="0.3">
      <c r="M10953" s="5"/>
    </row>
    <row r="10954" spans="13:13" ht="15" customHeight="1" x14ac:dyDescent="0.3">
      <c r="M10954" s="5"/>
    </row>
    <row r="10955" spans="13:13" ht="15" customHeight="1" x14ac:dyDescent="0.3">
      <c r="M10955" s="5"/>
    </row>
    <row r="10956" spans="13:13" ht="15" customHeight="1" x14ac:dyDescent="0.3">
      <c r="M10956" s="5"/>
    </row>
    <row r="10957" spans="13:13" ht="15" customHeight="1" x14ac:dyDescent="0.3">
      <c r="M10957" s="5"/>
    </row>
    <row r="10958" spans="13:13" ht="15" customHeight="1" x14ac:dyDescent="0.3">
      <c r="M10958" s="5"/>
    </row>
    <row r="10959" spans="13:13" ht="15" customHeight="1" x14ac:dyDescent="0.3">
      <c r="M10959" s="5"/>
    </row>
    <row r="10960" spans="13:13" ht="15" customHeight="1" x14ac:dyDescent="0.3">
      <c r="M10960" s="5"/>
    </row>
    <row r="10961" spans="13:13" ht="15" customHeight="1" x14ac:dyDescent="0.3">
      <c r="M10961" s="5"/>
    </row>
    <row r="10962" spans="13:13" ht="15" customHeight="1" x14ac:dyDescent="0.3">
      <c r="M10962" s="5"/>
    </row>
    <row r="10963" spans="13:13" ht="15" customHeight="1" x14ac:dyDescent="0.3">
      <c r="M10963" s="5"/>
    </row>
    <row r="10964" spans="13:13" ht="15" customHeight="1" x14ac:dyDescent="0.3">
      <c r="M10964" s="5"/>
    </row>
    <row r="10965" spans="13:13" ht="15" customHeight="1" x14ac:dyDescent="0.3">
      <c r="M10965" s="5"/>
    </row>
    <row r="10966" spans="13:13" ht="15" customHeight="1" x14ac:dyDescent="0.3">
      <c r="M10966" s="5"/>
    </row>
    <row r="10967" spans="13:13" ht="15" customHeight="1" x14ac:dyDescent="0.3">
      <c r="M10967" s="5"/>
    </row>
    <row r="10968" spans="13:13" ht="15" customHeight="1" x14ac:dyDescent="0.3">
      <c r="M10968" s="5"/>
    </row>
    <row r="10969" spans="13:13" ht="15" customHeight="1" x14ac:dyDescent="0.3">
      <c r="M10969" s="5"/>
    </row>
    <row r="10970" spans="13:13" ht="15" customHeight="1" x14ac:dyDescent="0.3">
      <c r="M10970" s="5"/>
    </row>
    <row r="10971" spans="13:13" ht="15" customHeight="1" x14ac:dyDescent="0.3">
      <c r="M10971" s="5"/>
    </row>
    <row r="10972" spans="13:13" ht="15" customHeight="1" x14ac:dyDescent="0.3">
      <c r="M10972" s="5"/>
    </row>
    <row r="10973" spans="13:13" ht="15" customHeight="1" x14ac:dyDescent="0.3">
      <c r="M10973" s="5"/>
    </row>
    <row r="10974" spans="13:13" ht="15" customHeight="1" x14ac:dyDescent="0.3">
      <c r="M10974" s="5"/>
    </row>
    <row r="10975" spans="13:13" ht="15" customHeight="1" x14ac:dyDescent="0.3">
      <c r="M10975" s="5"/>
    </row>
    <row r="10976" spans="13:13" ht="15" customHeight="1" x14ac:dyDescent="0.3">
      <c r="M10976" s="5"/>
    </row>
    <row r="10977" spans="13:13" ht="15" customHeight="1" x14ac:dyDescent="0.3">
      <c r="M10977" s="5"/>
    </row>
    <row r="10978" spans="13:13" ht="15" customHeight="1" x14ac:dyDescent="0.3">
      <c r="M10978" s="5"/>
    </row>
    <row r="10979" spans="13:13" ht="15" customHeight="1" x14ac:dyDescent="0.3">
      <c r="M10979" s="5"/>
    </row>
    <row r="10980" spans="13:13" ht="15" customHeight="1" x14ac:dyDescent="0.3">
      <c r="M10980" s="5"/>
    </row>
    <row r="10981" spans="13:13" ht="15" customHeight="1" x14ac:dyDescent="0.3">
      <c r="M10981" s="5"/>
    </row>
    <row r="10982" spans="13:13" ht="15" customHeight="1" x14ac:dyDescent="0.3">
      <c r="M10982" s="5"/>
    </row>
    <row r="10983" spans="13:13" ht="15" customHeight="1" x14ac:dyDescent="0.3">
      <c r="M10983" s="5"/>
    </row>
    <row r="10984" spans="13:13" ht="15" customHeight="1" x14ac:dyDescent="0.3">
      <c r="M10984" s="5"/>
    </row>
    <row r="10985" spans="13:13" ht="15" customHeight="1" x14ac:dyDescent="0.3">
      <c r="M10985" s="5"/>
    </row>
    <row r="10986" spans="13:13" ht="15" customHeight="1" x14ac:dyDescent="0.3">
      <c r="M10986" s="5"/>
    </row>
    <row r="10987" spans="13:13" ht="15" customHeight="1" x14ac:dyDescent="0.3">
      <c r="M10987" s="5"/>
    </row>
    <row r="10988" spans="13:13" ht="15" customHeight="1" x14ac:dyDescent="0.3">
      <c r="M10988" s="5"/>
    </row>
    <row r="10989" spans="13:13" ht="15" customHeight="1" x14ac:dyDescent="0.3">
      <c r="M10989" s="5"/>
    </row>
    <row r="10990" spans="13:13" ht="15" customHeight="1" x14ac:dyDescent="0.3">
      <c r="M10990" s="5"/>
    </row>
    <row r="10991" spans="13:13" ht="15" customHeight="1" x14ac:dyDescent="0.3">
      <c r="M10991" s="5"/>
    </row>
    <row r="10992" spans="13:13" ht="15" customHeight="1" x14ac:dyDescent="0.3">
      <c r="M10992" s="5"/>
    </row>
    <row r="10993" spans="13:13" ht="15" customHeight="1" x14ac:dyDescent="0.3">
      <c r="M10993" s="5"/>
    </row>
    <row r="10994" spans="13:13" ht="15" customHeight="1" x14ac:dyDescent="0.3">
      <c r="M10994" s="5"/>
    </row>
    <row r="10995" spans="13:13" ht="15" customHeight="1" x14ac:dyDescent="0.3">
      <c r="M10995" s="5"/>
    </row>
    <row r="10996" spans="13:13" ht="15" customHeight="1" x14ac:dyDescent="0.3">
      <c r="M10996" s="5"/>
    </row>
    <row r="10997" spans="13:13" ht="15" customHeight="1" x14ac:dyDescent="0.3">
      <c r="M10997" s="5"/>
    </row>
    <row r="10998" spans="13:13" ht="15" customHeight="1" x14ac:dyDescent="0.3">
      <c r="M10998" s="5"/>
    </row>
    <row r="10999" spans="13:13" ht="15" customHeight="1" x14ac:dyDescent="0.3">
      <c r="M10999" s="5"/>
    </row>
    <row r="11000" spans="13:13" ht="15" customHeight="1" x14ac:dyDescent="0.3">
      <c r="M11000" s="5"/>
    </row>
    <row r="11001" spans="13:13" ht="15" customHeight="1" x14ac:dyDescent="0.3">
      <c r="M11001" s="5"/>
    </row>
    <row r="11002" spans="13:13" ht="15" customHeight="1" x14ac:dyDescent="0.3">
      <c r="M11002" s="5"/>
    </row>
    <row r="11003" spans="13:13" ht="15" customHeight="1" x14ac:dyDescent="0.3">
      <c r="M11003" s="5"/>
    </row>
    <row r="11004" spans="13:13" ht="15" customHeight="1" x14ac:dyDescent="0.3">
      <c r="M11004" s="5"/>
    </row>
    <row r="11005" spans="13:13" ht="15" customHeight="1" x14ac:dyDescent="0.3">
      <c r="M11005" s="5"/>
    </row>
    <row r="11006" spans="13:13" ht="15" customHeight="1" x14ac:dyDescent="0.3">
      <c r="M11006" s="5"/>
    </row>
    <row r="11007" spans="13:13" ht="15" customHeight="1" x14ac:dyDescent="0.3">
      <c r="M11007" s="5"/>
    </row>
    <row r="11008" spans="13:13" ht="15" customHeight="1" x14ac:dyDescent="0.3">
      <c r="M11008" s="5"/>
    </row>
    <row r="11009" spans="13:13" ht="15" customHeight="1" x14ac:dyDescent="0.3">
      <c r="M11009" s="5"/>
    </row>
    <row r="11010" spans="13:13" ht="15" customHeight="1" x14ac:dyDescent="0.3">
      <c r="M11010" s="5"/>
    </row>
    <row r="11011" spans="13:13" ht="15" customHeight="1" x14ac:dyDescent="0.3">
      <c r="M11011" s="5"/>
    </row>
    <row r="11012" spans="13:13" ht="15" customHeight="1" x14ac:dyDescent="0.3">
      <c r="M11012" s="5"/>
    </row>
    <row r="11013" spans="13:13" ht="15" customHeight="1" x14ac:dyDescent="0.3">
      <c r="M11013" s="5"/>
    </row>
    <row r="11014" spans="13:13" ht="15" customHeight="1" x14ac:dyDescent="0.3">
      <c r="M11014" s="5"/>
    </row>
    <row r="11015" spans="13:13" ht="15" customHeight="1" x14ac:dyDescent="0.3">
      <c r="M11015" s="5"/>
    </row>
    <row r="11016" spans="13:13" ht="15" customHeight="1" x14ac:dyDescent="0.3">
      <c r="M11016" s="5"/>
    </row>
    <row r="11017" spans="13:13" ht="15" customHeight="1" x14ac:dyDescent="0.3">
      <c r="M11017" s="5"/>
    </row>
    <row r="11018" spans="13:13" ht="15" customHeight="1" x14ac:dyDescent="0.3">
      <c r="M11018" s="5"/>
    </row>
    <row r="11019" spans="13:13" ht="15" customHeight="1" x14ac:dyDescent="0.3">
      <c r="M11019" s="5"/>
    </row>
    <row r="11020" spans="13:13" ht="15" customHeight="1" x14ac:dyDescent="0.3">
      <c r="M11020" s="5"/>
    </row>
    <row r="11021" spans="13:13" ht="15" customHeight="1" x14ac:dyDescent="0.3">
      <c r="M11021" s="5"/>
    </row>
    <row r="11022" spans="13:13" ht="15" customHeight="1" x14ac:dyDescent="0.3">
      <c r="M11022" s="5"/>
    </row>
    <row r="11023" spans="13:13" ht="15" customHeight="1" x14ac:dyDescent="0.3">
      <c r="M11023" s="5"/>
    </row>
    <row r="11024" spans="13:13" ht="15" customHeight="1" x14ac:dyDescent="0.3">
      <c r="M11024" s="5"/>
    </row>
    <row r="11025" spans="13:13" ht="15" customHeight="1" x14ac:dyDescent="0.3">
      <c r="M11025" s="5"/>
    </row>
    <row r="11026" spans="13:13" ht="15" customHeight="1" x14ac:dyDescent="0.3">
      <c r="M11026" s="5"/>
    </row>
    <row r="11027" spans="13:13" ht="15" customHeight="1" x14ac:dyDescent="0.3">
      <c r="M11027" s="5"/>
    </row>
    <row r="11028" spans="13:13" ht="15" customHeight="1" x14ac:dyDescent="0.3">
      <c r="M11028" s="5"/>
    </row>
    <row r="11029" spans="13:13" ht="15" customHeight="1" x14ac:dyDescent="0.3">
      <c r="M11029" s="5"/>
    </row>
    <row r="11030" spans="13:13" ht="15" customHeight="1" x14ac:dyDescent="0.3">
      <c r="M11030" s="5"/>
    </row>
    <row r="11031" spans="13:13" ht="15" customHeight="1" x14ac:dyDescent="0.3">
      <c r="M11031" s="5"/>
    </row>
    <row r="11032" spans="13:13" ht="15" customHeight="1" x14ac:dyDescent="0.3">
      <c r="M11032" s="5"/>
    </row>
    <row r="11033" spans="13:13" ht="15" customHeight="1" x14ac:dyDescent="0.3">
      <c r="M11033" s="5"/>
    </row>
    <row r="11034" spans="13:13" ht="15" customHeight="1" x14ac:dyDescent="0.3">
      <c r="M11034" s="5"/>
    </row>
    <row r="11035" spans="13:13" ht="15" customHeight="1" x14ac:dyDescent="0.3">
      <c r="M11035" s="5"/>
    </row>
    <row r="11036" spans="13:13" ht="15" customHeight="1" x14ac:dyDescent="0.3">
      <c r="M11036" s="5"/>
    </row>
    <row r="11037" spans="13:13" ht="15" customHeight="1" x14ac:dyDescent="0.3">
      <c r="M11037" s="5"/>
    </row>
    <row r="11038" spans="13:13" ht="15" customHeight="1" x14ac:dyDescent="0.3">
      <c r="M11038" s="5"/>
    </row>
    <row r="11039" spans="13:13" ht="15" customHeight="1" x14ac:dyDescent="0.3">
      <c r="M11039" s="5"/>
    </row>
    <row r="11040" spans="13:13" ht="15" customHeight="1" x14ac:dyDescent="0.3">
      <c r="M11040" s="5"/>
    </row>
    <row r="11041" spans="13:13" ht="15" customHeight="1" x14ac:dyDescent="0.3">
      <c r="M11041" s="5"/>
    </row>
    <row r="11042" spans="13:13" ht="15" customHeight="1" x14ac:dyDescent="0.3">
      <c r="M11042" s="5"/>
    </row>
    <row r="11043" spans="13:13" ht="15" customHeight="1" x14ac:dyDescent="0.3">
      <c r="M11043" s="5"/>
    </row>
    <row r="11044" spans="13:13" ht="15" customHeight="1" x14ac:dyDescent="0.3">
      <c r="M11044" s="5"/>
    </row>
    <row r="11045" spans="13:13" ht="15" customHeight="1" x14ac:dyDescent="0.3">
      <c r="M11045" s="5"/>
    </row>
    <row r="11046" spans="13:13" ht="15" customHeight="1" x14ac:dyDescent="0.3">
      <c r="M11046" s="5"/>
    </row>
    <row r="11047" spans="13:13" ht="15" customHeight="1" x14ac:dyDescent="0.3">
      <c r="M11047" s="5"/>
    </row>
    <row r="11048" spans="13:13" ht="15" customHeight="1" x14ac:dyDescent="0.3">
      <c r="M11048" s="5"/>
    </row>
    <row r="11049" spans="13:13" ht="15" customHeight="1" x14ac:dyDescent="0.3">
      <c r="M11049" s="5"/>
    </row>
    <row r="11050" spans="13:13" ht="15" customHeight="1" x14ac:dyDescent="0.3">
      <c r="M11050" s="5"/>
    </row>
    <row r="11051" spans="13:13" ht="15" customHeight="1" x14ac:dyDescent="0.3">
      <c r="M11051" s="5"/>
    </row>
    <row r="11052" spans="13:13" ht="15" customHeight="1" x14ac:dyDescent="0.3">
      <c r="M11052" s="5"/>
    </row>
    <row r="11053" spans="13:13" ht="15" customHeight="1" x14ac:dyDescent="0.3">
      <c r="M11053" s="5"/>
    </row>
    <row r="11054" spans="13:13" ht="15" customHeight="1" x14ac:dyDescent="0.3">
      <c r="M11054" s="5"/>
    </row>
    <row r="11055" spans="13:13" ht="15" customHeight="1" x14ac:dyDescent="0.3">
      <c r="M11055" s="5"/>
    </row>
    <row r="11056" spans="13:13" ht="15" customHeight="1" x14ac:dyDescent="0.3">
      <c r="M11056" s="5"/>
    </row>
    <row r="11057" spans="13:13" ht="15" customHeight="1" x14ac:dyDescent="0.3">
      <c r="M11057" s="5"/>
    </row>
    <row r="11058" spans="13:13" ht="15" customHeight="1" x14ac:dyDescent="0.3">
      <c r="M11058" s="5"/>
    </row>
    <row r="11059" spans="13:13" ht="15" customHeight="1" x14ac:dyDescent="0.3">
      <c r="M11059" s="5"/>
    </row>
    <row r="11060" spans="13:13" ht="15" customHeight="1" x14ac:dyDescent="0.3">
      <c r="M11060" s="5"/>
    </row>
    <row r="11061" spans="13:13" ht="15" customHeight="1" x14ac:dyDescent="0.3">
      <c r="M11061" s="5"/>
    </row>
    <row r="11062" spans="13:13" ht="15" customHeight="1" x14ac:dyDescent="0.3">
      <c r="M11062" s="5"/>
    </row>
    <row r="11063" spans="13:13" ht="15" customHeight="1" x14ac:dyDescent="0.3">
      <c r="M11063" s="5"/>
    </row>
    <row r="11064" spans="13:13" ht="15" customHeight="1" x14ac:dyDescent="0.3">
      <c r="M11064" s="5"/>
    </row>
    <row r="11065" spans="13:13" ht="15" customHeight="1" x14ac:dyDescent="0.3">
      <c r="M11065" s="5"/>
    </row>
    <row r="11066" spans="13:13" ht="15" customHeight="1" x14ac:dyDescent="0.3">
      <c r="M11066" s="5"/>
    </row>
    <row r="11067" spans="13:13" ht="15" customHeight="1" x14ac:dyDescent="0.3">
      <c r="M11067" s="5"/>
    </row>
    <row r="11068" spans="13:13" ht="15" customHeight="1" x14ac:dyDescent="0.3">
      <c r="M11068" s="5"/>
    </row>
    <row r="11069" spans="13:13" ht="15" customHeight="1" x14ac:dyDescent="0.3">
      <c r="M11069" s="5"/>
    </row>
    <row r="11070" spans="13:13" ht="15" customHeight="1" x14ac:dyDescent="0.3">
      <c r="M11070" s="5"/>
    </row>
    <row r="11071" spans="13:13" ht="15" customHeight="1" x14ac:dyDescent="0.3">
      <c r="M11071" s="5"/>
    </row>
    <row r="11072" spans="13:13" ht="15" customHeight="1" x14ac:dyDescent="0.3">
      <c r="M11072" s="5"/>
    </row>
    <row r="11073" spans="13:13" ht="15" customHeight="1" x14ac:dyDescent="0.3">
      <c r="M11073" s="5"/>
    </row>
    <row r="11074" spans="13:13" ht="15" customHeight="1" x14ac:dyDescent="0.3">
      <c r="M11074" s="5"/>
    </row>
    <row r="11075" spans="13:13" ht="15" customHeight="1" x14ac:dyDescent="0.3">
      <c r="M11075" s="5"/>
    </row>
    <row r="11076" spans="13:13" ht="15" customHeight="1" x14ac:dyDescent="0.3">
      <c r="M11076" s="5"/>
    </row>
    <row r="11077" spans="13:13" ht="15" customHeight="1" x14ac:dyDescent="0.3">
      <c r="M11077" s="5"/>
    </row>
    <row r="11078" spans="13:13" ht="15" customHeight="1" x14ac:dyDescent="0.3">
      <c r="M11078" s="5"/>
    </row>
    <row r="11079" spans="13:13" ht="15" customHeight="1" x14ac:dyDescent="0.3">
      <c r="M11079" s="5"/>
    </row>
    <row r="11080" spans="13:13" ht="15" customHeight="1" x14ac:dyDescent="0.3">
      <c r="M11080" s="5"/>
    </row>
    <row r="11081" spans="13:13" ht="15" customHeight="1" x14ac:dyDescent="0.3">
      <c r="M11081" s="5"/>
    </row>
    <row r="11082" spans="13:13" ht="15" customHeight="1" x14ac:dyDescent="0.3">
      <c r="M11082" s="5"/>
    </row>
    <row r="11083" spans="13:13" ht="15" customHeight="1" x14ac:dyDescent="0.3">
      <c r="M11083" s="5"/>
    </row>
    <row r="11084" spans="13:13" ht="15" customHeight="1" x14ac:dyDescent="0.3">
      <c r="M11084" s="5"/>
    </row>
    <row r="11085" spans="13:13" ht="15" customHeight="1" x14ac:dyDescent="0.3">
      <c r="M11085" s="5"/>
    </row>
    <row r="11086" spans="13:13" ht="15" customHeight="1" x14ac:dyDescent="0.3">
      <c r="M11086" s="5"/>
    </row>
    <row r="11087" spans="13:13" ht="15" customHeight="1" x14ac:dyDescent="0.3">
      <c r="M11087" s="5"/>
    </row>
    <row r="11088" spans="13:13" ht="15" customHeight="1" x14ac:dyDescent="0.3">
      <c r="M11088" s="5"/>
    </row>
    <row r="11089" spans="13:13" ht="15" customHeight="1" x14ac:dyDescent="0.3">
      <c r="M11089" s="5"/>
    </row>
    <row r="11090" spans="13:13" ht="15" customHeight="1" x14ac:dyDescent="0.3">
      <c r="M11090" s="5"/>
    </row>
    <row r="11091" spans="13:13" ht="15" customHeight="1" x14ac:dyDescent="0.3">
      <c r="M11091" s="5"/>
    </row>
    <row r="11092" spans="13:13" ht="15" customHeight="1" x14ac:dyDescent="0.3">
      <c r="M11092" s="5"/>
    </row>
    <row r="11093" spans="13:13" ht="15" customHeight="1" x14ac:dyDescent="0.3">
      <c r="M11093" s="5"/>
    </row>
    <row r="11094" spans="13:13" ht="15" customHeight="1" x14ac:dyDescent="0.3">
      <c r="M11094" s="5"/>
    </row>
    <row r="11095" spans="13:13" ht="15" customHeight="1" x14ac:dyDescent="0.3">
      <c r="M11095" s="5"/>
    </row>
    <row r="11096" spans="13:13" ht="15" customHeight="1" x14ac:dyDescent="0.3">
      <c r="M11096" s="5"/>
    </row>
    <row r="11097" spans="13:13" ht="15" customHeight="1" x14ac:dyDescent="0.3">
      <c r="M11097" s="5"/>
    </row>
    <row r="11098" spans="13:13" ht="15" customHeight="1" x14ac:dyDescent="0.3">
      <c r="M11098" s="5"/>
    </row>
    <row r="11099" spans="13:13" ht="15" customHeight="1" x14ac:dyDescent="0.3">
      <c r="M11099" s="5"/>
    </row>
    <row r="11100" spans="13:13" ht="15" customHeight="1" x14ac:dyDescent="0.3">
      <c r="M11100" s="5"/>
    </row>
    <row r="11101" spans="13:13" ht="15" customHeight="1" x14ac:dyDescent="0.3">
      <c r="M11101" s="5"/>
    </row>
    <row r="11102" spans="13:13" ht="15" customHeight="1" x14ac:dyDescent="0.3">
      <c r="M11102" s="5"/>
    </row>
    <row r="11103" spans="13:13" ht="15" customHeight="1" x14ac:dyDescent="0.3">
      <c r="M11103" s="5"/>
    </row>
    <row r="11104" spans="13:13" ht="15" customHeight="1" x14ac:dyDescent="0.3">
      <c r="M11104" s="5"/>
    </row>
    <row r="11105" spans="13:13" ht="15" customHeight="1" x14ac:dyDescent="0.3">
      <c r="M11105" s="5"/>
    </row>
    <row r="11106" spans="13:13" ht="15" customHeight="1" x14ac:dyDescent="0.3">
      <c r="M11106" s="5"/>
    </row>
    <row r="11107" spans="13:13" ht="15" customHeight="1" x14ac:dyDescent="0.3">
      <c r="M11107" s="5"/>
    </row>
    <row r="11108" spans="13:13" ht="15" customHeight="1" x14ac:dyDescent="0.3">
      <c r="M11108" s="5"/>
    </row>
    <row r="11109" spans="13:13" ht="15" customHeight="1" x14ac:dyDescent="0.3">
      <c r="M11109" s="5"/>
    </row>
    <row r="11110" spans="13:13" ht="15" customHeight="1" x14ac:dyDescent="0.3">
      <c r="M11110" s="5"/>
    </row>
    <row r="11111" spans="13:13" ht="15" customHeight="1" x14ac:dyDescent="0.3">
      <c r="M11111" s="5"/>
    </row>
    <row r="11112" spans="13:13" ht="15" customHeight="1" x14ac:dyDescent="0.3">
      <c r="M11112" s="5"/>
    </row>
    <row r="11113" spans="13:13" ht="15" customHeight="1" x14ac:dyDescent="0.3">
      <c r="M11113" s="5"/>
    </row>
    <row r="11114" spans="13:13" ht="15" customHeight="1" x14ac:dyDescent="0.3">
      <c r="M11114" s="5"/>
    </row>
    <row r="11115" spans="13:13" ht="15" customHeight="1" x14ac:dyDescent="0.3">
      <c r="M11115" s="5"/>
    </row>
    <row r="11116" spans="13:13" ht="15" customHeight="1" x14ac:dyDescent="0.3">
      <c r="M11116" s="5"/>
    </row>
    <row r="11117" spans="13:13" ht="15" customHeight="1" x14ac:dyDescent="0.3">
      <c r="M11117" s="5"/>
    </row>
    <row r="11118" spans="13:13" ht="15" customHeight="1" x14ac:dyDescent="0.3">
      <c r="M11118" s="5"/>
    </row>
    <row r="11119" spans="13:13" ht="15" customHeight="1" x14ac:dyDescent="0.3">
      <c r="M11119" s="5"/>
    </row>
    <row r="11120" spans="13:13" ht="15" customHeight="1" x14ac:dyDescent="0.3">
      <c r="M11120" s="5"/>
    </row>
    <row r="11121" spans="13:13" ht="15" customHeight="1" x14ac:dyDescent="0.3">
      <c r="M11121" s="5"/>
    </row>
    <row r="11122" spans="13:13" ht="15" customHeight="1" x14ac:dyDescent="0.3">
      <c r="M11122" s="5"/>
    </row>
    <row r="11123" spans="13:13" ht="15" customHeight="1" x14ac:dyDescent="0.3">
      <c r="M11123" s="5"/>
    </row>
    <row r="11124" spans="13:13" ht="15" customHeight="1" x14ac:dyDescent="0.3">
      <c r="M11124" s="5"/>
    </row>
    <row r="11125" spans="13:13" ht="15" customHeight="1" x14ac:dyDescent="0.3">
      <c r="M11125" s="5"/>
    </row>
    <row r="11126" spans="13:13" ht="15" customHeight="1" x14ac:dyDescent="0.3">
      <c r="M11126" s="5"/>
    </row>
    <row r="11127" spans="13:13" ht="15" customHeight="1" x14ac:dyDescent="0.3">
      <c r="M11127" s="5"/>
    </row>
    <row r="11128" spans="13:13" ht="15" customHeight="1" x14ac:dyDescent="0.3">
      <c r="M11128" s="5"/>
    </row>
    <row r="11129" spans="13:13" ht="15" customHeight="1" x14ac:dyDescent="0.3">
      <c r="M11129" s="5"/>
    </row>
    <row r="11130" spans="13:13" ht="15" customHeight="1" x14ac:dyDescent="0.3">
      <c r="M11130" s="5"/>
    </row>
    <row r="11131" spans="13:13" ht="15" customHeight="1" x14ac:dyDescent="0.3">
      <c r="M11131" s="5"/>
    </row>
    <row r="11132" spans="13:13" ht="15" customHeight="1" x14ac:dyDescent="0.3">
      <c r="M11132" s="5"/>
    </row>
    <row r="11133" spans="13:13" ht="15" customHeight="1" x14ac:dyDescent="0.3">
      <c r="M11133" s="5"/>
    </row>
    <row r="11134" spans="13:13" ht="15" customHeight="1" x14ac:dyDescent="0.3">
      <c r="M11134" s="5"/>
    </row>
    <row r="11135" spans="13:13" ht="15" customHeight="1" x14ac:dyDescent="0.3">
      <c r="M11135" s="5"/>
    </row>
    <row r="11136" spans="13:13" ht="15" customHeight="1" x14ac:dyDescent="0.3">
      <c r="M11136" s="5"/>
    </row>
    <row r="11137" spans="13:13" ht="15" customHeight="1" x14ac:dyDescent="0.3">
      <c r="M11137" s="5"/>
    </row>
    <row r="11138" spans="13:13" ht="15" customHeight="1" x14ac:dyDescent="0.3">
      <c r="M11138" s="5"/>
    </row>
    <row r="11139" spans="13:13" ht="15" customHeight="1" x14ac:dyDescent="0.3">
      <c r="M11139" s="5"/>
    </row>
    <row r="11140" spans="13:13" ht="15" customHeight="1" x14ac:dyDescent="0.3">
      <c r="M11140" s="5"/>
    </row>
    <row r="11141" spans="13:13" ht="15" customHeight="1" x14ac:dyDescent="0.3">
      <c r="M11141" s="5"/>
    </row>
    <row r="11142" spans="13:13" ht="15" customHeight="1" x14ac:dyDescent="0.3">
      <c r="M11142" s="5"/>
    </row>
    <row r="11143" spans="13:13" ht="15" customHeight="1" x14ac:dyDescent="0.3">
      <c r="M11143" s="5"/>
    </row>
    <row r="11144" spans="13:13" ht="15" customHeight="1" x14ac:dyDescent="0.3">
      <c r="M11144" s="5"/>
    </row>
    <row r="11145" spans="13:13" ht="15" customHeight="1" x14ac:dyDescent="0.3">
      <c r="M11145" s="5"/>
    </row>
    <row r="11146" spans="13:13" ht="15" customHeight="1" x14ac:dyDescent="0.3">
      <c r="M11146" s="5"/>
    </row>
    <row r="11147" spans="13:13" ht="15" customHeight="1" x14ac:dyDescent="0.3">
      <c r="M11147" s="5"/>
    </row>
    <row r="11148" spans="13:13" ht="15" customHeight="1" x14ac:dyDescent="0.3">
      <c r="M11148" s="5"/>
    </row>
    <row r="11149" spans="13:13" ht="15" customHeight="1" x14ac:dyDescent="0.3">
      <c r="M11149" s="5"/>
    </row>
    <row r="11150" spans="13:13" ht="15" customHeight="1" x14ac:dyDescent="0.3">
      <c r="M11150" s="5"/>
    </row>
    <row r="11151" spans="13:13" ht="15" customHeight="1" x14ac:dyDescent="0.3">
      <c r="M11151" s="5"/>
    </row>
    <row r="11152" spans="13:13" ht="15" customHeight="1" x14ac:dyDescent="0.3">
      <c r="M11152" s="5"/>
    </row>
    <row r="11153" spans="13:13" ht="15" customHeight="1" x14ac:dyDescent="0.3">
      <c r="M11153" s="5"/>
    </row>
    <row r="11154" spans="13:13" ht="15" customHeight="1" x14ac:dyDescent="0.3">
      <c r="M11154" s="5"/>
    </row>
    <row r="11155" spans="13:13" ht="15" customHeight="1" x14ac:dyDescent="0.3">
      <c r="M11155" s="5"/>
    </row>
    <row r="11156" spans="13:13" ht="15" customHeight="1" x14ac:dyDescent="0.3">
      <c r="M11156" s="5"/>
    </row>
    <row r="11157" spans="13:13" ht="15" customHeight="1" x14ac:dyDescent="0.3">
      <c r="M11157" s="5"/>
    </row>
    <row r="11158" spans="13:13" ht="15" customHeight="1" x14ac:dyDescent="0.3">
      <c r="M11158" s="5"/>
    </row>
    <row r="11159" spans="13:13" ht="15" customHeight="1" x14ac:dyDescent="0.3">
      <c r="M11159" s="5"/>
    </row>
    <row r="11160" spans="13:13" ht="15" customHeight="1" x14ac:dyDescent="0.3">
      <c r="M11160" s="5"/>
    </row>
    <row r="11161" spans="13:13" ht="15" customHeight="1" x14ac:dyDescent="0.3">
      <c r="M11161" s="5"/>
    </row>
    <row r="11162" spans="13:13" ht="15" customHeight="1" x14ac:dyDescent="0.3">
      <c r="M11162" s="5"/>
    </row>
    <row r="11163" spans="13:13" ht="15" customHeight="1" x14ac:dyDescent="0.3">
      <c r="M11163" s="5"/>
    </row>
    <row r="11164" spans="13:13" ht="15" customHeight="1" x14ac:dyDescent="0.3">
      <c r="M11164" s="5"/>
    </row>
    <row r="11165" spans="13:13" ht="15" customHeight="1" x14ac:dyDescent="0.3">
      <c r="M11165" s="5"/>
    </row>
    <row r="11166" spans="13:13" ht="15" customHeight="1" x14ac:dyDescent="0.3">
      <c r="M11166" s="5"/>
    </row>
    <row r="11167" spans="13:13" ht="15" customHeight="1" x14ac:dyDescent="0.3">
      <c r="M11167" s="5"/>
    </row>
    <row r="11168" spans="13:13" ht="15" customHeight="1" x14ac:dyDescent="0.3">
      <c r="M11168" s="5"/>
    </row>
    <row r="11169" spans="13:13" ht="15" customHeight="1" x14ac:dyDescent="0.3">
      <c r="M11169" s="5"/>
    </row>
    <row r="11170" spans="13:13" ht="15" customHeight="1" x14ac:dyDescent="0.3">
      <c r="M11170" s="5"/>
    </row>
    <row r="11171" spans="13:13" ht="15" customHeight="1" x14ac:dyDescent="0.3">
      <c r="M11171" s="5"/>
    </row>
    <row r="11172" spans="13:13" ht="15" customHeight="1" x14ac:dyDescent="0.3">
      <c r="M11172" s="5"/>
    </row>
    <row r="11173" spans="13:13" ht="15" customHeight="1" x14ac:dyDescent="0.3">
      <c r="M11173" s="5"/>
    </row>
    <row r="11174" spans="13:13" ht="15" customHeight="1" x14ac:dyDescent="0.3">
      <c r="M11174" s="5"/>
    </row>
    <row r="11175" spans="13:13" ht="15" customHeight="1" x14ac:dyDescent="0.3">
      <c r="M11175" s="5"/>
    </row>
    <row r="11176" spans="13:13" ht="15" customHeight="1" x14ac:dyDescent="0.3">
      <c r="M11176" s="5"/>
    </row>
    <row r="11177" spans="13:13" ht="15" customHeight="1" x14ac:dyDescent="0.3">
      <c r="M11177" s="5"/>
    </row>
    <row r="11178" spans="13:13" ht="15" customHeight="1" x14ac:dyDescent="0.3">
      <c r="M11178" s="5"/>
    </row>
    <row r="11179" spans="13:13" ht="15" customHeight="1" x14ac:dyDescent="0.3">
      <c r="M11179" s="5"/>
    </row>
    <row r="11180" spans="13:13" ht="15" customHeight="1" x14ac:dyDescent="0.3">
      <c r="M11180" s="5"/>
    </row>
    <row r="11181" spans="13:13" ht="15" customHeight="1" x14ac:dyDescent="0.3">
      <c r="M11181" s="5"/>
    </row>
    <row r="11182" spans="13:13" ht="15" customHeight="1" x14ac:dyDescent="0.3">
      <c r="M11182" s="5"/>
    </row>
    <row r="11183" spans="13:13" ht="15" customHeight="1" x14ac:dyDescent="0.3">
      <c r="M11183" s="5"/>
    </row>
    <row r="11184" spans="13:13" ht="15" customHeight="1" x14ac:dyDescent="0.3">
      <c r="M11184" s="5"/>
    </row>
    <row r="11185" spans="13:13" ht="15" customHeight="1" x14ac:dyDescent="0.3">
      <c r="M11185" s="5"/>
    </row>
    <row r="11186" spans="13:13" ht="15" customHeight="1" x14ac:dyDescent="0.3">
      <c r="M11186" s="5"/>
    </row>
    <row r="11187" spans="13:13" ht="15" customHeight="1" x14ac:dyDescent="0.3">
      <c r="M11187" s="5"/>
    </row>
    <row r="11188" spans="13:13" ht="15" customHeight="1" x14ac:dyDescent="0.3">
      <c r="M11188" s="5"/>
    </row>
    <row r="11189" spans="13:13" ht="15" customHeight="1" x14ac:dyDescent="0.3">
      <c r="M11189" s="5"/>
    </row>
    <row r="11190" spans="13:13" ht="15" customHeight="1" x14ac:dyDescent="0.3">
      <c r="M11190" s="5"/>
    </row>
    <row r="11191" spans="13:13" ht="15" customHeight="1" x14ac:dyDescent="0.3">
      <c r="M11191" s="5"/>
    </row>
    <row r="11192" spans="13:13" ht="15" customHeight="1" x14ac:dyDescent="0.3">
      <c r="M11192" s="5"/>
    </row>
    <row r="11193" spans="13:13" ht="15" customHeight="1" x14ac:dyDescent="0.3">
      <c r="M11193" s="5"/>
    </row>
    <row r="11194" spans="13:13" ht="15" customHeight="1" x14ac:dyDescent="0.3">
      <c r="M11194" s="5"/>
    </row>
    <row r="11195" spans="13:13" ht="15" customHeight="1" x14ac:dyDescent="0.3">
      <c r="M11195" s="5"/>
    </row>
    <row r="11196" spans="13:13" ht="15" customHeight="1" x14ac:dyDescent="0.3">
      <c r="M11196" s="5"/>
    </row>
    <row r="11197" spans="13:13" ht="15" customHeight="1" x14ac:dyDescent="0.3">
      <c r="M11197" s="5"/>
    </row>
    <row r="11198" spans="13:13" ht="15" customHeight="1" x14ac:dyDescent="0.3">
      <c r="M11198" s="5"/>
    </row>
    <row r="11199" spans="13:13" ht="15" customHeight="1" x14ac:dyDescent="0.3">
      <c r="M11199" s="5"/>
    </row>
    <row r="11200" spans="13:13" ht="15" customHeight="1" x14ac:dyDescent="0.3">
      <c r="M11200" s="5"/>
    </row>
    <row r="11201" spans="13:13" ht="15" customHeight="1" x14ac:dyDescent="0.3">
      <c r="M11201" s="5"/>
    </row>
    <row r="11202" spans="13:13" ht="15" customHeight="1" x14ac:dyDescent="0.3">
      <c r="M11202" s="5"/>
    </row>
    <row r="11203" spans="13:13" ht="15" customHeight="1" x14ac:dyDescent="0.3">
      <c r="M11203" s="5"/>
    </row>
    <row r="11204" spans="13:13" ht="15" customHeight="1" x14ac:dyDescent="0.3">
      <c r="M11204" s="5"/>
    </row>
    <row r="11205" spans="13:13" ht="15" customHeight="1" x14ac:dyDescent="0.3">
      <c r="M11205" s="5"/>
    </row>
    <row r="11206" spans="13:13" ht="15" customHeight="1" x14ac:dyDescent="0.3">
      <c r="M11206" s="5"/>
    </row>
    <row r="11207" spans="13:13" ht="15" customHeight="1" x14ac:dyDescent="0.3">
      <c r="M11207" s="5"/>
    </row>
    <row r="11208" spans="13:13" ht="15" customHeight="1" x14ac:dyDescent="0.3">
      <c r="M11208" s="5"/>
    </row>
    <row r="11209" spans="13:13" ht="15" customHeight="1" x14ac:dyDescent="0.3">
      <c r="M11209" s="5"/>
    </row>
    <row r="11210" spans="13:13" ht="15" customHeight="1" x14ac:dyDescent="0.3">
      <c r="M11210" s="5"/>
    </row>
    <row r="11211" spans="13:13" ht="15" customHeight="1" x14ac:dyDescent="0.3">
      <c r="M11211" s="5"/>
    </row>
    <row r="11212" spans="13:13" ht="15" customHeight="1" x14ac:dyDescent="0.3">
      <c r="M11212" s="5"/>
    </row>
    <row r="11213" spans="13:13" ht="15" customHeight="1" x14ac:dyDescent="0.3">
      <c r="M11213" s="5"/>
    </row>
    <row r="11214" spans="13:13" ht="15" customHeight="1" x14ac:dyDescent="0.3">
      <c r="M11214" s="5"/>
    </row>
    <row r="11215" spans="13:13" ht="15" customHeight="1" x14ac:dyDescent="0.3">
      <c r="M11215" s="5"/>
    </row>
    <row r="11216" spans="13:13" ht="15" customHeight="1" x14ac:dyDescent="0.3">
      <c r="M11216" s="5"/>
    </row>
    <row r="11217" spans="13:13" ht="15" customHeight="1" x14ac:dyDescent="0.3">
      <c r="M11217" s="5"/>
    </row>
    <row r="11218" spans="13:13" ht="15" customHeight="1" x14ac:dyDescent="0.3">
      <c r="M11218" s="5"/>
    </row>
    <row r="11219" spans="13:13" ht="15" customHeight="1" x14ac:dyDescent="0.3">
      <c r="M11219" s="5"/>
    </row>
    <row r="11220" spans="13:13" ht="15" customHeight="1" x14ac:dyDescent="0.3">
      <c r="M11220" s="5"/>
    </row>
    <row r="11221" spans="13:13" ht="15" customHeight="1" x14ac:dyDescent="0.3">
      <c r="M11221" s="5"/>
    </row>
    <row r="11222" spans="13:13" ht="15" customHeight="1" x14ac:dyDescent="0.3">
      <c r="M11222" s="5"/>
    </row>
    <row r="11223" spans="13:13" ht="15" customHeight="1" x14ac:dyDescent="0.3">
      <c r="M11223" s="5"/>
    </row>
    <row r="11224" spans="13:13" ht="15" customHeight="1" x14ac:dyDescent="0.3">
      <c r="M11224" s="5"/>
    </row>
    <row r="11225" spans="13:13" ht="15" customHeight="1" x14ac:dyDescent="0.3">
      <c r="M11225" s="5"/>
    </row>
    <row r="11226" spans="13:13" ht="15" customHeight="1" x14ac:dyDescent="0.3">
      <c r="M11226" s="5"/>
    </row>
    <row r="11227" spans="13:13" ht="15" customHeight="1" x14ac:dyDescent="0.3">
      <c r="M11227" s="5"/>
    </row>
    <row r="11228" spans="13:13" ht="15" customHeight="1" x14ac:dyDescent="0.3">
      <c r="M11228" s="5"/>
    </row>
    <row r="11229" spans="13:13" ht="15" customHeight="1" x14ac:dyDescent="0.3">
      <c r="M11229" s="5"/>
    </row>
    <row r="11230" spans="13:13" ht="15" customHeight="1" x14ac:dyDescent="0.3">
      <c r="M11230" s="5"/>
    </row>
    <row r="11231" spans="13:13" ht="15" customHeight="1" x14ac:dyDescent="0.3">
      <c r="M11231" s="5"/>
    </row>
    <row r="11232" spans="13:13" ht="15" customHeight="1" x14ac:dyDescent="0.3">
      <c r="M11232" s="5"/>
    </row>
    <row r="11233" spans="13:13" ht="15" customHeight="1" x14ac:dyDescent="0.3">
      <c r="M11233" s="5"/>
    </row>
    <row r="11234" spans="13:13" ht="15" customHeight="1" x14ac:dyDescent="0.3">
      <c r="M11234" s="5"/>
    </row>
    <row r="11235" spans="13:13" ht="15" customHeight="1" x14ac:dyDescent="0.3">
      <c r="M11235" s="5"/>
    </row>
    <row r="11236" spans="13:13" ht="15" customHeight="1" x14ac:dyDescent="0.3">
      <c r="M11236" s="5"/>
    </row>
    <row r="11237" spans="13:13" ht="15" customHeight="1" x14ac:dyDescent="0.3">
      <c r="M11237" s="5"/>
    </row>
    <row r="11238" spans="13:13" ht="15" customHeight="1" x14ac:dyDescent="0.3">
      <c r="M11238" s="5"/>
    </row>
    <row r="11239" spans="13:13" ht="15" customHeight="1" x14ac:dyDescent="0.3">
      <c r="M11239" s="5"/>
    </row>
    <row r="11240" spans="13:13" ht="15" customHeight="1" x14ac:dyDescent="0.3">
      <c r="M11240" s="5"/>
    </row>
    <row r="11241" spans="13:13" ht="15" customHeight="1" x14ac:dyDescent="0.3">
      <c r="M11241" s="5"/>
    </row>
    <row r="11242" spans="13:13" ht="15" customHeight="1" x14ac:dyDescent="0.3">
      <c r="M11242" s="5"/>
    </row>
    <row r="11243" spans="13:13" ht="15" customHeight="1" x14ac:dyDescent="0.3">
      <c r="M11243" s="5"/>
    </row>
    <row r="11244" spans="13:13" ht="15" customHeight="1" x14ac:dyDescent="0.3">
      <c r="M11244" s="5"/>
    </row>
    <row r="11245" spans="13:13" ht="15" customHeight="1" x14ac:dyDescent="0.3">
      <c r="M11245" s="5"/>
    </row>
    <row r="11246" spans="13:13" ht="15" customHeight="1" x14ac:dyDescent="0.3">
      <c r="M11246" s="5"/>
    </row>
    <row r="11247" spans="13:13" ht="15" customHeight="1" x14ac:dyDescent="0.3">
      <c r="M11247" s="5"/>
    </row>
    <row r="11248" spans="13:13" ht="15" customHeight="1" x14ac:dyDescent="0.3">
      <c r="M11248" s="5"/>
    </row>
    <row r="11249" spans="13:13" ht="15" customHeight="1" x14ac:dyDescent="0.3">
      <c r="M11249" s="5"/>
    </row>
    <row r="11250" spans="13:13" ht="15" customHeight="1" x14ac:dyDescent="0.3">
      <c r="M11250" s="5"/>
    </row>
    <row r="11251" spans="13:13" ht="15" customHeight="1" x14ac:dyDescent="0.3">
      <c r="M11251" s="5"/>
    </row>
    <row r="11252" spans="13:13" ht="15" customHeight="1" x14ac:dyDescent="0.3">
      <c r="M11252" s="5"/>
    </row>
    <row r="11253" spans="13:13" ht="15" customHeight="1" x14ac:dyDescent="0.3">
      <c r="M11253" s="5"/>
    </row>
    <row r="11254" spans="13:13" ht="15" customHeight="1" x14ac:dyDescent="0.3">
      <c r="M11254" s="5"/>
    </row>
    <row r="11255" spans="13:13" ht="15" customHeight="1" x14ac:dyDescent="0.3">
      <c r="M11255" s="5"/>
    </row>
    <row r="11256" spans="13:13" ht="15" customHeight="1" x14ac:dyDescent="0.3">
      <c r="M11256" s="5"/>
    </row>
    <row r="11257" spans="13:13" ht="15" customHeight="1" x14ac:dyDescent="0.3">
      <c r="M11257" s="5"/>
    </row>
    <row r="11258" spans="13:13" ht="15" customHeight="1" x14ac:dyDescent="0.3">
      <c r="M11258" s="5"/>
    </row>
    <row r="11259" spans="13:13" ht="15" customHeight="1" x14ac:dyDescent="0.3">
      <c r="M11259" s="5"/>
    </row>
    <row r="11260" spans="13:13" ht="15" customHeight="1" x14ac:dyDescent="0.3">
      <c r="M11260" s="5"/>
    </row>
    <row r="11261" spans="13:13" ht="15" customHeight="1" x14ac:dyDescent="0.3">
      <c r="M11261" s="5"/>
    </row>
    <row r="11262" spans="13:13" ht="15" customHeight="1" x14ac:dyDescent="0.3">
      <c r="M11262" s="5"/>
    </row>
    <row r="11263" spans="13:13" ht="15" customHeight="1" x14ac:dyDescent="0.3">
      <c r="M11263" s="5"/>
    </row>
    <row r="11264" spans="13:13" ht="15" customHeight="1" x14ac:dyDescent="0.3">
      <c r="M11264" s="5"/>
    </row>
    <row r="11265" spans="13:13" ht="15" customHeight="1" x14ac:dyDescent="0.3">
      <c r="M11265" s="5"/>
    </row>
    <row r="11266" spans="13:13" ht="15" customHeight="1" x14ac:dyDescent="0.3">
      <c r="M11266" s="5"/>
    </row>
    <row r="11267" spans="13:13" ht="15" customHeight="1" x14ac:dyDescent="0.3">
      <c r="M11267" s="5"/>
    </row>
    <row r="11268" spans="13:13" ht="15" customHeight="1" x14ac:dyDescent="0.3">
      <c r="M11268" s="5"/>
    </row>
    <row r="11269" spans="13:13" ht="15" customHeight="1" x14ac:dyDescent="0.3">
      <c r="M11269" s="5"/>
    </row>
    <row r="11270" spans="13:13" ht="15" customHeight="1" x14ac:dyDescent="0.3">
      <c r="M11270" s="5"/>
    </row>
    <row r="11271" spans="13:13" ht="15" customHeight="1" x14ac:dyDescent="0.3">
      <c r="M11271" s="5"/>
    </row>
    <row r="11272" spans="13:13" ht="15" customHeight="1" x14ac:dyDescent="0.3">
      <c r="M11272" s="5"/>
    </row>
    <row r="11273" spans="13:13" ht="15" customHeight="1" x14ac:dyDescent="0.3">
      <c r="M11273" s="5"/>
    </row>
    <row r="11274" spans="13:13" ht="15" customHeight="1" x14ac:dyDescent="0.3">
      <c r="M11274" s="5"/>
    </row>
    <row r="11275" spans="13:13" ht="15" customHeight="1" x14ac:dyDescent="0.3">
      <c r="M11275" s="5"/>
    </row>
    <row r="11276" spans="13:13" ht="15" customHeight="1" x14ac:dyDescent="0.3">
      <c r="M11276" s="5"/>
    </row>
    <row r="11277" spans="13:13" ht="15" customHeight="1" x14ac:dyDescent="0.3">
      <c r="M11277" s="5"/>
    </row>
    <row r="11278" spans="13:13" ht="15" customHeight="1" x14ac:dyDescent="0.3">
      <c r="M11278" s="5"/>
    </row>
    <row r="11279" spans="13:13" ht="15" customHeight="1" x14ac:dyDescent="0.3">
      <c r="M11279" s="5"/>
    </row>
    <row r="11280" spans="13:13" ht="15" customHeight="1" x14ac:dyDescent="0.3">
      <c r="M11280" s="5"/>
    </row>
    <row r="11281" spans="13:13" ht="15" customHeight="1" x14ac:dyDescent="0.3">
      <c r="M11281" s="5"/>
    </row>
    <row r="11282" spans="13:13" ht="15" customHeight="1" x14ac:dyDescent="0.3">
      <c r="M11282" s="5"/>
    </row>
    <row r="11283" spans="13:13" ht="15" customHeight="1" x14ac:dyDescent="0.3">
      <c r="M11283" s="5"/>
    </row>
    <row r="11284" spans="13:13" ht="15" customHeight="1" x14ac:dyDescent="0.3">
      <c r="M11284" s="5"/>
    </row>
    <row r="11285" spans="13:13" ht="15" customHeight="1" x14ac:dyDescent="0.3">
      <c r="M11285" s="5"/>
    </row>
    <row r="11286" spans="13:13" ht="15" customHeight="1" x14ac:dyDescent="0.3">
      <c r="M11286" s="5"/>
    </row>
    <row r="11287" spans="13:13" ht="15" customHeight="1" x14ac:dyDescent="0.3">
      <c r="M11287" s="5"/>
    </row>
    <row r="11288" spans="13:13" ht="15" customHeight="1" x14ac:dyDescent="0.3">
      <c r="M11288" s="5"/>
    </row>
    <row r="11289" spans="13:13" ht="15" customHeight="1" x14ac:dyDescent="0.3">
      <c r="M11289" s="5"/>
    </row>
    <row r="11290" spans="13:13" ht="15" customHeight="1" x14ac:dyDescent="0.3">
      <c r="M11290" s="5"/>
    </row>
    <row r="11291" spans="13:13" ht="15" customHeight="1" x14ac:dyDescent="0.3">
      <c r="M11291" s="5"/>
    </row>
    <row r="11292" spans="13:13" ht="15" customHeight="1" x14ac:dyDescent="0.3">
      <c r="M11292" s="5"/>
    </row>
    <row r="11293" spans="13:13" ht="15" customHeight="1" x14ac:dyDescent="0.3">
      <c r="M11293" s="5"/>
    </row>
    <row r="11294" spans="13:13" ht="15" customHeight="1" x14ac:dyDescent="0.3">
      <c r="M11294" s="5"/>
    </row>
    <row r="11295" spans="13:13" ht="15" customHeight="1" x14ac:dyDescent="0.3">
      <c r="M11295" s="5"/>
    </row>
    <row r="11296" spans="13:13" ht="15" customHeight="1" x14ac:dyDescent="0.3">
      <c r="M11296" s="5"/>
    </row>
    <row r="11297" spans="13:13" ht="15" customHeight="1" x14ac:dyDescent="0.3">
      <c r="M11297" s="5"/>
    </row>
    <row r="11298" spans="13:13" ht="15" customHeight="1" x14ac:dyDescent="0.3">
      <c r="M11298" s="5"/>
    </row>
    <row r="11299" spans="13:13" ht="15" customHeight="1" x14ac:dyDescent="0.3">
      <c r="M11299" s="5"/>
    </row>
    <row r="11300" spans="13:13" ht="15" customHeight="1" x14ac:dyDescent="0.3">
      <c r="M11300" s="5"/>
    </row>
    <row r="11301" spans="13:13" ht="15" customHeight="1" x14ac:dyDescent="0.3">
      <c r="M11301" s="5"/>
    </row>
    <row r="11302" spans="13:13" ht="15" customHeight="1" x14ac:dyDescent="0.3">
      <c r="M11302" s="5"/>
    </row>
    <row r="11303" spans="13:13" ht="15" customHeight="1" x14ac:dyDescent="0.3">
      <c r="M11303" s="5"/>
    </row>
    <row r="11304" spans="13:13" ht="15" customHeight="1" x14ac:dyDescent="0.3">
      <c r="M11304" s="5"/>
    </row>
    <row r="11305" spans="13:13" ht="15" customHeight="1" x14ac:dyDescent="0.3">
      <c r="M11305" s="5"/>
    </row>
    <row r="11306" spans="13:13" ht="15" customHeight="1" x14ac:dyDescent="0.3">
      <c r="M11306" s="5"/>
    </row>
    <row r="11307" spans="13:13" ht="15" customHeight="1" x14ac:dyDescent="0.3">
      <c r="M11307" s="5"/>
    </row>
    <row r="11308" spans="13:13" ht="15" customHeight="1" x14ac:dyDescent="0.3">
      <c r="M11308" s="5"/>
    </row>
    <row r="11309" spans="13:13" ht="15" customHeight="1" x14ac:dyDescent="0.3">
      <c r="M11309" s="5"/>
    </row>
    <row r="11310" spans="13:13" ht="15" customHeight="1" x14ac:dyDescent="0.3">
      <c r="M11310" s="5"/>
    </row>
    <row r="11311" spans="13:13" ht="15" customHeight="1" x14ac:dyDescent="0.3">
      <c r="M11311" s="5"/>
    </row>
    <row r="11312" spans="13:13" ht="15" customHeight="1" x14ac:dyDescent="0.3">
      <c r="M11312" s="5"/>
    </row>
    <row r="11313" spans="13:13" ht="15" customHeight="1" x14ac:dyDescent="0.3">
      <c r="M11313" s="5"/>
    </row>
    <row r="11314" spans="13:13" ht="15" customHeight="1" x14ac:dyDescent="0.3">
      <c r="M11314" s="5"/>
    </row>
    <row r="11315" spans="13:13" ht="15" customHeight="1" x14ac:dyDescent="0.3">
      <c r="M11315" s="5"/>
    </row>
    <row r="11316" spans="13:13" ht="15" customHeight="1" x14ac:dyDescent="0.3">
      <c r="M11316" s="5"/>
    </row>
    <row r="11317" spans="13:13" ht="15" customHeight="1" x14ac:dyDescent="0.3">
      <c r="M11317" s="5"/>
    </row>
    <row r="11318" spans="13:13" ht="15" customHeight="1" x14ac:dyDescent="0.3">
      <c r="M11318" s="5"/>
    </row>
    <row r="11319" spans="13:13" ht="15" customHeight="1" x14ac:dyDescent="0.3">
      <c r="M11319" s="5"/>
    </row>
    <row r="11320" spans="13:13" ht="15" customHeight="1" x14ac:dyDescent="0.3">
      <c r="M11320" s="5"/>
    </row>
    <row r="11321" spans="13:13" ht="15" customHeight="1" x14ac:dyDescent="0.3">
      <c r="M11321" s="5"/>
    </row>
    <row r="11322" spans="13:13" ht="15" customHeight="1" x14ac:dyDescent="0.3">
      <c r="M11322" s="5"/>
    </row>
    <row r="11323" spans="13:13" ht="15" customHeight="1" x14ac:dyDescent="0.3">
      <c r="M11323" s="5"/>
    </row>
    <row r="11324" spans="13:13" ht="15" customHeight="1" x14ac:dyDescent="0.3">
      <c r="M11324" s="5"/>
    </row>
    <row r="11325" spans="13:13" ht="15" customHeight="1" x14ac:dyDescent="0.3">
      <c r="M11325" s="5"/>
    </row>
    <row r="11326" spans="13:13" ht="15" customHeight="1" x14ac:dyDescent="0.3">
      <c r="M11326" s="5"/>
    </row>
    <row r="11327" spans="13:13" ht="15" customHeight="1" x14ac:dyDescent="0.3">
      <c r="M11327" s="5"/>
    </row>
    <row r="11328" spans="13:13" ht="15" customHeight="1" x14ac:dyDescent="0.3">
      <c r="M11328" s="5"/>
    </row>
    <row r="11329" spans="13:13" ht="15" customHeight="1" x14ac:dyDescent="0.3">
      <c r="M11329" s="5"/>
    </row>
    <row r="11330" spans="13:13" ht="15" customHeight="1" x14ac:dyDescent="0.3">
      <c r="M11330" s="5"/>
    </row>
    <row r="11331" spans="13:13" ht="15" customHeight="1" x14ac:dyDescent="0.3">
      <c r="M11331" s="5"/>
    </row>
    <row r="11332" spans="13:13" ht="15" customHeight="1" x14ac:dyDescent="0.3">
      <c r="M11332" s="5"/>
    </row>
    <row r="11333" spans="13:13" ht="15" customHeight="1" x14ac:dyDescent="0.3">
      <c r="M11333" s="5"/>
    </row>
    <row r="11334" spans="13:13" ht="15" customHeight="1" x14ac:dyDescent="0.3">
      <c r="M11334" s="5"/>
    </row>
    <row r="11335" spans="13:13" ht="15" customHeight="1" x14ac:dyDescent="0.3">
      <c r="M11335" s="5"/>
    </row>
    <row r="11336" spans="13:13" ht="15" customHeight="1" x14ac:dyDescent="0.3">
      <c r="M11336" s="5"/>
    </row>
    <row r="11337" spans="13:13" ht="15" customHeight="1" x14ac:dyDescent="0.3">
      <c r="M11337" s="5"/>
    </row>
    <row r="11338" spans="13:13" ht="15" customHeight="1" x14ac:dyDescent="0.3">
      <c r="M11338" s="5"/>
    </row>
    <row r="11339" spans="13:13" ht="15" customHeight="1" x14ac:dyDescent="0.3">
      <c r="M11339" s="5"/>
    </row>
    <row r="11340" spans="13:13" ht="15" customHeight="1" x14ac:dyDescent="0.3">
      <c r="M11340" s="5"/>
    </row>
    <row r="11341" spans="13:13" ht="15" customHeight="1" x14ac:dyDescent="0.3">
      <c r="M11341" s="5"/>
    </row>
    <row r="11342" spans="13:13" ht="15" customHeight="1" x14ac:dyDescent="0.3">
      <c r="M11342" s="5"/>
    </row>
    <row r="11343" spans="13:13" ht="15" customHeight="1" x14ac:dyDescent="0.3">
      <c r="M11343" s="5"/>
    </row>
    <row r="11344" spans="13:13" ht="15" customHeight="1" x14ac:dyDescent="0.3">
      <c r="M11344" s="5"/>
    </row>
    <row r="11345" spans="13:13" ht="15" customHeight="1" x14ac:dyDescent="0.3">
      <c r="M11345" s="5"/>
    </row>
    <row r="11346" spans="13:13" ht="15" customHeight="1" x14ac:dyDescent="0.3">
      <c r="M11346" s="5"/>
    </row>
    <row r="11347" spans="13:13" ht="15" customHeight="1" x14ac:dyDescent="0.3">
      <c r="M11347" s="5"/>
    </row>
    <row r="11348" spans="13:13" ht="15" customHeight="1" x14ac:dyDescent="0.3">
      <c r="M11348" s="5"/>
    </row>
    <row r="11349" spans="13:13" ht="15" customHeight="1" x14ac:dyDescent="0.3">
      <c r="M11349" s="5"/>
    </row>
    <row r="11350" spans="13:13" ht="15" customHeight="1" x14ac:dyDescent="0.3">
      <c r="M11350" s="5"/>
    </row>
    <row r="11351" spans="13:13" ht="15" customHeight="1" x14ac:dyDescent="0.3">
      <c r="M11351" s="5"/>
    </row>
    <row r="11352" spans="13:13" ht="15" customHeight="1" x14ac:dyDescent="0.3">
      <c r="M11352" s="5"/>
    </row>
    <row r="11353" spans="13:13" ht="15" customHeight="1" x14ac:dyDescent="0.3">
      <c r="M11353" s="5"/>
    </row>
    <row r="11354" spans="13:13" ht="15" customHeight="1" x14ac:dyDescent="0.3">
      <c r="M11354" s="5"/>
    </row>
    <row r="11355" spans="13:13" ht="15" customHeight="1" x14ac:dyDescent="0.3">
      <c r="M11355" s="5"/>
    </row>
    <row r="11356" spans="13:13" ht="15" customHeight="1" x14ac:dyDescent="0.3">
      <c r="M11356" s="5"/>
    </row>
    <row r="11357" spans="13:13" ht="15" customHeight="1" x14ac:dyDescent="0.3">
      <c r="M11357" s="5"/>
    </row>
    <row r="11358" spans="13:13" ht="15" customHeight="1" x14ac:dyDescent="0.3">
      <c r="M11358" s="5"/>
    </row>
    <row r="11359" spans="13:13" ht="15" customHeight="1" x14ac:dyDescent="0.3">
      <c r="M11359" s="5"/>
    </row>
    <row r="11360" spans="13:13" ht="15" customHeight="1" x14ac:dyDescent="0.3">
      <c r="M11360" s="5"/>
    </row>
    <row r="11361" spans="13:13" ht="15" customHeight="1" x14ac:dyDescent="0.3">
      <c r="M11361" s="5"/>
    </row>
    <row r="11362" spans="13:13" ht="15" customHeight="1" x14ac:dyDescent="0.3">
      <c r="M11362" s="5"/>
    </row>
    <row r="11363" spans="13:13" ht="15" customHeight="1" x14ac:dyDescent="0.3">
      <c r="M11363" s="5"/>
    </row>
    <row r="11364" spans="13:13" ht="15" customHeight="1" x14ac:dyDescent="0.3">
      <c r="M11364" s="5"/>
    </row>
    <row r="11365" spans="13:13" ht="15" customHeight="1" x14ac:dyDescent="0.3">
      <c r="M11365" s="5"/>
    </row>
    <row r="11366" spans="13:13" ht="15" customHeight="1" x14ac:dyDescent="0.3">
      <c r="M11366" s="5"/>
    </row>
    <row r="11367" spans="13:13" ht="15" customHeight="1" x14ac:dyDescent="0.3">
      <c r="M11367" s="5"/>
    </row>
    <row r="11368" spans="13:13" ht="15" customHeight="1" x14ac:dyDescent="0.3">
      <c r="M11368" s="5"/>
    </row>
    <row r="11369" spans="13:13" ht="15" customHeight="1" x14ac:dyDescent="0.3">
      <c r="M11369" s="5"/>
    </row>
    <row r="11370" spans="13:13" ht="15" customHeight="1" x14ac:dyDescent="0.3">
      <c r="M11370" s="5"/>
    </row>
    <row r="11371" spans="13:13" ht="15" customHeight="1" x14ac:dyDescent="0.3">
      <c r="M11371" s="5"/>
    </row>
    <row r="11372" spans="13:13" ht="15" customHeight="1" x14ac:dyDescent="0.3">
      <c r="M11372" s="5"/>
    </row>
    <row r="11373" spans="13:13" ht="15" customHeight="1" x14ac:dyDescent="0.3">
      <c r="M11373" s="5"/>
    </row>
    <row r="11374" spans="13:13" ht="15" customHeight="1" x14ac:dyDescent="0.3">
      <c r="M11374" s="5"/>
    </row>
    <row r="11375" spans="13:13" ht="15" customHeight="1" x14ac:dyDescent="0.3">
      <c r="M11375" s="5"/>
    </row>
    <row r="11376" spans="13:13" ht="15" customHeight="1" x14ac:dyDescent="0.3">
      <c r="M11376" s="5"/>
    </row>
    <row r="11377" spans="13:13" ht="15" customHeight="1" x14ac:dyDescent="0.3">
      <c r="M11377" s="5"/>
    </row>
    <row r="11378" spans="13:13" ht="15" customHeight="1" x14ac:dyDescent="0.3">
      <c r="M11378" s="5"/>
    </row>
    <row r="11379" spans="13:13" ht="15" customHeight="1" x14ac:dyDescent="0.3">
      <c r="M11379" s="5"/>
    </row>
    <row r="11380" spans="13:13" ht="15" customHeight="1" x14ac:dyDescent="0.3">
      <c r="M11380" s="5"/>
    </row>
    <row r="11381" spans="13:13" ht="15" customHeight="1" x14ac:dyDescent="0.3">
      <c r="M11381" s="5"/>
    </row>
    <row r="11382" spans="13:13" ht="15" customHeight="1" x14ac:dyDescent="0.3">
      <c r="M11382" s="5"/>
    </row>
    <row r="11383" spans="13:13" ht="15" customHeight="1" x14ac:dyDescent="0.3">
      <c r="M11383" s="5"/>
    </row>
    <row r="11384" spans="13:13" ht="15" customHeight="1" x14ac:dyDescent="0.3">
      <c r="M11384" s="5"/>
    </row>
    <row r="11385" spans="13:13" ht="15" customHeight="1" x14ac:dyDescent="0.3">
      <c r="M11385" s="5"/>
    </row>
    <row r="11386" spans="13:13" ht="15" customHeight="1" x14ac:dyDescent="0.3">
      <c r="M11386" s="5"/>
    </row>
    <row r="11387" spans="13:13" ht="15" customHeight="1" x14ac:dyDescent="0.3">
      <c r="M11387" s="5"/>
    </row>
    <row r="11388" spans="13:13" ht="15" customHeight="1" x14ac:dyDescent="0.3">
      <c r="M11388" s="5"/>
    </row>
    <row r="11389" spans="13:13" ht="15" customHeight="1" x14ac:dyDescent="0.3">
      <c r="M11389" s="5"/>
    </row>
    <row r="11390" spans="13:13" ht="15" customHeight="1" x14ac:dyDescent="0.3">
      <c r="M11390" s="5"/>
    </row>
    <row r="11391" spans="13:13" ht="15" customHeight="1" x14ac:dyDescent="0.3">
      <c r="M11391" s="5"/>
    </row>
    <row r="11392" spans="13:13" ht="15" customHeight="1" x14ac:dyDescent="0.3">
      <c r="M11392" s="5"/>
    </row>
    <row r="11393" spans="13:13" ht="15" customHeight="1" x14ac:dyDescent="0.3">
      <c r="M11393" s="5"/>
    </row>
    <row r="11394" spans="13:13" ht="15" customHeight="1" x14ac:dyDescent="0.3">
      <c r="M11394" s="5"/>
    </row>
    <row r="11395" spans="13:13" ht="15" customHeight="1" x14ac:dyDescent="0.3">
      <c r="M11395" s="5"/>
    </row>
    <row r="11396" spans="13:13" ht="15" customHeight="1" x14ac:dyDescent="0.3">
      <c r="M11396" s="5"/>
    </row>
    <row r="11397" spans="13:13" ht="15" customHeight="1" x14ac:dyDescent="0.3">
      <c r="M11397" s="5"/>
    </row>
    <row r="11398" spans="13:13" ht="15" customHeight="1" x14ac:dyDescent="0.3">
      <c r="M11398" s="5"/>
    </row>
    <row r="11399" spans="13:13" ht="15" customHeight="1" x14ac:dyDescent="0.3">
      <c r="M11399" s="5"/>
    </row>
    <row r="11400" spans="13:13" ht="15" customHeight="1" x14ac:dyDescent="0.3">
      <c r="M11400" s="5"/>
    </row>
    <row r="11401" spans="13:13" ht="15" customHeight="1" x14ac:dyDescent="0.3">
      <c r="M11401" s="5"/>
    </row>
    <row r="11402" spans="13:13" ht="15" customHeight="1" x14ac:dyDescent="0.3">
      <c r="M11402" s="5"/>
    </row>
    <row r="11403" spans="13:13" ht="15" customHeight="1" x14ac:dyDescent="0.3">
      <c r="M11403" s="5"/>
    </row>
    <row r="11404" spans="13:13" ht="15" customHeight="1" x14ac:dyDescent="0.3">
      <c r="M11404" s="5"/>
    </row>
    <row r="11405" spans="13:13" ht="15" customHeight="1" x14ac:dyDescent="0.3">
      <c r="M11405" s="5"/>
    </row>
    <row r="11406" spans="13:13" ht="15" customHeight="1" x14ac:dyDescent="0.3">
      <c r="M11406" s="5"/>
    </row>
    <row r="11407" spans="13:13" ht="15" customHeight="1" x14ac:dyDescent="0.3">
      <c r="M11407" s="5"/>
    </row>
    <row r="11408" spans="13:13" ht="15" customHeight="1" x14ac:dyDescent="0.3">
      <c r="M11408" s="5"/>
    </row>
    <row r="11409" spans="13:13" ht="15" customHeight="1" x14ac:dyDescent="0.3">
      <c r="M11409" s="5"/>
    </row>
    <row r="11410" spans="13:13" ht="15" customHeight="1" x14ac:dyDescent="0.3">
      <c r="M11410" s="5"/>
    </row>
    <row r="11411" spans="13:13" ht="15" customHeight="1" x14ac:dyDescent="0.3">
      <c r="M11411" s="5"/>
    </row>
    <row r="11412" spans="13:13" ht="15" customHeight="1" x14ac:dyDescent="0.3">
      <c r="M11412" s="5"/>
    </row>
    <row r="11413" spans="13:13" ht="15" customHeight="1" x14ac:dyDescent="0.3">
      <c r="M11413" s="5"/>
    </row>
    <row r="11414" spans="13:13" ht="15" customHeight="1" x14ac:dyDescent="0.3">
      <c r="M11414" s="5"/>
    </row>
    <row r="11415" spans="13:13" ht="15" customHeight="1" x14ac:dyDescent="0.3">
      <c r="M11415" s="5"/>
    </row>
    <row r="11416" spans="13:13" ht="15" customHeight="1" x14ac:dyDescent="0.3">
      <c r="M11416" s="5"/>
    </row>
    <row r="11417" spans="13:13" ht="15" customHeight="1" x14ac:dyDescent="0.3">
      <c r="M11417" s="5"/>
    </row>
    <row r="11418" spans="13:13" ht="15" customHeight="1" x14ac:dyDescent="0.3">
      <c r="M11418" s="5"/>
    </row>
    <row r="11419" spans="13:13" ht="15" customHeight="1" x14ac:dyDescent="0.3">
      <c r="M11419" s="5"/>
    </row>
    <row r="11420" spans="13:13" ht="15" customHeight="1" x14ac:dyDescent="0.3">
      <c r="M11420" s="5"/>
    </row>
    <row r="11421" spans="13:13" ht="15" customHeight="1" x14ac:dyDescent="0.3">
      <c r="M11421" s="5"/>
    </row>
    <row r="11422" spans="13:13" ht="15" customHeight="1" x14ac:dyDescent="0.3">
      <c r="M11422" s="5"/>
    </row>
    <row r="11423" spans="13:13" ht="15" customHeight="1" x14ac:dyDescent="0.3">
      <c r="M11423" s="5"/>
    </row>
    <row r="11424" spans="13:13" ht="15" customHeight="1" x14ac:dyDescent="0.3">
      <c r="M11424" s="5"/>
    </row>
    <row r="11425" spans="13:13" ht="15" customHeight="1" x14ac:dyDescent="0.3">
      <c r="M11425" s="5"/>
    </row>
    <row r="11426" spans="13:13" ht="15" customHeight="1" x14ac:dyDescent="0.3">
      <c r="M11426" s="5"/>
    </row>
    <row r="11427" spans="13:13" ht="15" customHeight="1" x14ac:dyDescent="0.3">
      <c r="M11427" s="5"/>
    </row>
    <row r="11428" spans="13:13" ht="15" customHeight="1" x14ac:dyDescent="0.3">
      <c r="M11428" s="5"/>
    </row>
    <row r="11429" spans="13:13" ht="15" customHeight="1" x14ac:dyDescent="0.3">
      <c r="M11429" s="5"/>
    </row>
    <row r="11430" spans="13:13" ht="15" customHeight="1" x14ac:dyDescent="0.3">
      <c r="M11430" s="5"/>
    </row>
    <row r="11431" spans="13:13" ht="15" customHeight="1" x14ac:dyDescent="0.3">
      <c r="M11431" s="5"/>
    </row>
    <row r="11432" spans="13:13" ht="15" customHeight="1" x14ac:dyDescent="0.3">
      <c r="M11432" s="5"/>
    </row>
    <row r="11433" spans="13:13" ht="15" customHeight="1" x14ac:dyDescent="0.3">
      <c r="M11433" s="5"/>
    </row>
    <row r="11434" spans="13:13" ht="15" customHeight="1" x14ac:dyDescent="0.3">
      <c r="M11434" s="5"/>
    </row>
    <row r="11435" spans="13:13" ht="15" customHeight="1" x14ac:dyDescent="0.3">
      <c r="M11435" s="5"/>
    </row>
    <row r="11436" spans="13:13" ht="15" customHeight="1" x14ac:dyDescent="0.3">
      <c r="M11436" s="5"/>
    </row>
    <row r="11437" spans="13:13" ht="15" customHeight="1" x14ac:dyDescent="0.3">
      <c r="M11437" s="5"/>
    </row>
    <row r="11438" spans="13:13" ht="15" customHeight="1" x14ac:dyDescent="0.3">
      <c r="M11438" s="5"/>
    </row>
    <row r="11439" spans="13:13" ht="15" customHeight="1" x14ac:dyDescent="0.3">
      <c r="M11439" s="5"/>
    </row>
    <row r="11440" spans="13:13" ht="15" customHeight="1" x14ac:dyDescent="0.3">
      <c r="M11440" s="5"/>
    </row>
    <row r="11441" spans="13:13" ht="15" customHeight="1" x14ac:dyDescent="0.3">
      <c r="M11441" s="5"/>
    </row>
    <row r="11442" spans="13:13" ht="15" customHeight="1" x14ac:dyDescent="0.3">
      <c r="M11442" s="5"/>
    </row>
    <row r="11443" spans="13:13" ht="15" customHeight="1" x14ac:dyDescent="0.3">
      <c r="M11443" s="5"/>
    </row>
    <row r="11444" spans="13:13" ht="15" customHeight="1" x14ac:dyDescent="0.3">
      <c r="M11444" s="5"/>
    </row>
    <row r="11445" spans="13:13" ht="15" customHeight="1" x14ac:dyDescent="0.3">
      <c r="M11445" s="5"/>
    </row>
    <row r="11446" spans="13:13" ht="15" customHeight="1" x14ac:dyDescent="0.3">
      <c r="M11446" s="5"/>
    </row>
    <row r="11447" spans="13:13" ht="15" customHeight="1" x14ac:dyDescent="0.3">
      <c r="M11447" s="5"/>
    </row>
    <row r="11448" spans="13:13" ht="15" customHeight="1" x14ac:dyDescent="0.3">
      <c r="M11448" s="5"/>
    </row>
    <row r="11449" spans="13:13" ht="15" customHeight="1" x14ac:dyDescent="0.3">
      <c r="M11449" s="5"/>
    </row>
    <row r="11450" spans="13:13" ht="15" customHeight="1" x14ac:dyDescent="0.3">
      <c r="M11450" s="5"/>
    </row>
    <row r="11451" spans="13:13" ht="15" customHeight="1" x14ac:dyDescent="0.3">
      <c r="M11451" s="5"/>
    </row>
    <row r="11452" spans="13:13" ht="15" customHeight="1" x14ac:dyDescent="0.3">
      <c r="M11452" s="5"/>
    </row>
    <row r="11453" spans="13:13" ht="15" customHeight="1" x14ac:dyDescent="0.3">
      <c r="M11453" s="5"/>
    </row>
    <row r="11454" spans="13:13" ht="15" customHeight="1" x14ac:dyDescent="0.3">
      <c r="M11454" s="5"/>
    </row>
    <row r="11455" spans="13:13" ht="15" customHeight="1" x14ac:dyDescent="0.3">
      <c r="M11455" s="5"/>
    </row>
    <row r="11456" spans="13:13" ht="15" customHeight="1" x14ac:dyDescent="0.3">
      <c r="M11456" s="5"/>
    </row>
    <row r="11457" spans="13:13" ht="15" customHeight="1" x14ac:dyDescent="0.3">
      <c r="M11457" s="5"/>
    </row>
    <row r="11458" spans="13:13" ht="15" customHeight="1" x14ac:dyDescent="0.3">
      <c r="M11458" s="5"/>
    </row>
    <row r="11459" spans="13:13" ht="15" customHeight="1" x14ac:dyDescent="0.3">
      <c r="M11459" s="5"/>
    </row>
    <row r="11460" spans="13:13" ht="15" customHeight="1" x14ac:dyDescent="0.3">
      <c r="M11460" s="5"/>
    </row>
    <row r="11461" spans="13:13" ht="15" customHeight="1" x14ac:dyDescent="0.3">
      <c r="M11461" s="5"/>
    </row>
    <row r="11462" spans="13:13" ht="15" customHeight="1" x14ac:dyDescent="0.3">
      <c r="M11462" s="5"/>
    </row>
    <row r="11463" spans="13:13" ht="15" customHeight="1" x14ac:dyDescent="0.3">
      <c r="M11463" s="5"/>
    </row>
    <row r="11464" spans="13:13" ht="15" customHeight="1" x14ac:dyDescent="0.3">
      <c r="M11464" s="5"/>
    </row>
    <row r="11465" spans="13:13" ht="15" customHeight="1" x14ac:dyDescent="0.3">
      <c r="M11465" s="5"/>
    </row>
    <row r="11466" spans="13:13" ht="15" customHeight="1" x14ac:dyDescent="0.3">
      <c r="M11466" s="5"/>
    </row>
    <row r="11467" spans="13:13" ht="15" customHeight="1" x14ac:dyDescent="0.3">
      <c r="M11467" s="5"/>
    </row>
    <row r="11468" spans="13:13" ht="15" customHeight="1" x14ac:dyDescent="0.3">
      <c r="M11468" s="5"/>
    </row>
    <row r="11469" spans="13:13" ht="15" customHeight="1" x14ac:dyDescent="0.3">
      <c r="M11469" s="5"/>
    </row>
    <row r="11470" spans="13:13" ht="15" customHeight="1" x14ac:dyDescent="0.3">
      <c r="M11470" s="5"/>
    </row>
    <row r="11471" spans="13:13" ht="15" customHeight="1" x14ac:dyDescent="0.3">
      <c r="M11471" s="5"/>
    </row>
    <row r="11472" spans="13:13" ht="15" customHeight="1" x14ac:dyDescent="0.3">
      <c r="M11472" s="5"/>
    </row>
    <row r="11473" spans="13:13" ht="15" customHeight="1" x14ac:dyDescent="0.3">
      <c r="M11473" s="5"/>
    </row>
    <row r="11474" spans="13:13" ht="15" customHeight="1" x14ac:dyDescent="0.3">
      <c r="M11474" s="5"/>
    </row>
    <row r="11475" spans="13:13" ht="15" customHeight="1" x14ac:dyDescent="0.3">
      <c r="M11475" s="5"/>
    </row>
    <row r="11476" spans="13:13" ht="15" customHeight="1" x14ac:dyDescent="0.3">
      <c r="M11476" s="5"/>
    </row>
    <row r="11477" spans="13:13" ht="15" customHeight="1" x14ac:dyDescent="0.3">
      <c r="M11477" s="5"/>
    </row>
    <row r="11478" spans="13:13" ht="15" customHeight="1" x14ac:dyDescent="0.3">
      <c r="M11478" s="5"/>
    </row>
    <row r="11479" spans="13:13" ht="15" customHeight="1" x14ac:dyDescent="0.3">
      <c r="M11479" s="5"/>
    </row>
    <row r="11480" spans="13:13" ht="15" customHeight="1" x14ac:dyDescent="0.3">
      <c r="M11480" s="5"/>
    </row>
    <row r="11481" spans="13:13" ht="15" customHeight="1" x14ac:dyDescent="0.3">
      <c r="M11481" s="5"/>
    </row>
    <row r="11482" spans="13:13" ht="15" customHeight="1" x14ac:dyDescent="0.3">
      <c r="M11482" s="5"/>
    </row>
    <row r="11483" spans="13:13" ht="15" customHeight="1" x14ac:dyDescent="0.3">
      <c r="M11483" s="5"/>
    </row>
    <row r="11484" spans="13:13" ht="15" customHeight="1" x14ac:dyDescent="0.3">
      <c r="M11484" s="5"/>
    </row>
    <row r="11485" spans="13:13" ht="15" customHeight="1" x14ac:dyDescent="0.3">
      <c r="M11485" s="5"/>
    </row>
    <row r="11486" spans="13:13" ht="15" customHeight="1" x14ac:dyDescent="0.3">
      <c r="M11486" s="5"/>
    </row>
    <row r="11487" spans="13:13" ht="15" customHeight="1" x14ac:dyDescent="0.3">
      <c r="M11487" s="5"/>
    </row>
    <row r="11488" spans="13:13" ht="15" customHeight="1" x14ac:dyDescent="0.3">
      <c r="M11488" s="5"/>
    </row>
    <row r="11489" spans="13:13" ht="15" customHeight="1" x14ac:dyDescent="0.3">
      <c r="M11489" s="5"/>
    </row>
    <row r="11490" spans="13:13" ht="15" customHeight="1" x14ac:dyDescent="0.3">
      <c r="M11490" s="5"/>
    </row>
    <row r="11491" spans="13:13" ht="15" customHeight="1" x14ac:dyDescent="0.3">
      <c r="M11491" s="5"/>
    </row>
    <row r="11492" spans="13:13" ht="15" customHeight="1" x14ac:dyDescent="0.3">
      <c r="M11492" s="5"/>
    </row>
    <row r="11493" spans="13:13" ht="15" customHeight="1" x14ac:dyDescent="0.3">
      <c r="M11493" s="5"/>
    </row>
    <row r="11494" spans="13:13" ht="15" customHeight="1" x14ac:dyDescent="0.3">
      <c r="M11494" s="5"/>
    </row>
    <row r="11495" spans="13:13" ht="15" customHeight="1" x14ac:dyDescent="0.3">
      <c r="M11495" s="5"/>
    </row>
    <row r="11496" spans="13:13" ht="15" customHeight="1" x14ac:dyDescent="0.3">
      <c r="M11496" s="5"/>
    </row>
    <row r="11497" spans="13:13" ht="15" customHeight="1" x14ac:dyDescent="0.3">
      <c r="M11497" s="5"/>
    </row>
    <row r="11498" spans="13:13" ht="15" customHeight="1" x14ac:dyDescent="0.3">
      <c r="M11498" s="5"/>
    </row>
    <row r="11499" spans="13:13" ht="15" customHeight="1" x14ac:dyDescent="0.3">
      <c r="M11499" s="5"/>
    </row>
    <row r="11500" spans="13:13" ht="15" customHeight="1" x14ac:dyDescent="0.3">
      <c r="M11500" s="5"/>
    </row>
    <row r="11501" spans="13:13" ht="15" customHeight="1" x14ac:dyDescent="0.3">
      <c r="M11501" s="5"/>
    </row>
    <row r="11502" spans="13:13" ht="15" customHeight="1" x14ac:dyDescent="0.3">
      <c r="M11502" s="5"/>
    </row>
    <row r="11503" spans="13:13" ht="15" customHeight="1" x14ac:dyDescent="0.3">
      <c r="M11503" s="5"/>
    </row>
    <row r="11504" spans="13:13" ht="15" customHeight="1" x14ac:dyDescent="0.3">
      <c r="M11504" s="5"/>
    </row>
    <row r="11505" spans="13:13" ht="15" customHeight="1" x14ac:dyDescent="0.3">
      <c r="M11505" s="5"/>
    </row>
    <row r="11506" spans="13:13" ht="15" customHeight="1" x14ac:dyDescent="0.3">
      <c r="M11506" s="5"/>
    </row>
    <row r="11507" spans="13:13" ht="15" customHeight="1" x14ac:dyDescent="0.3">
      <c r="M11507" s="5"/>
    </row>
    <row r="11508" spans="13:13" ht="15" customHeight="1" x14ac:dyDescent="0.3">
      <c r="M11508" s="5"/>
    </row>
    <row r="11509" spans="13:13" ht="15" customHeight="1" x14ac:dyDescent="0.3">
      <c r="M11509" s="5"/>
    </row>
    <row r="11510" spans="13:13" ht="15" customHeight="1" x14ac:dyDescent="0.3">
      <c r="M11510" s="5"/>
    </row>
    <row r="11511" spans="13:13" ht="15" customHeight="1" x14ac:dyDescent="0.3">
      <c r="M11511" s="5"/>
    </row>
    <row r="11512" spans="13:13" ht="15" customHeight="1" x14ac:dyDescent="0.3">
      <c r="M11512" s="5"/>
    </row>
    <row r="11513" spans="13:13" ht="15" customHeight="1" x14ac:dyDescent="0.3">
      <c r="M11513" s="5"/>
    </row>
    <row r="11514" spans="13:13" ht="15" customHeight="1" x14ac:dyDescent="0.3">
      <c r="M11514" s="5"/>
    </row>
    <row r="11515" spans="13:13" ht="15" customHeight="1" x14ac:dyDescent="0.3">
      <c r="M11515" s="5"/>
    </row>
    <row r="11516" spans="13:13" ht="15" customHeight="1" x14ac:dyDescent="0.3">
      <c r="M11516" s="5"/>
    </row>
    <row r="11517" spans="13:13" ht="15" customHeight="1" x14ac:dyDescent="0.3">
      <c r="M11517" s="5"/>
    </row>
    <row r="11518" spans="13:13" ht="15" customHeight="1" x14ac:dyDescent="0.3">
      <c r="M11518" s="5"/>
    </row>
    <row r="11519" spans="13:13" ht="15" customHeight="1" x14ac:dyDescent="0.3">
      <c r="M11519" s="5"/>
    </row>
    <row r="11520" spans="13:13" ht="15" customHeight="1" x14ac:dyDescent="0.3">
      <c r="M11520" s="5"/>
    </row>
    <row r="11521" spans="13:13" ht="15" customHeight="1" x14ac:dyDescent="0.3">
      <c r="M11521" s="5"/>
    </row>
    <row r="11522" spans="13:13" ht="15" customHeight="1" x14ac:dyDescent="0.3">
      <c r="M11522" s="5"/>
    </row>
    <row r="11523" spans="13:13" ht="15" customHeight="1" x14ac:dyDescent="0.3">
      <c r="M11523" s="5"/>
    </row>
    <row r="11524" spans="13:13" ht="15" customHeight="1" x14ac:dyDescent="0.3">
      <c r="M11524" s="5"/>
    </row>
    <row r="11525" spans="13:13" ht="15" customHeight="1" x14ac:dyDescent="0.3">
      <c r="M11525" s="5"/>
    </row>
    <row r="11526" spans="13:13" ht="15" customHeight="1" x14ac:dyDescent="0.3">
      <c r="M11526" s="5"/>
    </row>
    <row r="11527" spans="13:13" ht="15" customHeight="1" x14ac:dyDescent="0.3">
      <c r="M11527" s="5"/>
    </row>
    <row r="11528" spans="13:13" ht="15" customHeight="1" x14ac:dyDescent="0.3">
      <c r="M11528" s="5"/>
    </row>
    <row r="11529" spans="13:13" ht="15" customHeight="1" x14ac:dyDescent="0.3">
      <c r="M11529" s="5"/>
    </row>
    <row r="11530" spans="13:13" ht="15" customHeight="1" x14ac:dyDescent="0.3">
      <c r="M11530" s="5"/>
    </row>
    <row r="11531" spans="13:13" ht="15" customHeight="1" x14ac:dyDescent="0.3">
      <c r="M11531" s="5"/>
    </row>
    <row r="11532" spans="13:13" ht="15" customHeight="1" x14ac:dyDescent="0.3">
      <c r="M11532" s="5"/>
    </row>
    <row r="11533" spans="13:13" ht="15" customHeight="1" x14ac:dyDescent="0.3">
      <c r="M11533" s="5"/>
    </row>
    <row r="11534" spans="13:13" ht="15" customHeight="1" x14ac:dyDescent="0.3">
      <c r="M11534" s="5"/>
    </row>
    <row r="11535" spans="13:13" ht="15" customHeight="1" x14ac:dyDescent="0.3">
      <c r="M11535" s="5"/>
    </row>
    <row r="11536" spans="13:13" ht="15" customHeight="1" x14ac:dyDescent="0.3">
      <c r="M11536" s="5"/>
    </row>
    <row r="11537" spans="13:13" ht="15" customHeight="1" x14ac:dyDescent="0.3">
      <c r="M11537" s="5"/>
    </row>
    <row r="11538" spans="13:13" ht="15" customHeight="1" x14ac:dyDescent="0.3">
      <c r="M11538" s="5"/>
    </row>
    <row r="11539" spans="13:13" ht="15" customHeight="1" x14ac:dyDescent="0.3">
      <c r="M11539" s="5"/>
    </row>
    <row r="11540" spans="13:13" ht="15" customHeight="1" x14ac:dyDescent="0.3">
      <c r="M11540" s="5"/>
    </row>
    <row r="11541" spans="13:13" ht="15" customHeight="1" x14ac:dyDescent="0.3">
      <c r="M11541" s="5"/>
    </row>
    <row r="11542" spans="13:13" ht="15" customHeight="1" x14ac:dyDescent="0.3">
      <c r="M11542" s="5"/>
    </row>
    <row r="11543" spans="13:13" ht="15" customHeight="1" x14ac:dyDescent="0.3">
      <c r="M11543" s="5"/>
    </row>
    <row r="11544" spans="13:13" ht="15" customHeight="1" x14ac:dyDescent="0.3">
      <c r="M11544" s="5"/>
    </row>
    <row r="11545" spans="13:13" ht="15" customHeight="1" x14ac:dyDescent="0.3">
      <c r="M11545" s="5"/>
    </row>
    <row r="11546" spans="13:13" ht="15" customHeight="1" x14ac:dyDescent="0.3">
      <c r="M11546" s="5"/>
    </row>
    <row r="11547" spans="13:13" ht="15" customHeight="1" x14ac:dyDescent="0.3">
      <c r="M11547" s="5"/>
    </row>
    <row r="11548" spans="13:13" ht="15" customHeight="1" x14ac:dyDescent="0.3">
      <c r="M11548" s="5"/>
    </row>
    <row r="11549" spans="13:13" ht="15" customHeight="1" x14ac:dyDescent="0.3">
      <c r="M11549" s="5"/>
    </row>
    <row r="11550" spans="13:13" ht="15" customHeight="1" x14ac:dyDescent="0.3">
      <c r="M11550" s="5"/>
    </row>
    <row r="11551" spans="13:13" ht="15" customHeight="1" x14ac:dyDescent="0.3">
      <c r="M11551" s="5"/>
    </row>
    <row r="11552" spans="13:13" ht="15" customHeight="1" x14ac:dyDescent="0.3">
      <c r="M11552" s="5"/>
    </row>
    <row r="11553" spans="13:13" ht="15" customHeight="1" x14ac:dyDescent="0.3">
      <c r="M11553" s="5"/>
    </row>
    <row r="11554" spans="13:13" ht="15" customHeight="1" x14ac:dyDescent="0.3">
      <c r="M11554" s="5"/>
    </row>
    <row r="11555" spans="13:13" ht="15" customHeight="1" x14ac:dyDescent="0.3">
      <c r="M11555" s="5"/>
    </row>
    <row r="11556" spans="13:13" ht="15" customHeight="1" x14ac:dyDescent="0.3">
      <c r="M11556" s="5"/>
    </row>
    <row r="11557" spans="13:13" ht="15" customHeight="1" x14ac:dyDescent="0.3">
      <c r="M11557" s="5"/>
    </row>
    <row r="11558" spans="13:13" ht="15" customHeight="1" x14ac:dyDescent="0.3">
      <c r="M11558" s="5"/>
    </row>
    <row r="11559" spans="13:13" ht="15" customHeight="1" x14ac:dyDescent="0.3">
      <c r="M11559" s="5"/>
    </row>
    <row r="11560" spans="13:13" ht="15" customHeight="1" x14ac:dyDescent="0.3">
      <c r="M11560" s="5"/>
    </row>
    <row r="11561" spans="13:13" ht="15" customHeight="1" x14ac:dyDescent="0.3">
      <c r="M11561" s="5"/>
    </row>
    <row r="11562" spans="13:13" ht="15" customHeight="1" x14ac:dyDescent="0.3">
      <c r="M11562" s="5"/>
    </row>
    <row r="11563" spans="13:13" ht="15" customHeight="1" x14ac:dyDescent="0.3">
      <c r="M11563" s="5"/>
    </row>
    <row r="11564" spans="13:13" ht="15" customHeight="1" x14ac:dyDescent="0.3">
      <c r="M11564" s="5"/>
    </row>
    <row r="11565" spans="13:13" ht="15" customHeight="1" x14ac:dyDescent="0.3">
      <c r="M11565" s="5"/>
    </row>
    <row r="11566" spans="13:13" ht="15" customHeight="1" x14ac:dyDescent="0.3">
      <c r="M11566" s="5"/>
    </row>
    <row r="11567" spans="13:13" ht="15" customHeight="1" x14ac:dyDescent="0.3">
      <c r="M11567" s="5"/>
    </row>
    <row r="11568" spans="13:13" ht="15" customHeight="1" x14ac:dyDescent="0.3">
      <c r="M11568" s="5"/>
    </row>
    <row r="11569" spans="13:13" ht="15" customHeight="1" x14ac:dyDescent="0.3">
      <c r="M11569" s="5"/>
    </row>
    <row r="11570" spans="13:13" ht="15" customHeight="1" x14ac:dyDescent="0.3">
      <c r="M11570" s="5"/>
    </row>
    <row r="11571" spans="13:13" ht="15" customHeight="1" x14ac:dyDescent="0.3">
      <c r="M11571" s="5"/>
    </row>
    <row r="11572" spans="13:13" ht="15" customHeight="1" x14ac:dyDescent="0.3">
      <c r="M11572" s="5"/>
    </row>
    <row r="11573" spans="13:13" ht="15" customHeight="1" x14ac:dyDescent="0.3">
      <c r="M11573" s="5"/>
    </row>
    <row r="11574" spans="13:13" ht="15" customHeight="1" x14ac:dyDescent="0.3">
      <c r="M11574" s="5"/>
    </row>
    <row r="11575" spans="13:13" ht="15" customHeight="1" x14ac:dyDescent="0.3">
      <c r="M11575" s="5"/>
    </row>
    <row r="11576" spans="13:13" ht="15" customHeight="1" x14ac:dyDescent="0.3">
      <c r="M11576" s="5"/>
    </row>
    <row r="11577" spans="13:13" ht="15" customHeight="1" x14ac:dyDescent="0.3">
      <c r="M11577" s="5"/>
    </row>
    <row r="11578" spans="13:13" ht="15" customHeight="1" x14ac:dyDescent="0.3">
      <c r="M11578" s="5"/>
    </row>
    <row r="11579" spans="13:13" ht="15" customHeight="1" x14ac:dyDescent="0.3">
      <c r="M11579" s="5"/>
    </row>
    <row r="11580" spans="13:13" ht="15" customHeight="1" x14ac:dyDescent="0.3">
      <c r="M11580" s="5"/>
    </row>
    <row r="11581" spans="13:13" ht="15" customHeight="1" x14ac:dyDescent="0.3">
      <c r="M11581" s="5"/>
    </row>
    <row r="11582" spans="13:13" ht="15" customHeight="1" x14ac:dyDescent="0.3">
      <c r="M11582" s="5"/>
    </row>
    <row r="11583" spans="13:13" ht="15" customHeight="1" x14ac:dyDescent="0.3">
      <c r="M11583" s="5"/>
    </row>
    <row r="11584" spans="13:13" ht="15" customHeight="1" x14ac:dyDescent="0.3">
      <c r="M11584" s="5"/>
    </row>
    <row r="11585" spans="13:13" ht="15" customHeight="1" x14ac:dyDescent="0.3">
      <c r="M11585" s="5"/>
    </row>
    <row r="11586" spans="13:13" ht="15" customHeight="1" x14ac:dyDescent="0.3">
      <c r="M11586" s="5"/>
    </row>
    <row r="11587" spans="13:13" ht="15" customHeight="1" x14ac:dyDescent="0.3">
      <c r="M11587" s="5"/>
    </row>
    <row r="11588" spans="13:13" ht="15" customHeight="1" x14ac:dyDescent="0.3">
      <c r="M11588" s="5"/>
    </row>
    <row r="11589" spans="13:13" ht="15" customHeight="1" x14ac:dyDescent="0.3">
      <c r="M11589" s="5"/>
    </row>
    <row r="11590" spans="13:13" ht="15" customHeight="1" x14ac:dyDescent="0.3">
      <c r="M11590" s="5"/>
    </row>
    <row r="11591" spans="13:13" ht="15" customHeight="1" x14ac:dyDescent="0.3">
      <c r="M11591" s="5"/>
    </row>
    <row r="11592" spans="13:13" ht="15" customHeight="1" x14ac:dyDescent="0.3">
      <c r="M11592" s="5"/>
    </row>
    <row r="11593" spans="13:13" ht="15" customHeight="1" x14ac:dyDescent="0.3">
      <c r="M11593" s="5"/>
    </row>
    <row r="11594" spans="13:13" ht="15" customHeight="1" x14ac:dyDescent="0.3">
      <c r="M11594" s="5"/>
    </row>
    <row r="11595" spans="13:13" ht="15" customHeight="1" x14ac:dyDescent="0.3">
      <c r="M11595" s="5"/>
    </row>
    <row r="11596" spans="13:13" ht="15" customHeight="1" x14ac:dyDescent="0.3">
      <c r="M11596" s="5"/>
    </row>
    <row r="11597" spans="13:13" ht="15" customHeight="1" x14ac:dyDescent="0.3">
      <c r="M11597" s="5"/>
    </row>
    <row r="11598" spans="13:13" ht="15" customHeight="1" x14ac:dyDescent="0.3">
      <c r="M11598" s="5"/>
    </row>
    <row r="11599" spans="13:13" ht="15" customHeight="1" x14ac:dyDescent="0.3">
      <c r="M11599" s="5"/>
    </row>
    <row r="11600" spans="13:13" ht="15" customHeight="1" x14ac:dyDescent="0.3">
      <c r="M11600" s="5"/>
    </row>
    <row r="11601" spans="13:13" ht="15" customHeight="1" x14ac:dyDescent="0.3">
      <c r="M11601" s="5"/>
    </row>
    <row r="11602" spans="13:13" ht="15" customHeight="1" x14ac:dyDescent="0.3">
      <c r="M11602" s="5"/>
    </row>
    <row r="11603" spans="13:13" ht="15" customHeight="1" x14ac:dyDescent="0.3">
      <c r="M11603" s="5"/>
    </row>
    <row r="11604" spans="13:13" ht="15" customHeight="1" x14ac:dyDescent="0.3">
      <c r="M11604" s="5"/>
    </row>
    <row r="11605" spans="13:13" ht="15" customHeight="1" x14ac:dyDescent="0.3">
      <c r="M11605" s="5"/>
    </row>
    <row r="11606" spans="13:13" ht="15" customHeight="1" x14ac:dyDescent="0.3">
      <c r="M11606" s="5"/>
    </row>
    <row r="11607" spans="13:13" ht="15" customHeight="1" x14ac:dyDescent="0.3">
      <c r="M11607" s="5"/>
    </row>
    <row r="11608" spans="13:13" ht="15" customHeight="1" x14ac:dyDescent="0.3">
      <c r="M11608" s="5"/>
    </row>
    <row r="11609" spans="13:13" ht="15" customHeight="1" x14ac:dyDescent="0.3">
      <c r="M11609" s="5"/>
    </row>
    <row r="11610" spans="13:13" ht="15" customHeight="1" x14ac:dyDescent="0.3">
      <c r="M11610" s="5"/>
    </row>
    <row r="11611" spans="13:13" ht="15" customHeight="1" x14ac:dyDescent="0.3">
      <c r="M11611" s="5"/>
    </row>
    <row r="11612" spans="13:13" ht="15" customHeight="1" x14ac:dyDescent="0.3">
      <c r="M11612" s="5"/>
    </row>
    <row r="11613" spans="13:13" ht="15" customHeight="1" x14ac:dyDescent="0.3">
      <c r="M11613" s="5"/>
    </row>
    <row r="11614" spans="13:13" ht="15" customHeight="1" x14ac:dyDescent="0.3">
      <c r="M11614" s="5"/>
    </row>
    <row r="11615" spans="13:13" ht="15" customHeight="1" x14ac:dyDescent="0.3">
      <c r="M11615" s="5"/>
    </row>
    <row r="11616" spans="13:13" ht="15" customHeight="1" x14ac:dyDescent="0.3">
      <c r="M11616" s="5"/>
    </row>
    <row r="11617" spans="13:13" ht="15" customHeight="1" x14ac:dyDescent="0.3">
      <c r="M11617" s="5"/>
    </row>
    <row r="11618" spans="13:13" ht="15" customHeight="1" x14ac:dyDescent="0.3">
      <c r="M11618" s="5"/>
    </row>
    <row r="11619" spans="13:13" ht="15" customHeight="1" x14ac:dyDescent="0.3">
      <c r="M11619" s="5"/>
    </row>
    <row r="11620" spans="13:13" ht="15" customHeight="1" x14ac:dyDescent="0.3">
      <c r="M11620" s="5"/>
    </row>
    <row r="11621" spans="13:13" ht="15" customHeight="1" x14ac:dyDescent="0.3">
      <c r="M11621" s="5"/>
    </row>
    <row r="11622" spans="13:13" ht="15" customHeight="1" x14ac:dyDescent="0.3">
      <c r="M11622" s="5"/>
    </row>
    <row r="11623" spans="13:13" ht="15" customHeight="1" x14ac:dyDescent="0.3">
      <c r="M11623" s="5"/>
    </row>
    <row r="11624" spans="13:13" ht="15" customHeight="1" x14ac:dyDescent="0.3">
      <c r="M11624" s="5"/>
    </row>
    <row r="11625" spans="13:13" ht="15" customHeight="1" x14ac:dyDescent="0.3">
      <c r="M11625" s="5"/>
    </row>
    <row r="11626" spans="13:13" ht="15" customHeight="1" x14ac:dyDescent="0.3">
      <c r="M11626" s="5"/>
    </row>
    <row r="11627" spans="13:13" ht="15" customHeight="1" x14ac:dyDescent="0.3">
      <c r="M11627" s="5"/>
    </row>
    <row r="11628" spans="13:13" ht="15" customHeight="1" x14ac:dyDescent="0.3">
      <c r="M11628" s="5"/>
    </row>
    <row r="11629" spans="13:13" ht="15" customHeight="1" x14ac:dyDescent="0.3">
      <c r="M11629" s="5"/>
    </row>
    <row r="11630" spans="13:13" ht="15" customHeight="1" x14ac:dyDescent="0.3">
      <c r="M11630" s="5"/>
    </row>
    <row r="11631" spans="13:13" ht="15" customHeight="1" x14ac:dyDescent="0.3">
      <c r="M11631" s="5"/>
    </row>
    <row r="11632" spans="13:13" ht="15" customHeight="1" x14ac:dyDescent="0.3">
      <c r="M11632" s="5"/>
    </row>
    <row r="11633" spans="13:13" ht="15" customHeight="1" x14ac:dyDescent="0.3">
      <c r="M11633" s="5"/>
    </row>
    <row r="11634" spans="13:13" ht="15" customHeight="1" x14ac:dyDescent="0.3">
      <c r="M11634" s="5"/>
    </row>
    <row r="11635" spans="13:13" ht="15" customHeight="1" x14ac:dyDescent="0.3">
      <c r="M11635" s="5"/>
    </row>
    <row r="11636" spans="13:13" ht="15" customHeight="1" x14ac:dyDescent="0.3">
      <c r="M11636" s="5"/>
    </row>
    <row r="11637" spans="13:13" ht="15" customHeight="1" x14ac:dyDescent="0.3">
      <c r="M11637" s="5"/>
    </row>
    <row r="11638" spans="13:13" ht="15" customHeight="1" x14ac:dyDescent="0.3">
      <c r="M11638" s="5"/>
    </row>
    <row r="11639" spans="13:13" ht="15" customHeight="1" x14ac:dyDescent="0.3">
      <c r="M11639" s="5"/>
    </row>
    <row r="11640" spans="13:13" ht="15" customHeight="1" x14ac:dyDescent="0.3">
      <c r="M11640" s="5"/>
    </row>
    <row r="11641" spans="13:13" ht="15" customHeight="1" x14ac:dyDescent="0.3">
      <c r="M11641" s="5"/>
    </row>
    <row r="11642" spans="13:13" ht="15" customHeight="1" x14ac:dyDescent="0.3">
      <c r="M11642" s="5"/>
    </row>
    <row r="11643" spans="13:13" ht="15" customHeight="1" x14ac:dyDescent="0.3">
      <c r="M11643" s="5"/>
    </row>
    <row r="11644" spans="13:13" ht="15" customHeight="1" x14ac:dyDescent="0.3">
      <c r="M11644" s="5"/>
    </row>
    <row r="11645" spans="13:13" ht="15" customHeight="1" x14ac:dyDescent="0.3">
      <c r="M11645" s="5"/>
    </row>
    <row r="11646" spans="13:13" ht="15" customHeight="1" x14ac:dyDescent="0.3">
      <c r="M11646" s="5"/>
    </row>
    <row r="11647" spans="13:13" ht="15" customHeight="1" x14ac:dyDescent="0.3">
      <c r="M11647" s="5"/>
    </row>
    <row r="11648" spans="13:13" ht="15" customHeight="1" x14ac:dyDescent="0.3">
      <c r="M11648" s="5"/>
    </row>
    <row r="11649" spans="13:13" ht="15" customHeight="1" x14ac:dyDescent="0.3">
      <c r="M11649" s="5"/>
    </row>
    <row r="11650" spans="13:13" ht="15" customHeight="1" x14ac:dyDescent="0.3">
      <c r="M11650" s="5"/>
    </row>
    <row r="11651" spans="13:13" ht="15" customHeight="1" x14ac:dyDescent="0.3">
      <c r="M11651" s="5"/>
    </row>
    <row r="11652" spans="13:13" ht="15" customHeight="1" x14ac:dyDescent="0.3">
      <c r="M11652" s="5"/>
    </row>
    <row r="11653" spans="13:13" ht="15" customHeight="1" x14ac:dyDescent="0.3">
      <c r="M11653" s="5"/>
    </row>
    <row r="11654" spans="13:13" ht="15" customHeight="1" x14ac:dyDescent="0.3">
      <c r="M11654" s="5"/>
    </row>
    <row r="11655" spans="13:13" ht="15" customHeight="1" x14ac:dyDescent="0.3">
      <c r="M11655" s="5"/>
    </row>
    <row r="11656" spans="13:13" ht="15" customHeight="1" x14ac:dyDescent="0.3">
      <c r="M11656" s="5"/>
    </row>
    <row r="11657" spans="13:13" ht="15" customHeight="1" x14ac:dyDescent="0.3">
      <c r="M11657" s="5"/>
    </row>
    <row r="11658" spans="13:13" ht="15" customHeight="1" x14ac:dyDescent="0.3">
      <c r="M11658" s="5"/>
    </row>
    <row r="11659" spans="13:13" ht="15" customHeight="1" x14ac:dyDescent="0.3">
      <c r="M11659" s="5"/>
    </row>
    <row r="11660" spans="13:13" ht="15" customHeight="1" x14ac:dyDescent="0.3">
      <c r="M11660" s="5"/>
    </row>
    <row r="11661" spans="13:13" ht="15" customHeight="1" x14ac:dyDescent="0.3">
      <c r="M11661" s="5"/>
    </row>
    <row r="11662" spans="13:13" ht="15" customHeight="1" x14ac:dyDescent="0.3">
      <c r="M11662" s="5"/>
    </row>
    <row r="11663" spans="13:13" ht="15" customHeight="1" x14ac:dyDescent="0.3">
      <c r="M11663" s="5"/>
    </row>
    <row r="11664" spans="13:13" ht="15" customHeight="1" x14ac:dyDescent="0.3">
      <c r="M11664" s="5"/>
    </row>
    <row r="11665" spans="13:13" ht="15" customHeight="1" x14ac:dyDescent="0.3">
      <c r="M11665" s="5"/>
    </row>
    <row r="11666" spans="13:13" ht="15" customHeight="1" x14ac:dyDescent="0.3">
      <c r="M11666" s="5"/>
    </row>
    <row r="11667" spans="13:13" ht="15" customHeight="1" x14ac:dyDescent="0.3">
      <c r="M11667" s="5"/>
    </row>
    <row r="11668" spans="13:13" ht="15" customHeight="1" x14ac:dyDescent="0.3">
      <c r="M11668" s="5"/>
    </row>
    <row r="11669" spans="13:13" ht="15" customHeight="1" x14ac:dyDescent="0.3">
      <c r="M11669" s="5"/>
    </row>
    <row r="11670" spans="13:13" ht="15" customHeight="1" x14ac:dyDescent="0.3">
      <c r="M11670" s="5"/>
    </row>
    <row r="11671" spans="13:13" ht="15" customHeight="1" x14ac:dyDescent="0.3">
      <c r="M11671" s="5"/>
    </row>
    <row r="11672" spans="13:13" ht="15" customHeight="1" x14ac:dyDescent="0.3">
      <c r="M11672" s="5"/>
    </row>
    <row r="11673" spans="13:13" ht="15" customHeight="1" x14ac:dyDescent="0.3">
      <c r="M11673" s="5"/>
    </row>
    <row r="11674" spans="13:13" ht="15" customHeight="1" x14ac:dyDescent="0.3">
      <c r="M11674" s="5"/>
    </row>
    <row r="11675" spans="13:13" ht="15" customHeight="1" x14ac:dyDescent="0.3">
      <c r="M11675" s="5"/>
    </row>
    <row r="11676" spans="13:13" ht="15" customHeight="1" x14ac:dyDescent="0.3">
      <c r="M11676" s="5"/>
    </row>
    <row r="11677" spans="13:13" ht="15" customHeight="1" x14ac:dyDescent="0.3">
      <c r="M11677" s="5"/>
    </row>
    <row r="11678" spans="13:13" ht="15" customHeight="1" x14ac:dyDescent="0.3">
      <c r="M11678" s="5"/>
    </row>
    <row r="11679" spans="13:13" ht="15" customHeight="1" x14ac:dyDescent="0.3">
      <c r="M11679" s="5"/>
    </row>
    <row r="11680" spans="13:13" ht="15" customHeight="1" x14ac:dyDescent="0.3">
      <c r="M11680" s="5"/>
    </row>
    <row r="11681" spans="13:13" ht="15" customHeight="1" x14ac:dyDescent="0.3">
      <c r="M11681" s="5"/>
    </row>
    <row r="11682" spans="13:13" ht="15" customHeight="1" x14ac:dyDescent="0.3">
      <c r="M11682" s="5"/>
    </row>
    <row r="11683" spans="13:13" ht="15" customHeight="1" x14ac:dyDescent="0.3">
      <c r="M11683" s="5"/>
    </row>
    <row r="11684" spans="13:13" ht="15" customHeight="1" x14ac:dyDescent="0.3">
      <c r="M11684" s="5"/>
    </row>
    <row r="11685" spans="13:13" ht="15" customHeight="1" x14ac:dyDescent="0.3">
      <c r="M11685" s="5"/>
    </row>
    <row r="11686" spans="13:13" ht="15" customHeight="1" x14ac:dyDescent="0.3">
      <c r="M11686" s="5"/>
    </row>
    <row r="11687" spans="13:13" ht="15" customHeight="1" x14ac:dyDescent="0.3">
      <c r="M11687" s="5"/>
    </row>
    <row r="11688" spans="13:13" ht="15" customHeight="1" x14ac:dyDescent="0.3">
      <c r="M11688" s="5"/>
    </row>
    <row r="11689" spans="13:13" ht="15" customHeight="1" x14ac:dyDescent="0.3">
      <c r="M11689" s="5"/>
    </row>
    <row r="11690" spans="13:13" ht="15" customHeight="1" x14ac:dyDescent="0.3">
      <c r="M11690" s="5"/>
    </row>
    <row r="11691" spans="13:13" ht="15" customHeight="1" x14ac:dyDescent="0.3">
      <c r="M11691" s="5"/>
    </row>
    <row r="11692" spans="13:13" ht="15" customHeight="1" x14ac:dyDescent="0.3">
      <c r="M11692" s="5"/>
    </row>
    <row r="11693" spans="13:13" ht="15" customHeight="1" x14ac:dyDescent="0.3">
      <c r="M11693" s="5"/>
    </row>
    <row r="11694" spans="13:13" ht="15" customHeight="1" x14ac:dyDescent="0.3">
      <c r="M11694" s="5"/>
    </row>
    <row r="11695" spans="13:13" ht="15" customHeight="1" x14ac:dyDescent="0.3">
      <c r="M11695" s="5"/>
    </row>
    <row r="11696" spans="13:13" ht="15" customHeight="1" x14ac:dyDescent="0.3">
      <c r="M11696" s="5"/>
    </row>
    <row r="11697" spans="13:13" ht="15" customHeight="1" x14ac:dyDescent="0.3">
      <c r="M11697" s="5"/>
    </row>
    <row r="11698" spans="13:13" ht="15" customHeight="1" x14ac:dyDescent="0.3">
      <c r="M11698" s="5"/>
    </row>
    <row r="11699" spans="13:13" ht="15" customHeight="1" x14ac:dyDescent="0.3">
      <c r="M11699" s="5"/>
    </row>
    <row r="11700" spans="13:13" ht="15" customHeight="1" x14ac:dyDescent="0.3">
      <c r="M11700" s="5"/>
    </row>
    <row r="11701" spans="13:13" ht="15" customHeight="1" x14ac:dyDescent="0.3">
      <c r="M11701" s="5"/>
    </row>
    <row r="11702" spans="13:13" ht="15" customHeight="1" x14ac:dyDescent="0.3">
      <c r="M11702" s="5"/>
    </row>
    <row r="11703" spans="13:13" ht="15" customHeight="1" x14ac:dyDescent="0.3">
      <c r="M11703" s="5"/>
    </row>
    <row r="11704" spans="13:13" ht="15" customHeight="1" x14ac:dyDescent="0.3">
      <c r="M11704" s="5"/>
    </row>
    <row r="11705" spans="13:13" ht="15" customHeight="1" x14ac:dyDescent="0.3">
      <c r="M11705" s="5"/>
    </row>
    <row r="11706" spans="13:13" ht="15" customHeight="1" x14ac:dyDescent="0.3">
      <c r="M11706" s="5"/>
    </row>
    <row r="11707" spans="13:13" ht="15" customHeight="1" x14ac:dyDescent="0.3">
      <c r="M11707" s="5"/>
    </row>
    <row r="11708" spans="13:13" ht="15" customHeight="1" x14ac:dyDescent="0.3">
      <c r="M11708" s="5"/>
    </row>
    <row r="11709" spans="13:13" ht="15" customHeight="1" x14ac:dyDescent="0.3">
      <c r="M11709" s="5"/>
    </row>
    <row r="11710" spans="13:13" ht="15" customHeight="1" x14ac:dyDescent="0.3">
      <c r="M11710" s="5"/>
    </row>
    <row r="11711" spans="13:13" ht="15" customHeight="1" x14ac:dyDescent="0.3">
      <c r="M11711" s="5"/>
    </row>
    <row r="11712" spans="13:13" ht="15" customHeight="1" x14ac:dyDescent="0.3">
      <c r="M11712" s="5"/>
    </row>
    <row r="11713" spans="13:13" ht="15" customHeight="1" x14ac:dyDescent="0.3">
      <c r="M11713" s="5"/>
    </row>
    <row r="11714" spans="13:13" ht="15" customHeight="1" x14ac:dyDescent="0.3">
      <c r="M11714" s="5"/>
    </row>
    <row r="11715" spans="13:13" ht="15" customHeight="1" x14ac:dyDescent="0.3">
      <c r="M11715" s="5"/>
    </row>
    <row r="11716" spans="13:13" ht="15" customHeight="1" x14ac:dyDescent="0.3">
      <c r="M11716" s="5"/>
    </row>
    <row r="11717" spans="13:13" ht="15" customHeight="1" x14ac:dyDescent="0.3">
      <c r="M11717" s="5"/>
    </row>
    <row r="11718" spans="13:13" ht="15" customHeight="1" x14ac:dyDescent="0.3">
      <c r="M11718" s="5"/>
    </row>
    <row r="11719" spans="13:13" ht="15" customHeight="1" x14ac:dyDescent="0.3">
      <c r="M11719" s="5"/>
    </row>
    <row r="11720" spans="13:13" ht="15" customHeight="1" x14ac:dyDescent="0.3">
      <c r="M11720" s="5"/>
    </row>
    <row r="11721" spans="13:13" ht="15" customHeight="1" x14ac:dyDescent="0.3">
      <c r="M11721" s="5"/>
    </row>
    <row r="11722" spans="13:13" ht="15" customHeight="1" x14ac:dyDescent="0.3">
      <c r="M11722" s="5"/>
    </row>
    <row r="11723" spans="13:13" ht="15" customHeight="1" x14ac:dyDescent="0.3">
      <c r="M11723" s="5"/>
    </row>
    <row r="11724" spans="13:13" ht="15" customHeight="1" x14ac:dyDescent="0.3">
      <c r="M11724" s="5"/>
    </row>
    <row r="11725" spans="13:13" ht="15" customHeight="1" x14ac:dyDescent="0.3">
      <c r="M11725" s="5"/>
    </row>
    <row r="11726" spans="13:13" ht="15" customHeight="1" x14ac:dyDescent="0.3">
      <c r="M11726" s="5"/>
    </row>
    <row r="11727" spans="13:13" ht="15" customHeight="1" x14ac:dyDescent="0.3">
      <c r="M11727" s="5"/>
    </row>
    <row r="11728" spans="13:13" ht="15" customHeight="1" x14ac:dyDescent="0.3">
      <c r="M11728" s="5"/>
    </row>
    <row r="11729" spans="13:13" ht="15" customHeight="1" x14ac:dyDescent="0.3">
      <c r="M11729" s="5"/>
    </row>
    <row r="11730" spans="13:13" ht="15" customHeight="1" x14ac:dyDescent="0.3">
      <c r="M11730" s="5"/>
    </row>
    <row r="11731" spans="13:13" ht="15" customHeight="1" x14ac:dyDescent="0.3">
      <c r="M11731" s="5"/>
    </row>
    <row r="11732" spans="13:13" ht="15" customHeight="1" x14ac:dyDescent="0.3">
      <c r="M11732" s="5"/>
    </row>
    <row r="11733" spans="13:13" ht="15" customHeight="1" x14ac:dyDescent="0.3">
      <c r="M11733" s="5"/>
    </row>
    <row r="11734" spans="13:13" ht="15" customHeight="1" x14ac:dyDescent="0.3">
      <c r="M11734" s="5"/>
    </row>
    <row r="11735" spans="13:13" ht="15" customHeight="1" x14ac:dyDescent="0.3">
      <c r="M11735" s="5"/>
    </row>
    <row r="11736" spans="13:13" ht="15" customHeight="1" x14ac:dyDescent="0.3">
      <c r="M11736" s="5"/>
    </row>
    <row r="11737" spans="13:13" ht="15" customHeight="1" x14ac:dyDescent="0.3">
      <c r="M11737" s="5"/>
    </row>
    <row r="11738" spans="13:13" ht="15" customHeight="1" x14ac:dyDescent="0.3">
      <c r="M11738" s="5"/>
    </row>
    <row r="11739" spans="13:13" ht="15" customHeight="1" x14ac:dyDescent="0.3">
      <c r="M11739" s="5"/>
    </row>
    <row r="11740" spans="13:13" ht="15" customHeight="1" x14ac:dyDescent="0.3">
      <c r="M11740" s="5"/>
    </row>
    <row r="11741" spans="13:13" ht="15" customHeight="1" x14ac:dyDescent="0.3">
      <c r="M11741" s="5"/>
    </row>
    <row r="11742" spans="13:13" ht="15" customHeight="1" x14ac:dyDescent="0.3">
      <c r="M11742" s="5"/>
    </row>
    <row r="11743" spans="13:13" ht="15" customHeight="1" x14ac:dyDescent="0.3">
      <c r="M11743" s="5"/>
    </row>
    <row r="11744" spans="13:13" ht="15" customHeight="1" x14ac:dyDescent="0.3">
      <c r="M11744" s="5"/>
    </row>
    <row r="11745" spans="13:13" ht="15" customHeight="1" x14ac:dyDescent="0.3">
      <c r="M11745" s="5"/>
    </row>
    <row r="11746" spans="13:13" ht="15" customHeight="1" x14ac:dyDescent="0.3">
      <c r="M11746" s="5"/>
    </row>
    <row r="11747" spans="13:13" ht="15" customHeight="1" x14ac:dyDescent="0.3">
      <c r="M11747" s="5"/>
    </row>
    <row r="11748" spans="13:13" ht="15" customHeight="1" x14ac:dyDescent="0.3">
      <c r="M11748" s="5"/>
    </row>
    <row r="11749" spans="13:13" ht="15" customHeight="1" x14ac:dyDescent="0.3">
      <c r="M11749" s="5"/>
    </row>
    <row r="11750" spans="13:13" ht="15" customHeight="1" x14ac:dyDescent="0.3">
      <c r="M11750" s="5"/>
    </row>
    <row r="11751" spans="13:13" ht="15" customHeight="1" x14ac:dyDescent="0.3">
      <c r="M11751" s="5"/>
    </row>
    <row r="11752" spans="13:13" ht="15" customHeight="1" x14ac:dyDescent="0.3">
      <c r="M11752" s="5"/>
    </row>
    <row r="11753" spans="13:13" ht="15" customHeight="1" x14ac:dyDescent="0.3">
      <c r="M11753" s="5"/>
    </row>
    <row r="11754" spans="13:13" ht="15" customHeight="1" x14ac:dyDescent="0.3">
      <c r="M11754" s="5"/>
    </row>
    <row r="11755" spans="13:13" ht="15" customHeight="1" x14ac:dyDescent="0.3">
      <c r="M11755" s="5"/>
    </row>
    <row r="11756" spans="13:13" ht="15" customHeight="1" x14ac:dyDescent="0.3">
      <c r="M11756" s="5"/>
    </row>
    <row r="11757" spans="13:13" ht="15" customHeight="1" x14ac:dyDescent="0.3">
      <c r="M11757" s="5"/>
    </row>
    <row r="11758" spans="13:13" ht="15" customHeight="1" x14ac:dyDescent="0.3">
      <c r="M11758" s="5"/>
    </row>
    <row r="11759" spans="13:13" ht="15" customHeight="1" x14ac:dyDescent="0.3">
      <c r="M11759" s="5"/>
    </row>
    <row r="11760" spans="13:13" ht="15" customHeight="1" x14ac:dyDescent="0.3">
      <c r="M11760" s="5"/>
    </row>
    <row r="11761" spans="13:13" ht="15" customHeight="1" x14ac:dyDescent="0.3">
      <c r="M11761" s="5"/>
    </row>
    <row r="11762" spans="13:13" ht="15" customHeight="1" x14ac:dyDescent="0.3">
      <c r="M11762" s="5"/>
    </row>
    <row r="11763" spans="13:13" ht="15" customHeight="1" x14ac:dyDescent="0.3">
      <c r="M11763" s="5"/>
    </row>
    <row r="11764" spans="13:13" ht="15" customHeight="1" x14ac:dyDescent="0.3">
      <c r="M11764" s="5"/>
    </row>
    <row r="11765" spans="13:13" ht="15" customHeight="1" x14ac:dyDescent="0.3">
      <c r="M11765" s="5"/>
    </row>
    <row r="11766" spans="13:13" ht="15" customHeight="1" x14ac:dyDescent="0.3">
      <c r="M11766" s="5"/>
    </row>
    <row r="11767" spans="13:13" ht="15" customHeight="1" x14ac:dyDescent="0.3">
      <c r="M11767" s="5"/>
    </row>
    <row r="11768" spans="13:13" ht="15" customHeight="1" x14ac:dyDescent="0.3">
      <c r="M11768" s="5"/>
    </row>
    <row r="11769" spans="13:13" ht="15" customHeight="1" x14ac:dyDescent="0.3">
      <c r="M11769" s="5"/>
    </row>
    <row r="11770" spans="13:13" ht="15" customHeight="1" x14ac:dyDescent="0.3">
      <c r="M11770" s="5"/>
    </row>
    <row r="11771" spans="13:13" ht="15" customHeight="1" x14ac:dyDescent="0.3">
      <c r="M11771" s="5"/>
    </row>
    <row r="11772" spans="13:13" ht="15" customHeight="1" x14ac:dyDescent="0.3">
      <c r="M11772" s="5"/>
    </row>
    <row r="11773" spans="13:13" ht="15" customHeight="1" x14ac:dyDescent="0.3">
      <c r="M11773" s="5"/>
    </row>
    <row r="11774" spans="13:13" ht="15" customHeight="1" x14ac:dyDescent="0.3">
      <c r="M11774" s="5"/>
    </row>
    <row r="11775" spans="13:13" ht="15" customHeight="1" x14ac:dyDescent="0.3">
      <c r="M11775" s="5"/>
    </row>
    <row r="11776" spans="13:13" ht="15" customHeight="1" x14ac:dyDescent="0.3">
      <c r="M11776" s="5"/>
    </row>
    <row r="11777" spans="13:13" ht="15" customHeight="1" x14ac:dyDescent="0.3">
      <c r="M11777" s="5"/>
    </row>
    <row r="11778" spans="13:13" ht="15" customHeight="1" x14ac:dyDescent="0.3">
      <c r="M11778" s="5"/>
    </row>
    <row r="11779" spans="13:13" ht="15" customHeight="1" x14ac:dyDescent="0.3">
      <c r="M11779" s="5"/>
    </row>
    <row r="11780" spans="13:13" ht="15" customHeight="1" x14ac:dyDescent="0.3">
      <c r="M11780" s="5"/>
    </row>
    <row r="11781" spans="13:13" ht="15" customHeight="1" x14ac:dyDescent="0.3">
      <c r="M11781" s="5"/>
    </row>
    <row r="11782" spans="13:13" ht="15" customHeight="1" x14ac:dyDescent="0.3">
      <c r="M11782" s="5"/>
    </row>
    <row r="11783" spans="13:13" ht="15" customHeight="1" x14ac:dyDescent="0.3">
      <c r="M11783" s="5"/>
    </row>
    <row r="11784" spans="13:13" ht="15" customHeight="1" x14ac:dyDescent="0.3">
      <c r="M11784" s="5"/>
    </row>
    <row r="11785" spans="13:13" ht="15" customHeight="1" x14ac:dyDescent="0.3">
      <c r="M11785" s="5"/>
    </row>
    <row r="11786" spans="13:13" ht="15" customHeight="1" x14ac:dyDescent="0.3">
      <c r="M11786" s="5"/>
    </row>
    <row r="11787" spans="13:13" ht="15" customHeight="1" x14ac:dyDescent="0.3">
      <c r="M11787" s="5"/>
    </row>
    <row r="11788" spans="13:13" ht="15" customHeight="1" x14ac:dyDescent="0.3">
      <c r="M11788" s="5"/>
    </row>
    <row r="11789" spans="13:13" ht="15" customHeight="1" x14ac:dyDescent="0.3">
      <c r="M11789" s="5"/>
    </row>
    <row r="11790" spans="13:13" ht="15" customHeight="1" x14ac:dyDescent="0.3">
      <c r="M11790" s="5"/>
    </row>
    <row r="11791" spans="13:13" ht="15" customHeight="1" x14ac:dyDescent="0.3">
      <c r="M11791" s="5"/>
    </row>
    <row r="11792" spans="13:13" ht="15" customHeight="1" x14ac:dyDescent="0.3">
      <c r="M11792" s="5"/>
    </row>
    <row r="11793" spans="13:13" ht="15" customHeight="1" x14ac:dyDescent="0.3">
      <c r="M11793" s="5"/>
    </row>
    <row r="11794" spans="13:13" ht="15" customHeight="1" x14ac:dyDescent="0.3">
      <c r="M11794" s="5"/>
    </row>
    <row r="11795" spans="13:13" ht="15" customHeight="1" x14ac:dyDescent="0.3">
      <c r="M11795" s="5"/>
    </row>
    <row r="11796" spans="13:13" ht="15" customHeight="1" x14ac:dyDescent="0.3">
      <c r="M11796" s="5"/>
    </row>
    <row r="11797" spans="13:13" ht="15" customHeight="1" x14ac:dyDescent="0.3">
      <c r="M11797" s="5"/>
    </row>
    <row r="11798" spans="13:13" ht="15" customHeight="1" x14ac:dyDescent="0.3">
      <c r="M11798" s="5"/>
    </row>
    <row r="11799" spans="13:13" ht="15" customHeight="1" x14ac:dyDescent="0.3">
      <c r="M11799" s="5"/>
    </row>
    <row r="11800" spans="13:13" ht="15" customHeight="1" x14ac:dyDescent="0.3">
      <c r="M11800" s="5"/>
    </row>
    <row r="11801" spans="13:13" ht="15" customHeight="1" x14ac:dyDescent="0.3">
      <c r="M11801" s="5"/>
    </row>
    <row r="11802" spans="13:13" ht="15" customHeight="1" x14ac:dyDescent="0.3">
      <c r="M11802" s="5"/>
    </row>
    <row r="11803" spans="13:13" ht="15" customHeight="1" x14ac:dyDescent="0.3">
      <c r="M11803" s="5"/>
    </row>
    <row r="11804" spans="13:13" ht="15" customHeight="1" x14ac:dyDescent="0.3">
      <c r="M11804" s="5"/>
    </row>
    <row r="11805" spans="13:13" ht="15" customHeight="1" x14ac:dyDescent="0.3">
      <c r="M11805" s="5"/>
    </row>
    <row r="11806" spans="13:13" ht="15" customHeight="1" x14ac:dyDescent="0.3">
      <c r="M11806" s="5"/>
    </row>
    <row r="11807" spans="13:13" ht="15" customHeight="1" x14ac:dyDescent="0.3">
      <c r="M11807" s="5"/>
    </row>
    <row r="11808" spans="13:13" ht="15" customHeight="1" x14ac:dyDescent="0.3">
      <c r="M11808" s="5"/>
    </row>
    <row r="11809" spans="13:13" ht="15" customHeight="1" x14ac:dyDescent="0.3">
      <c r="M11809" s="5"/>
    </row>
    <row r="11810" spans="13:13" ht="15" customHeight="1" x14ac:dyDescent="0.3">
      <c r="M11810" s="5"/>
    </row>
    <row r="11811" spans="13:13" ht="15" customHeight="1" x14ac:dyDescent="0.3">
      <c r="M11811" s="5"/>
    </row>
    <row r="11812" spans="13:13" ht="15" customHeight="1" x14ac:dyDescent="0.3">
      <c r="M11812" s="5"/>
    </row>
    <row r="11813" spans="13:13" ht="15" customHeight="1" x14ac:dyDescent="0.3">
      <c r="M11813" s="5"/>
    </row>
    <row r="11814" spans="13:13" ht="15" customHeight="1" x14ac:dyDescent="0.3">
      <c r="M11814" s="5"/>
    </row>
    <row r="11815" spans="13:13" ht="15" customHeight="1" x14ac:dyDescent="0.3">
      <c r="M11815" s="5"/>
    </row>
    <row r="11816" spans="13:13" ht="15" customHeight="1" x14ac:dyDescent="0.3">
      <c r="M11816" s="5"/>
    </row>
    <row r="11817" spans="13:13" ht="15" customHeight="1" x14ac:dyDescent="0.3">
      <c r="M11817" s="5"/>
    </row>
    <row r="11818" spans="13:13" ht="15" customHeight="1" x14ac:dyDescent="0.3">
      <c r="M11818" s="5"/>
    </row>
    <row r="11819" spans="13:13" ht="15" customHeight="1" x14ac:dyDescent="0.3">
      <c r="M11819" s="5"/>
    </row>
    <row r="11820" spans="13:13" ht="15" customHeight="1" x14ac:dyDescent="0.3">
      <c r="M11820" s="5"/>
    </row>
    <row r="11821" spans="13:13" ht="15" customHeight="1" x14ac:dyDescent="0.3">
      <c r="M11821" s="5"/>
    </row>
    <row r="11822" spans="13:13" ht="15" customHeight="1" x14ac:dyDescent="0.3">
      <c r="M11822" s="5"/>
    </row>
    <row r="11823" spans="13:13" ht="15" customHeight="1" x14ac:dyDescent="0.3">
      <c r="M11823" s="5"/>
    </row>
    <row r="11824" spans="13:13" ht="15" customHeight="1" x14ac:dyDescent="0.3">
      <c r="M11824" s="5"/>
    </row>
    <row r="11825" spans="13:13" ht="15" customHeight="1" x14ac:dyDescent="0.3">
      <c r="M11825" s="5"/>
    </row>
    <row r="11826" spans="13:13" ht="15" customHeight="1" x14ac:dyDescent="0.3">
      <c r="M11826" s="5"/>
    </row>
    <row r="11827" spans="13:13" ht="15" customHeight="1" x14ac:dyDescent="0.3">
      <c r="M11827" s="5"/>
    </row>
    <row r="11828" spans="13:13" ht="15" customHeight="1" x14ac:dyDescent="0.3">
      <c r="M11828" s="5"/>
    </row>
    <row r="11829" spans="13:13" ht="15" customHeight="1" x14ac:dyDescent="0.3">
      <c r="M11829" s="5"/>
    </row>
    <row r="11830" spans="13:13" ht="15" customHeight="1" x14ac:dyDescent="0.3">
      <c r="M11830" s="5"/>
    </row>
    <row r="11831" spans="13:13" ht="15" customHeight="1" x14ac:dyDescent="0.3">
      <c r="M11831" s="5"/>
    </row>
    <row r="11832" spans="13:13" ht="15" customHeight="1" x14ac:dyDescent="0.3">
      <c r="M11832" s="5"/>
    </row>
    <row r="11833" spans="13:13" ht="15" customHeight="1" x14ac:dyDescent="0.3">
      <c r="M11833" s="5"/>
    </row>
    <row r="11834" spans="13:13" ht="15" customHeight="1" x14ac:dyDescent="0.3">
      <c r="M11834" s="5"/>
    </row>
    <row r="11835" spans="13:13" ht="15" customHeight="1" x14ac:dyDescent="0.3">
      <c r="M11835" s="5"/>
    </row>
    <row r="11836" spans="13:13" ht="15" customHeight="1" x14ac:dyDescent="0.3">
      <c r="M11836" s="5"/>
    </row>
    <row r="11837" spans="13:13" ht="15" customHeight="1" x14ac:dyDescent="0.3">
      <c r="M11837" s="5"/>
    </row>
    <row r="11838" spans="13:13" ht="15" customHeight="1" x14ac:dyDescent="0.3">
      <c r="M11838" s="5"/>
    </row>
    <row r="11839" spans="13:13" ht="15" customHeight="1" x14ac:dyDescent="0.3">
      <c r="M11839" s="5"/>
    </row>
    <row r="11840" spans="13:13" ht="15" customHeight="1" x14ac:dyDescent="0.3">
      <c r="M11840" s="5"/>
    </row>
    <row r="11841" spans="13:13" ht="15" customHeight="1" x14ac:dyDescent="0.3">
      <c r="M11841" s="5"/>
    </row>
    <row r="11842" spans="13:13" ht="15" customHeight="1" x14ac:dyDescent="0.3">
      <c r="M11842" s="5"/>
    </row>
    <row r="11843" spans="13:13" ht="15" customHeight="1" x14ac:dyDescent="0.3">
      <c r="M11843" s="5"/>
    </row>
    <row r="11844" spans="13:13" ht="15" customHeight="1" x14ac:dyDescent="0.3">
      <c r="M11844" s="5"/>
    </row>
    <row r="11845" spans="13:13" ht="15" customHeight="1" x14ac:dyDescent="0.3">
      <c r="M11845" s="5"/>
    </row>
    <row r="11846" spans="13:13" ht="15" customHeight="1" x14ac:dyDescent="0.3">
      <c r="M11846" s="5"/>
    </row>
    <row r="11847" spans="13:13" ht="15" customHeight="1" x14ac:dyDescent="0.3">
      <c r="M11847" s="5"/>
    </row>
    <row r="11848" spans="13:13" ht="15" customHeight="1" x14ac:dyDescent="0.3">
      <c r="M11848" s="5"/>
    </row>
    <row r="11849" spans="13:13" ht="15" customHeight="1" x14ac:dyDescent="0.3">
      <c r="M11849" s="5"/>
    </row>
    <row r="11850" spans="13:13" ht="15" customHeight="1" x14ac:dyDescent="0.3">
      <c r="M11850" s="5"/>
    </row>
    <row r="11851" spans="13:13" ht="15" customHeight="1" x14ac:dyDescent="0.3">
      <c r="M11851" s="5"/>
    </row>
    <row r="11852" spans="13:13" ht="15" customHeight="1" x14ac:dyDescent="0.3">
      <c r="M11852" s="5"/>
    </row>
    <row r="11853" spans="13:13" ht="15" customHeight="1" x14ac:dyDescent="0.3">
      <c r="M11853" s="5"/>
    </row>
    <row r="11854" spans="13:13" ht="15" customHeight="1" x14ac:dyDescent="0.3">
      <c r="M11854" s="5"/>
    </row>
    <row r="11855" spans="13:13" ht="15" customHeight="1" x14ac:dyDescent="0.3">
      <c r="M11855" s="5"/>
    </row>
    <row r="11856" spans="13:13" ht="15" customHeight="1" x14ac:dyDescent="0.3">
      <c r="M11856" s="5"/>
    </row>
    <row r="11857" spans="13:13" ht="15" customHeight="1" x14ac:dyDescent="0.3">
      <c r="M11857" s="5"/>
    </row>
    <row r="11858" spans="13:13" ht="15" customHeight="1" x14ac:dyDescent="0.3">
      <c r="M11858" s="5"/>
    </row>
    <row r="11859" spans="13:13" ht="15" customHeight="1" x14ac:dyDescent="0.3">
      <c r="M11859" s="5"/>
    </row>
    <row r="11860" spans="13:13" ht="15" customHeight="1" x14ac:dyDescent="0.3">
      <c r="M11860" s="5"/>
    </row>
    <row r="11861" spans="13:13" ht="15" customHeight="1" x14ac:dyDescent="0.3">
      <c r="M11861" s="5"/>
    </row>
    <row r="11862" spans="13:13" ht="15" customHeight="1" x14ac:dyDescent="0.3">
      <c r="M11862" s="5"/>
    </row>
    <row r="11863" spans="13:13" ht="15" customHeight="1" x14ac:dyDescent="0.3">
      <c r="M11863" s="5"/>
    </row>
    <row r="11864" spans="13:13" ht="15" customHeight="1" x14ac:dyDescent="0.3">
      <c r="M11864" s="5"/>
    </row>
    <row r="11865" spans="13:13" ht="15" customHeight="1" x14ac:dyDescent="0.3">
      <c r="M11865" s="5"/>
    </row>
    <row r="11866" spans="13:13" ht="15" customHeight="1" x14ac:dyDescent="0.3">
      <c r="M11866" s="5"/>
    </row>
    <row r="11867" spans="13:13" ht="15" customHeight="1" x14ac:dyDescent="0.3">
      <c r="M11867" s="5"/>
    </row>
    <row r="11868" spans="13:13" ht="15" customHeight="1" x14ac:dyDescent="0.3">
      <c r="M11868" s="5"/>
    </row>
    <row r="11869" spans="13:13" ht="15" customHeight="1" x14ac:dyDescent="0.3">
      <c r="M11869" s="5"/>
    </row>
    <row r="11870" spans="13:13" ht="15" customHeight="1" x14ac:dyDescent="0.3">
      <c r="M11870" s="5"/>
    </row>
    <row r="11871" spans="13:13" ht="15" customHeight="1" x14ac:dyDescent="0.3">
      <c r="M11871" s="5"/>
    </row>
    <row r="11872" spans="13:13" ht="15" customHeight="1" x14ac:dyDescent="0.3">
      <c r="M11872" s="5"/>
    </row>
    <row r="11873" spans="13:13" ht="15" customHeight="1" x14ac:dyDescent="0.3">
      <c r="M11873" s="5"/>
    </row>
    <row r="11874" spans="13:13" ht="15" customHeight="1" x14ac:dyDescent="0.3">
      <c r="M11874" s="5"/>
    </row>
    <row r="11875" spans="13:13" ht="15" customHeight="1" x14ac:dyDescent="0.3">
      <c r="M11875" s="5"/>
    </row>
    <row r="11876" spans="13:13" ht="15" customHeight="1" x14ac:dyDescent="0.3">
      <c r="M11876" s="5"/>
    </row>
    <row r="11877" spans="13:13" ht="15" customHeight="1" x14ac:dyDescent="0.3">
      <c r="M11877" s="5"/>
    </row>
    <row r="11878" spans="13:13" ht="15" customHeight="1" x14ac:dyDescent="0.3">
      <c r="M11878" s="5"/>
    </row>
    <row r="11879" spans="13:13" ht="15" customHeight="1" x14ac:dyDescent="0.3">
      <c r="M11879" s="5"/>
    </row>
    <row r="11880" spans="13:13" ht="15" customHeight="1" x14ac:dyDescent="0.3">
      <c r="M11880" s="5"/>
    </row>
    <row r="11881" spans="13:13" ht="15" customHeight="1" x14ac:dyDescent="0.3">
      <c r="M11881" s="5"/>
    </row>
    <row r="11882" spans="13:13" ht="15" customHeight="1" x14ac:dyDescent="0.3">
      <c r="M11882" s="5"/>
    </row>
    <row r="11883" spans="13:13" ht="15" customHeight="1" x14ac:dyDescent="0.3">
      <c r="M11883" s="5"/>
    </row>
    <row r="11884" spans="13:13" ht="15" customHeight="1" x14ac:dyDescent="0.3">
      <c r="M11884" s="5"/>
    </row>
    <row r="11885" spans="13:13" ht="15" customHeight="1" x14ac:dyDescent="0.3">
      <c r="M11885" s="5"/>
    </row>
    <row r="11886" spans="13:13" ht="15" customHeight="1" x14ac:dyDescent="0.3">
      <c r="M11886" s="5"/>
    </row>
    <row r="11887" spans="13:13" ht="15" customHeight="1" x14ac:dyDescent="0.3">
      <c r="M11887" s="5"/>
    </row>
    <row r="11888" spans="13:13" ht="15" customHeight="1" x14ac:dyDescent="0.3">
      <c r="M11888" s="5"/>
    </row>
    <row r="11889" spans="13:13" ht="15" customHeight="1" x14ac:dyDescent="0.3">
      <c r="M11889" s="5"/>
    </row>
    <row r="11890" spans="13:13" ht="15" customHeight="1" x14ac:dyDescent="0.3">
      <c r="M11890" s="5"/>
    </row>
    <row r="11891" spans="13:13" ht="15" customHeight="1" x14ac:dyDescent="0.3">
      <c r="M11891" s="5"/>
    </row>
    <row r="11892" spans="13:13" ht="15" customHeight="1" x14ac:dyDescent="0.3">
      <c r="M11892" s="5"/>
    </row>
    <row r="11893" spans="13:13" ht="15" customHeight="1" x14ac:dyDescent="0.3">
      <c r="M11893" s="5"/>
    </row>
    <row r="11894" spans="13:13" ht="15" customHeight="1" x14ac:dyDescent="0.3">
      <c r="M11894" s="5"/>
    </row>
    <row r="11895" spans="13:13" ht="15" customHeight="1" x14ac:dyDescent="0.3">
      <c r="M11895" s="5"/>
    </row>
    <row r="11896" spans="13:13" ht="15" customHeight="1" x14ac:dyDescent="0.3">
      <c r="M11896" s="5"/>
    </row>
    <row r="11897" spans="13:13" ht="15" customHeight="1" x14ac:dyDescent="0.3">
      <c r="M11897" s="5"/>
    </row>
    <row r="11898" spans="13:13" ht="15" customHeight="1" x14ac:dyDescent="0.3">
      <c r="M11898" s="5"/>
    </row>
    <row r="11899" spans="13:13" ht="15" customHeight="1" x14ac:dyDescent="0.3">
      <c r="M11899" s="5"/>
    </row>
    <row r="11900" spans="13:13" ht="15" customHeight="1" x14ac:dyDescent="0.3">
      <c r="M11900" s="5"/>
    </row>
    <row r="11901" spans="13:13" ht="15" customHeight="1" x14ac:dyDescent="0.3">
      <c r="M11901" s="5"/>
    </row>
    <row r="11902" spans="13:13" ht="15" customHeight="1" x14ac:dyDescent="0.3">
      <c r="M11902" s="5"/>
    </row>
    <row r="11903" spans="13:13" ht="15" customHeight="1" x14ac:dyDescent="0.3">
      <c r="M11903" s="5"/>
    </row>
    <row r="11904" spans="13:13" ht="15" customHeight="1" x14ac:dyDescent="0.3">
      <c r="M11904" s="5"/>
    </row>
    <row r="11905" spans="13:13" ht="15" customHeight="1" x14ac:dyDescent="0.3">
      <c r="M11905" s="5"/>
    </row>
    <row r="11906" spans="13:13" ht="15" customHeight="1" x14ac:dyDescent="0.3">
      <c r="M11906" s="5"/>
    </row>
    <row r="11907" spans="13:13" ht="15" customHeight="1" x14ac:dyDescent="0.3">
      <c r="M11907" s="5"/>
    </row>
    <row r="11908" spans="13:13" ht="15" customHeight="1" x14ac:dyDescent="0.3">
      <c r="M11908" s="5"/>
    </row>
    <row r="11909" spans="13:13" ht="15" customHeight="1" x14ac:dyDescent="0.3">
      <c r="M11909" s="5"/>
    </row>
    <row r="11910" spans="13:13" ht="15" customHeight="1" x14ac:dyDescent="0.3">
      <c r="M11910" s="5"/>
    </row>
    <row r="11911" spans="13:13" ht="15" customHeight="1" x14ac:dyDescent="0.3">
      <c r="M11911" s="5"/>
    </row>
    <row r="11912" spans="13:13" ht="15" customHeight="1" x14ac:dyDescent="0.3">
      <c r="M11912" s="5"/>
    </row>
    <row r="11913" spans="13:13" ht="15" customHeight="1" x14ac:dyDescent="0.3">
      <c r="M11913" s="5"/>
    </row>
    <row r="11914" spans="13:13" ht="15" customHeight="1" x14ac:dyDescent="0.3">
      <c r="M11914" s="5"/>
    </row>
    <row r="11915" spans="13:13" ht="15" customHeight="1" x14ac:dyDescent="0.3">
      <c r="M11915" s="5"/>
    </row>
    <row r="11916" spans="13:13" ht="15" customHeight="1" x14ac:dyDescent="0.3">
      <c r="M11916" s="5"/>
    </row>
    <row r="11917" spans="13:13" ht="15" customHeight="1" x14ac:dyDescent="0.3">
      <c r="M11917" s="5"/>
    </row>
    <row r="11918" spans="13:13" ht="15" customHeight="1" x14ac:dyDescent="0.3">
      <c r="M11918" s="5"/>
    </row>
    <row r="11919" spans="13:13" ht="15" customHeight="1" x14ac:dyDescent="0.3">
      <c r="M11919" s="5"/>
    </row>
    <row r="11920" spans="13:13" ht="15" customHeight="1" x14ac:dyDescent="0.3">
      <c r="M11920" s="5"/>
    </row>
    <row r="11921" spans="13:13" ht="15" customHeight="1" x14ac:dyDescent="0.3">
      <c r="M11921" s="5"/>
    </row>
    <row r="11922" spans="13:13" ht="15" customHeight="1" x14ac:dyDescent="0.3">
      <c r="M11922" s="5"/>
    </row>
    <row r="11923" spans="13:13" ht="15" customHeight="1" x14ac:dyDescent="0.3">
      <c r="M11923" s="5"/>
    </row>
    <row r="11924" spans="13:13" ht="15" customHeight="1" x14ac:dyDescent="0.3">
      <c r="M11924" s="5"/>
    </row>
    <row r="11925" spans="13:13" ht="15" customHeight="1" x14ac:dyDescent="0.3">
      <c r="M11925" s="5"/>
    </row>
    <row r="11926" spans="13:13" ht="15" customHeight="1" x14ac:dyDescent="0.3">
      <c r="M11926" s="5"/>
    </row>
    <row r="11927" spans="13:13" ht="15" customHeight="1" x14ac:dyDescent="0.3">
      <c r="M11927" s="5"/>
    </row>
    <row r="11928" spans="13:13" ht="15" customHeight="1" x14ac:dyDescent="0.3">
      <c r="M11928" s="5"/>
    </row>
    <row r="11929" spans="13:13" ht="15" customHeight="1" x14ac:dyDescent="0.3">
      <c r="M11929" s="5"/>
    </row>
    <row r="11930" spans="13:13" ht="15" customHeight="1" x14ac:dyDescent="0.3">
      <c r="M11930" s="5"/>
    </row>
    <row r="11931" spans="13:13" ht="15" customHeight="1" x14ac:dyDescent="0.3">
      <c r="M11931" s="5"/>
    </row>
    <row r="11932" spans="13:13" ht="15" customHeight="1" x14ac:dyDescent="0.3">
      <c r="M11932" s="5"/>
    </row>
    <row r="11933" spans="13:13" ht="15" customHeight="1" x14ac:dyDescent="0.3">
      <c r="M11933" s="5"/>
    </row>
    <row r="11934" spans="13:13" ht="15" customHeight="1" x14ac:dyDescent="0.3">
      <c r="M11934" s="5"/>
    </row>
    <row r="11935" spans="13:13" ht="15" customHeight="1" x14ac:dyDescent="0.3">
      <c r="M11935" s="5"/>
    </row>
    <row r="11936" spans="13:13" ht="15" customHeight="1" x14ac:dyDescent="0.3">
      <c r="M11936" s="5"/>
    </row>
    <row r="11937" spans="13:13" ht="15" customHeight="1" x14ac:dyDescent="0.3">
      <c r="M11937" s="5"/>
    </row>
    <row r="11938" spans="13:13" ht="15" customHeight="1" x14ac:dyDescent="0.3">
      <c r="M11938" s="5"/>
    </row>
    <row r="11939" spans="13:13" ht="15" customHeight="1" x14ac:dyDescent="0.3">
      <c r="M11939" s="5"/>
    </row>
    <row r="11940" spans="13:13" ht="15" customHeight="1" x14ac:dyDescent="0.3">
      <c r="M11940" s="5"/>
    </row>
    <row r="11941" spans="13:13" ht="15" customHeight="1" x14ac:dyDescent="0.3">
      <c r="M11941" s="5"/>
    </row>
    <row r="11942" spans="13:13" ht="15" customHeight="1" x14ac:dyDescent="0.3">
      <c r="M11942" s="5"/>
    </row>
    <row r="11943" spans="13:13" ht="15" customHeight="1" x14ac:dyDescent="0.3">
      <c r="M11943" s="5"/>
    </row>
    <row r="11944" spans="13:13" ht="15" customHeight="1" x14ac:dyDescent="0.3">
      <c r="M11944" s="5"/>
    </row>
    <row r="11945" spans="13:13" ht="15" customHeight="1" x14ac:dyDescent="0.3">
      <c r="M11945" s="5"/>
    </row>
    <row r="11946" spans="13:13" ht="15" customHeight="1" x14ac:dyDescent="0.3">
      <c r="M11946" s="5"/>
    </row>
    <row r="11947" spans="13:13" ht="15" customHeight="1" x14ac:dyDescent="0.3">
      <c r="M11947" s="5"/>
    </row>
    <row r="11948" spans="13:13" ht="15" customHeight="1" x14ac:dyDescent="0.3">
      <c r="M11948" s="5"/>
    </row>
    <row r="11949" spans="13:13" ht="15" customHeight="1" x14ac:dyDescent="0.3">
      <c r="M11949" s="5"/>
    </row>
    <row r="11950" spans="13:13" ht="15" customHeight="1" x14ac:dyDescent="0.3">
      <c r="M11950" s="5"/>
    </row>
    <row r="11951" spans="13:13" ht="15" customHeight="1" x14ac:dyDescent="0.3">
      <c r="M11951" s="5"/>
    </row>
    <row r="11952" spans="13:13" ht="15" customHeight="1" x14ac:dyDescent="0.3">
      <c r="M11952" s="5"/>
    </row>
    <row r="11953" spans="13:13" ht="15" customHeight="1" x14ac:dyDescent="0.3">
      <c r="M11953" s="5"/>
    </row>
    <row r="11954" spans="13:13" ht="15" customHeight="1" x14ac:dyDescent="0.3">
      <c r="M11954" s="5"/>
    </row>
    <row r="11955" spans="13:13" ht="15" customHeight="1" x14ac:dyDescent="0.3">
      <c r="M11955" s="5"/>
    </row>
    <row r="11956" spans="13:13" ht="15" customHeight="1" x14ac:dyDescent="0.3">
      <c r="M11956" s="5"/>
    </row>
    <row r="11957" spans="13:13" ht="15" customHeight="1" x14ac:dyDescent="0.3">
      <c r="M11957" s="5"/>
    </row>
    <row r="11958" spans="13:13" ht="15" customHeight="1" x14ac:dyDescent="0.3">
      <c r="M11958" s="5"/>
    </row>
    <row r="11959" spans="13:13" ht="15" customHeight="1" x14ac:dyDescent="0.3">
      <c r="M11959" s="5"/>
    </row>
    <row r="11960" spans="13:13" ht="15" customHeight="1" x14ac:dyDescent="0.3">
      <c r="M11960" s="5"/>
    </row>
    <row r="11961" spans="13:13" ht="15" customHeight="1" x14ac:dyDescent="0.3">
      <c r="M11961" s="5"/>
    </row>
    <row r="11962" spans="13:13" ht="15" customHeight="1" x14ac:dyDescent="0.3">
      <c r="M11962" s="5"/>
    </row>
    <row r="11963" spans="13:13" ht="15" customHeight="1" x14ac:dyDescent="0.3">
      <c r="M11963" s="5"/>
    </row>
    <row r="11964" spans="13:13" ht="15" customHeight="1" x14ac:dyDescent="0.3">
      <c r="M11964" s="5"/>
    </row>
    <row r="11965" spans="13:13" ht="15" customHeight="1" x14ac:dyDescent="0.3">
      <c r="M11965" s="5"/>
    </row>
    <row r="11966" spans="13:13" ht="15" customHeight="1" x14ac:dyDescent="0.3">
      <c r="M11966" s="5"/>
    </row>
    <row r="11967" spans="13:13" ht="15" customHeight="1" x14ac:dyDescent="0.3">
      <c r="M11967" s="5"/>
    </row>
    <row r="11968" spans="13:13" ht="15" customHeight="1" x14ac:dyDescent="0.3">
      <c r="M11968" s="5"/>
    </row>
    <row r="11969" spans="13:13" ht="15" customHeight="1" x14ac:dyDescent="0.3">
      <c r="M11969" s="5"/>
    </row>
    <row r="11970" spans="13:13" ht="15" customHeight="1" x14ac:dyDescent="0.3">
      <c r="M11970" s="5"/>
    </row>
    <row r="11971" spans="13:13" ht="15" customHeight="1" x14ac:dyDescent="0.3">
      <c r="M11971" s="5"/>
    </row>
    <row r="11972" spans="13:13" ht="15" customHeight="1" x14ac:dyDescent="0.3">
      <c r="M11972" s="5"/>
    </row>
    <row r="11973" spans="13:13" ht="15" customHeight="1" x14ac:dyDescent="0.3">
      <c r="M11973" s="5"/>
    </row>
    <row r="11974" spans="13:13" ht="15" customHeight="1" x14ac:dyDescent="0.3">
      <c r="M11974" s="5"/>
    </row>
    <row r="11975" spans="13:13" ht="15" customHeight="1" x14ac:dyDescent="0.3">
      <c r="M11975" s="5"/>
    </row>
    <row r="11976" spans="13:13" ht="15" customHeight="1" x14ac:dyDescent="0.3">
      <c r="M11976" s="5"/>
    </row>
    <row r="11977" spans="13:13" ht="15" customHeight="1" x14ac:dyDescent="0.3">
      <c r="M11977" s="5"/>
    </row>
    <row r="11978" spans="13:13" ht="15" customHeight="1" x14ac:dyDescent="0.3">
      <c r="M11978" s="5"/>
    </row>
    <row r="11979" spans="13:13" ht="15" customHeight="1" x14ac:dyDescent="0.3">
      <c r="M11979" s="5"/>
    </row>
    <row r="11980" spans="13:13" ht="15" customHeight="1" x14ac:dyDescent="0.3">
      <c r="M11980" s="5"/>
    </row>
    <row r="11981" spans="13:13" ht="15" customHeight="1" x14ac:dyDescent="0.3">
      <c r="M11981" s="5"/>
    </row>
    <row r="11982" spans="13:13" ht="15" customHeight="1" x14ac:dyDescent="0.3">
      <c r="M11982" s="5"/>
    </row>
    <row r="11983" spans="13:13" ht="15" customHeight="1" x14ac:dyDescent="0.3">
      <c r="M11983" s="5"/>
    </row>
    <row r="11984" spans="13:13" ht="15" customHeight="1" x14ac:dyDescent="0.3">
      <c r="M11984" s="5"/>
    </row>
    <row r="11985" spans="13:13" ht="15" customHeight="1" x14ac:dyDescent="0.3">
      <c r="M11985" s="5"/>
    </row>
    <row r="11986" spans="13:13" ht="15" customHeight="1" x14ac:dyDescent="0.3">
      <c r="M11986" s="5"/>
    </row>
    <row r="11987" spans="13:13" ht="15" customHeight="1" x14ac:dyDescent="0.3">
      <c r="M11987" s="5"/>
    </row>
    <row r="11988" spans="13:13" ht="15" customHeight="1" x14ac:dyDescent="0.3">
      <c r="M11988" s="5"/>
    </row>
    <row r="11989" spans="13:13" ht="15" customHeight="1" x14ac:dyDescent="0.3">
      <c r="M11989" s="5"/>
    </row>
    <row r="11990" spans="13:13" ht="15" customHeight="1" x14ac:dyDescent="0.3">
      <c r="M11990" s="5"/>
    </row>
    <row r="11991" spans="13:13" ht="15" customHeight="1" x14ac:dyDescent="0.3">
      <c r="M11991" s="5"/>
    </row>
    <row r="11992" spans="13:13" ht="15" customHeight="1" x14ac:dyDescent="0.3">
      <c r="M11992" s="5"/>
    </row>
    <row r="11993" spans="13:13" ht="15" customHeight="1" x14ac:dyDescent="0.3">
      <c r="M11993" s="5"/>
    </row>
    <row r="11994" spans="13:13" ht="15" customHeight="1" x14ac:dyDescent="0.3">
      <c r="M11994" s="5"/>
    </row>
    <row r="11995" spans="13:13" ht="15" customHeight="1" x14ac:dyDescent="0.3">
      <c r="M11995" s="5"/>
    </row>
    <row r="11996" spans="13:13" ht="15" customHeight="1" x14ac:dyDescent="0.3">
      <c r="M11996" s="5"/>
    </row>
    <row r="11997" spans="13:13" ht="15" customHeight="1" x14ac:dyDescent="0.3">
      <c r="M11997" s="5"/>
    </row>
    <row r="11998" spans="13:13" ht="15" customHeight="1" x14ac:dyDescent="0.3">
      <c r="M11998" s="5"/>
    </row>
    <row r="11999" spans="13:13" ht="15" customHeight="1" x14ac:dyDescent="0.3">
      <c r="M11999" s="5"/>
    </row>
    <row r="12000" spans="13:13" ht="15" customHeight="1" x14ac:dyDescent="0.3">
      <c r="M12000" s="5"/>
    </row>
    <row r="12001" spans="13:13" ht="15" customHeight="1" x14ac:dyDescent="0.3">
      <c r="M12001" s="5"/>
    </row>
    <row r="12002" spans="13:13" ht="15" customHeight="1" x14ac:dyDescent="0.3">
      <c r="M12002" s="5"/>
    </row>
    <row r="12003" spans="13:13" ht="15" customHeight="1" x14ac:dyDescent="0.3">
      <c r="M12003" s="5"/>
    </row>
    <row r="12004" spans="13:13" ht="15" customHeight="1" x14ac:dyDescent="0.3">
      <c r="M12004" s="5"/>
    </row>
    <row r="12005" spans="13:13" ht="15" customHeight="1" x14ac:dyDescent="0.3">
      <c r="M12005" s="5"/>
    </row>
    <row r="12006" spans="13:13" ht="15" customHeight="1" x14ac:dyDescent="0.3">
      <c r="M12006" s="5"/>
    </row>
    <row r="12007" spans="13:13" ht="15" customHeight="1" x14ac:dyDescent="0.3">
      <c r="M12007" s="5"/>
    </row>
    <row r="12008" spans="13:13" ht="15" customHeight="1" x14ac:dyDescent="0.3">
      <c r="M12008" s="5"/>
    </row>
    <row r="12009" spans="13:13" ht="15" customHeight="1" x14ac:dyDescent="0.3">
      <c r="M12009" s="5"/>
    </row>
    <row r="12010" spans="13:13" ht="15" customHeight="1" x14ac:dyDescent="0.3">
      <c r="M12010" s="5"/>
    </row>
    <row r="12011" spans="13:13" ht="15" customHeight="1" x14ac:dyDescent="0.3">
      <c r="M12011" s="5"/>
    </row>
    <row r="12012" spans="13:13" ht="15" customHeight="1" x14ac:dyDescent="0.3">
      <c r="M12012" s="5"/>
    </row>
    <row r="12013" spans="13:13" ht="15" customHeight="1" x14ac:dyDescent="0.3">
      <c r="M12013" s="5"/>
    </row>
    <row r="12014" spans="13:13" ht="15" customHeight="1" x14ac:dyDescent="0.3">
      <c r="M12014" s="5"/>
    </row>
    <row r="12015" spans="13:13" ht="15" customHeight="1" x14ac:dyDescent="0.3">
      <c r="M12015" s="5"/>
    </row>
    <row r="12016" spans="13:13" ht="15" customHeight="1" x14ac:dyDescent="0.3">
      <c r="M12016" s="5"/>
    </row>
    <row r="12017" spans="13:13" ht="15" customHeight="1" x14ac:dyDescent="0.3">
      <c r="M12017" s="5"/>
    </row>
    <row r="12018" spans="13:13" ht="15" customHeight="1" x14ac:dyDescent="0.3">
      <c r="M12018" s="5"/>
    </row>
    <row r="12019" spans="13:13" ht="15" customHeight="1" x14ac:dyDescent="0.3">
      <c r="M12019" s="5"/>
    </row>
    <row r="12020" spans="13:13" ht="15" customHeight="1" x14ac:dyDescent="0.3">
      <c r="M12020" s="5"/>
    </row>
    <row r="12021" spans="13:13" ht="15" customHeight="1" x14ac:dyDescent="0.3">
      <c r="M12021" s="5"/>
    </row>
    <row r="12022" spans="13:13" ht="15" customHeight="1" x14ac:dyDescent="0.3">
      <c r="M12022" s="5"/>
    </row>
    <row r="12023" spans="13:13" ht="15" customHeight="1" x14ac:dyDescent="0.3">
      <c r="M12023" s="5"/>
    </row>
    <row r="12024" spans="13:13" ht="15" customHeight="1" x14ac:dyDescent="0.3">
      <c r="M12024" s="5"/>
    </row>
    <row r="12025" spans="13:13" ht="15" customHeight="1" x14ac:dyDescent="0.3">
      <c r="M12025" s="5"/>
    </row>
    <row r="12026" spans="13:13" ht="15" customHeight="1" x14ac:dyDescent="0.3">
      <c r="M12026" s="5"/>
    </row>
    <row r="12027" spans="13:13" ht="15" customHeight="1" x14ac:dyDescent="0.3">
      <c r="M12027" s="5"/>
    </row>
    <row r="12028" spans="13:13" ht="15" customHeight="1" x14ac:dyDescent="0.3">
      <c r="M12028" s="5"/>
    </row>
    <row r="12029" spans="13:13" ht="15" customHeight="1" x14ac:dyDescent="0.3">
      <c r="M12029" s="5"/>
    </row>
    <row r="12030" spans="13:13" ht="15" customHeight="1" x14ac:dyDescent="0.3">
      <c r="M12030" s="5"/>
    </row>
    <row r="12031" spans="13:13" ht="15" customHeight="1" x14ac:dyDescent="0.3">
      <c r="M12031" s="5"/>
    </row>
    <row r="12032" spans="13:13" ht="15" customHeight="1" x14ac:dyDescent="0.3">
      <c r="M12032" s="5"/>
    </row>
    <row r="12033" spans="13:13" ht="15" customHeight="1" x14ac:dyDescent="0.3">
      <c r="M12033" s="5"/>
    </row>
    <row r="12034" spans="13:13" ht="15" customHeight="1" x14ac:dyDescent="0.3">
      <c r="M12034" s="5"/>
    </row>
    <row r="12035" spans="13:13" ht="15" customHeight="1" x14ac:dyDescent="0.3">
      <c r="M12035" s="5"/>
    </row>
    <row r="12036" spans="13:13" ht="15" customHeight="1" x14ac:dyDescent="0.3">
      <c r="M12036" s="5"/>
    </row>
    <row r="12037" spans="13:13" ht="15" customHeight="1" x14ac:dyDescent="0.3">
      <c r="M12037" s="5"/>
    </row>
    <row r="12038" spans="13:13" ht="15" customHeight="1" x14ac:dyDescent="0.3">
      <c r="M12038" s="5"/>
    </row>
    <row r="12039" spans="13:13" ht="15" customHeight="1" x14ac:dyDescent="0.3">
      <c r="M12039" s="5"/>
    </row>
    <row r="12040" spans="13:13" ht="15" customHeight="1" x14ac:dyDescent="0.3">
      <c r="M12040" s="5"/>
    </row>
    <row r="12041" spans="13:13" ht="15" customHeight="1" x14ac:dyDescent="0.3">
      <c r="M12041" s="5"/>
    </row>
    <row r="12042" spans="13:13" ht="15" customHeight="1" x14ac:dyDescent="0.3">
      <c r="M12042" s="5"/>
    </row>
    <row r="12043" spans="13:13" ht="15" customHeight="1" x14ac:dyDescent="0.3">
      <c r="M12043" s="5"/>
    </row>
    <row r="12044" spans="13:13" ht="15" customHeight="1" x14ac:dyDescent="0.3">
      <c r="M12044" s="5"/>
    </row>
    <row r="12045" spans="13:13" ht="15" customHeight="1" x14ac:dyDescent="0.3">
      <c r="M12045" s="5"/>
    </row>
    <row r="12046" spans="13:13" ht="15" customHeight="1" x14ac:dyDescent="0.3">
      <c r="M12046" s="5"/>
    </row>
    <row r="12047" spans="13:13" ht="15" customHeight="1" x14ac:dyDescent="0.3">
      <c r="M12047" s="5"/>
    </row>
    <row r="12048" spans="13:13" ht="15" customHeight="1" x14ac:dyDescent="0.3">
      <c r="M12048" s="5"/>
    </row>
    <row r="12049" spans="13:13" ht="15" customHeight="1" x14ac:dyDescent="0.3">
      <c r="M12049" s="5"/>
    </row>
    <row r="12050" spans="13:13" ht="15" customHeight="1" x14ac:dyDescent="0.3">
      <c r="M12050" s="5"/>
    </row>
    <row r="12051" spans="13:13" ht="15" customHeight="1" x14ac:dyDescent="0.3">
      <c r="M12051" s="5"/>
    </row>
    <row r="12052" spans="13:13" ht="15" customHeight="1" x14ac:dyDescent="0.3">
      <c r="M12052" s="5"/>
    </row>
    <row r="12053" spans="13:13" ht="15" customHeight="1" x14ac:dyDescent="0.3">
      <c r="M12053" s="5"/>
    </row>
    <row r="12054" spans="13:13" ht="15" customHeight="1" x14ac:dyDescent="0.3">
      <c r="M12054" s="5"/>
    </row>
    <row r="12055" spans="13:13" ht="15" customHeight="1" x14ac:dyDescent="0.3">
      <c r="M12055" s="5"/>
    </row>
    <row r="12056" spans="13:13" ht="15" customHeight="1" x14ac:dyDescent="0.3">
      <c r="M12056" s="5"/>
    </row>
    <row r="12057" spans="13:13" ht="15" customHeight="1" x14ac:dyDescent="0.3">
      <c r="M12057" s="5"/>
    </row>
    <row r="12058" spans="13:13" ht="15" customHeight="1" x14ac:dyDescent="0.3">
      <c r="M12058" s="5"/>
    </row>
    <row r="12059" spans="13:13" ht="15" customHeight="1" x14ac:dyDescent="0.3">
      <c r="M12059" s="5"/>
    </row>
    <row r="12060" spans="13:13" ht="15" customHeight="1" x14ac:dyDescent="0.3">
      <c r="M12060" s="5"/>
    </row>
    <row r="12061" spans="13:13" ht="15" customHeight="1" x14ac:dyDescent="0.3">
      <c r="M12061" s="5"/>
    </row>
    <row r="12062" spans="13:13" ht="15" customHeight="1" x14ac:dyDescent="0.3">
      <c r="M12062" s="5"/>
    </row>
    <row r="12063" spans="13:13" ht="15" customHeight="1" x14ac:dyDescent="0.3">
      <c r="M12063" s="5"/>
    </row>
    <row r="12064" spans="13:13" ht="15" customHeight="1" x14ac:dyDescent="0.3">
      <c r="M12064" s="5"/>
    </row>
    <row r="12065" spans="13:13" ht="15" customHeight="1" x14ac:dyDescent="0.3">
      <c r="M12065" s="5"/>
    </row>
    <row r="12066" spans="13:13" ht="15" customHeight="1" x14ac:dyDescent="0.3">
      <c r="M12066" s="5"/>
    </row>
    <row r="12067" spans="13:13" ht="15" customHeight="1" x14ac:dyDescent="0.3">
      <c r="M12067" s="5"/>
    </row>
    <row r="12068" spans="13:13" ht="15" customHeight="1" x14ac:dyDescent="0.3">
      <c r="M12068" s="5"/>
    </row>
    <row r="12069" spans="13:13" ht="15" customHeight="1" x14ac:dyDescent="0.3">
      <c r="M12069" s="5"/>
    </row>
    <row r="12070" spans="13:13" ht="15" customHeight="1" x14ac:dyDescent="0.3">
      <c r="M12070" s="5"/>
    </row>
    <row r="12071" spans="13:13" ht="15" customHeight="1" x14ac:dyDescent="0.3">
      <c r="M12071" s="5"/>
    </row>
    <row r="12072" spans="13:13" ht="15" customHeight="1" x14ac:dyDescent="0.3">
      <c r="M12072" s="5"/>
    </row>
    <row r="12073" spans="13:13" ht="15" customHeight="1" x14ac:dyDescent="0.3">
      <c r="M12073" s="5"/>
    </row>
    <row r="12074" spans="13:13" ht="15" customHeight="1" x14ac:dyDescent="0.3">
      <c r="M12074" s="5"/>
    </row>
    <row r="12075" spans="13:13" ht="15" customHeight="1" x14ac:dyDescent="0.3">
      <c r="M12075" s="5"/>
    </row>
    <row r="12076" spans="13:13" ht="15" customHeight="1" x14ac:dyDescent="0.3">
      <c r="M12076" s="5"/>
    </row>
    <row r="12077" spans="13:13" ht="15" customHeight="1" x14ac:dyDescent="0.3">
      <c r="M12077" s="5"/>
    </row>
    <row r="12078" spans="13:13" ht="15" customHeight="1" x14ac:dyDescent="0.3">
      <c r="M12078" s="5"/>
    </row>
    <row r="12079" spans="13:13" ht="15" customHeight="1" x14ac:dyDescent="0.3">
      <c r="M12079" s="5"/>
    </row>
    <row r="12080" spans="13:13" ht="15" customHeight="1" x14ac:dyDescent="0.3">
      <c r="M12080" s="5"/>
    </row>
    <row r="12081" spans="13:13" ht="15" customHeight="1" x14ac:dyDescent="0.3">
      <c r="M12081" s="5"/>
    </row>
    <row r="12082" spans="13:13" ht="15" customHeight="1" x14ac:dyDescent="0.3">
      <c r="M12082" s="5"/>
    </row>
    <row r="12083" spans="13:13" ht="15" customHeight="1" x14ac:dyDescent="0.3">
      <c r="M12083" s="5"/>
    </row>
    <row r="12084" spans="13:13" ht="15" customHeight="1" x14ac:dyDescent="0.3">
      <c r="M12084" s="5"/>
    </row>
    <row r="12085" spans="13:13" ht="15" customHeight="1" x14ac:dyDescent="0.3">
      <c r="M12085" s="5"/>
    </row>
    <row r="12086" spans="13:13" ht="15" customHeight="1" x14ac:dyDescent="0.3">
      <c r="M12086" s="5"/>
    </row>
    <row r="12087" spans="13:13" ht="15" customHeight="1" x14ac:dyDescent="0.3">
      <c r="M12087" s="5"/>
    </row>
    <row r="12088" spans="13:13" ht="15" customHeight="1" x14ac:dyDescent="0.3">
      <c r="M12088" s="5"/>
    </row>
    <row r="12089" spans="13:13" ht="15" customHeight="1" x14ac:dyDescent="0.3">
      <c r="M12089" s="5"/>
    </row>
    <row r="12090" spans="13:13" ht="15" customHeight="1" x14ac:dyDescent="0.3">
      <c r="M12090" s="5"/>
    </row>
    <row r="12091" spans="13:13" ht="15" customHeight="1" x14ac:dyDescent="0.3">
      <c r="M12091" s="5"/>
    </row>
    <row r="12092" spans="13:13" ht="15" customHeight="1" x14ac:dyDescent="0.3">
      <c r="M12092" s="5"/>
    </row>
    <row r="12093" spans="13:13" ht="15" customHeight="1" x14ac:dyDescent="0.3">
      <c r="M12093" s="5"/>
    </row>
    <row r="12094" spans="13:13" ht="15" customHeight="1" x14ac:dyDescent="0.3">
      <c r="M12094" s="5"/>
    </row>
    <row r="12095" spans="13:13" ht="15" customHeight="1" x14ac:dyDescent="0.3">
      <c r="M12095" s="5"/>
    </row>
    <row r="12096" spans="13:13" ht="15" customHeight="1" x14ac:dyDescent="0.3">
      <c r="M12096" s="5"/>
    </row>
    <row r="12097" spans="13:13" ht="15" customHeight="1" x14ac:dyDescent="0.3">
      <c r="M12097" s="5"/>
    </row>
    <row r="12098" spans="13:13" ht="15" customHeight="1" x14ac:dyDescent="0.3">
      <c r="M12098" s="5"/>
    </row>
    <row r="12099" spans="13:13" ht="15" customHeight="1" x14ac:dyDescent="0.3">
      <c r="M12099" s="5"/>
    </row>
    <row r="12100" spans="13:13" ht="15" customHeight="1" x14ac:dyDescent="0.3">
      <c r="M12100" s="5"/>
    </row>
    <row r="12101" spans="13:13" ht="15" customHeight="1" x14ac:dyDescent="0.3">
      <c r="M12101" s="5"/>
    </row>
    <row r="12102" spans="13:13" ht="15" customHeight="1" x14ac:dyDescent="0.3">
      <c r="M12102" s="5"/>
    </row>
    <row r="12103" spans="13:13" ht="15" customHeight="1" x14ac:dyDescent="0.3">
      <c r="M12103" s="5"/>
    </row>
    <row r="12104" spans="13:13" ht="15" customHeight="1" x14ac:dyDescent="0.3">
      <c r="M12104" s="5"/>
    </row>
    <row r="12105" spans="13:13" ht="15" customHeight="1" x14ac:dyDescent="0.3">
      <c r="M12105" s="5"/>
    </row>
    <row r="12106" spans="13:13" ht="15" customHeight="1" x14ac:dyDescent="0.3">
      <c r="M12106" s="5"/>
    </row>
    <row r="12107" spans="13:13" ht="15" customHeight="1" x14ac:dyDescent="0.3">
      <c r="M12107" s="5"/>
    </row>
    <row r="12108" spans="13:13" ht="15" customHeight="1" x14ac:dyDescent="0.3">
      <c r="M12108" s="5"/>
    </row>
    <row r="12109" spans="13:13" ht="15" customHeight="1" x14ac:dyDescent="0.3">
      <c r="M12109" s="5"/>
    </row>
    <row r="12110" spans="13:13" ht="15" customHeight="1" x14ac:dyDescent="0.3">
      <c r="M12110" s="5"/>
    </row>
    <row r="12111" spans="13:13" ht="15" customHeight="1" x14ac:dyDescent="0.3">
      <c r="M12111" s="5"/>
    </row>
    <row r="12112" spans="13:13" ht="15" customHeight="1" x14ac:dyDescent="0.3">
      <c r="M12112" s="5"/>
    </row>
    <row r="12113" spans="13:13" ht="15" customHeight="1" x14ac:dyDescent="0.3">
      <c r="M12113" s="5"/>
    </row>
    <row r="12114" spans="13:13" ht="15" customHeight="1" x14ac:dyDescent="0.3">
      <c r="M12114" s="5"/>
    </row>
    <row r="12115" spans="13:13" ht="15" customHeight="1" x14ac:dyDescent="0.3">
      <c r="M12115" s="5"/>
    </row>
    <row r="12116" spans="13:13" ht="15" customHeight="1" x14ac:dyDescent="0.3">
      <c r="M12116" s="5"/>
    </row>
    <row r="12117" spans="13:13" ht="15" customHeight="1" x14ac:dyDescent="0.3">
      <c r="M12117" s="5"/>
    </row>
    <row r="12118" spans="13:13" ht="15" customHeight="1" x14ac:dyDescent="0.3">
      <c r="M12118" s="5"/>
    </row>
    <row r="12119" spans="13:13" ht="15" customHeight="1" x14ac:dyDescent="0.3">
      <c r="M12119" s="5"/>
    </row>
    <row r="12120" spans="13:13" ht="15" customHeight="1" x14ac:dyDescent="0.3">
      <c r="M12120" s="5"/>
    </row>
    <row r="12121" spans="13:13" ht="15" customHeight="1" x14ac:dyDescent="0.3">
      <c r="M12121" s="5"/>
    </row>
    <row r="12122" spans="13:13" ht="15" customHeight="1" x14ac:dyDescent="0.3">
      <c r="M12122" s="5"/>
    </row>
    <row r="12123" spans="13:13" ht="15" customHeight="1" x14ac:dyDescent="0.3">
      <c r="M12123" s="5"/>
    </row>
    <row r="12124" spans="13:13" ht="15" customHeight="1" x14ac:dyDescent="0.3">
      <c r="M12124" s="5"/>
    </row>
    <row r="12125" spans="13:13" ht="15" customHeight="1" x14ac:dyDescent="0.3">
      <c r="M12125" s="5"/>
    </row>
    <row r="12126" spans="13:13" ht="15" customHeight="1" x14ac:dyDescent="0.3">
      <c r="M12126" s="5"/>
    </row>
    <row r="12127" spans="13:13" ht="15" customHeight="1" x14ac:dyDescent="0.3">
      <c r="M12127" s="5"/>
    </row>
    <row r="12128" spans="13:13" ht="15" customHeight="1" x14ac:dyDescent="0.3">
      <c r="M12128" s="5"/>
    </row>
    <row r="12129" spans="13:13" ht="15" customHeight="1" x14ac:dyDescent="0.3">
      <c r="M12129" s="5"/>
    </row>
    <row r="12130" spans="13:13" ht="15" customHeight="1" x14ac:dyDescent="0.3">
      <c r="M12130" s="5"/>
    </row>
    <row r="12131" spans="13:13" ht="15" customHeight="1" x14ac:dyDescent="0.3">
      <c r="M12131" s="5"/>
    </row>
    <row r="12132" spans="13:13" ht="15" customHeight="1" x14ac:dyDescent="0.3">
      <c r="M12132" s="5"/>
    </row>
    <row r="12133" spans="13:13" ht="15" customHeight="1" x14ac:dyDescent="0.3">
      <c r="M12133" s="5"/>
    </row>
    <row r="12134" spans="13:13" ht="15" customHeight="1" x14ac:dyDescent="0.3">
      <c r="M12134" s="5"/>
    </row>
    <row r="12135" spans="13:13" ht="15" customHeight="1" x14ac:dyDescent="0.3">
      <c r="M12135" s="5"/>
    </row>
    <row r="12136" spans="13:13" ht="15" customHeight="1" x14ac:dyDescent="0.3">
      <c r="M12136" s="5"/>
    </row>
    <row r="12137" spans="13:13" ht="15" customHeight="1" x14ac:dyDescent="0.3">
      <c r="M12137" s="5"/>
    </row>
    <row r="12138" spans="13:13" ht="15" customHeight="1" x14ac:dyDescent="0.3">
      <c r="M12138" s="5"/>
    </row>
    <row r="12139" spans="13:13" ht="15" customHeight="1" x14ac:dyDescent="0.3">
      <c r="M12139" s="5"/>
    </row>
    <row r="12140" spans="13:13" ht="15" customHeight="1" x14ac:dyDescent="0.3">
      <c r="M12140" s="5"/>
    </row>
    <row r="12141" spans="13:13" ht="15" customHeight="1" x14ac:dyDescent="0.3">
      <c r="M12141" s="5"/>
    </row>
    <row r="12142" spans="13:13" ht="15" customHeight="1" x14ac:dyDescent="0.3">
      <c r="M12142" s="5"/>
    </row>
    <row r="12143" spans="13:13" ht="15" customHeight="1" x14ac:dyDescent="0.3">
      <c r="M12143" s="5"/>
    </row>
    <row r="12144" spans="13:13" ht="15" customHeight="1" x14ac:dyDescent="0.3">
      <c r="M12144" s="5"/>
    </row>
    <row r="12145" spans="13:13" ht="15" customHeight="1" x14ac:dyDescent="0.3">
      <c r="M12145" s="5"/>
    </row>
    <row r="12146" spans="13:13" ht="15" customHeight="1" x14ac:dyDescent="0.3">
      <c r="M12146" s="5"/>
    </row>
    <row r="12147" spans="13:13" ht="15" customHeight="1" x14ac:dyDescent="0.3">
      <c r="M12147" s="5"/>
    </row>
    <row r="12148" spans="13:13" ht="15" customHeight="1" x14ac:dyDescent="0.3">
      <c r="M12148" s="5"/>
    </row>
    <row r="12149" spans="13:13" ht="15" customHeight="1" x14ac:dyDescent="0.3">
      <c r="M12149" s="5"/>
    </row>
    <row r="12150" spans="13:13" ht="15" customHeight="1" x14ac:dyDescent="0.3">
      <c r="M12150" s="5"/>
    </row>
    <row r="12151" spans="13:13" ht="15" customHeight="1" x14ac:dyDescent="0.3">
      <c r="M12151" s="5"/>
    </row>
    <row r="12152" spans="13:13" ht="15" customHeight="1" x14ac:dyDescent="0.3">
      <c r="M12152" s="5"/>
    </row>
    <row r="12153" spans="13:13" ht="15" customHeight="1" x14ac:dyDescent="0.3">
      <c r="M12153" s="5"/>
    </row>
    <row r="12154" spans="13:13" ht="15" customHeight="1" x14ac:dyDescent="0.3">
      <c r="M12154" s="5"/>
    </row>
    <row r="12155" spans="13:13" ht="15" customHeight="1" x14ac:dyDescent="0.3">
      <c r="M12155" s="5"/>
    </row>
    <row r="12156" spans="13:13" ht="15" customHeight="1" x14ac:dyDescent="0.3">
      <c r="M12156" s="5"/>
    </row>
    <row r="12157" spans="13:13" ht="15" customHeight="1" x14ac:dyDescent="0.3">
      <c r="M12157" s="5"/>
    </row>
    <row r="12158" spans="13:13" ht="15" customHeight="1" x14ac:dyDescent="0.3">
      <c r="M12158" s="5"/>
    </row>
    <row r="12159" spans="13:13" ht="15" customHeight="1" x14ac:dyDescent="0.3">
      <c r="M12159" s="5"/>
    </row>
    <row r="12160" spans="13:13" ht="15" customHeight="1" x14ac:dyDescent="0.3">
      <c r="M12160" s="5"/>
    </row>
    <row r="12161" spans="13:13" ht="15" customHeight="1" x14ac:dyDescent="0.3">
      <c r="M12161" s="5"/>
    </row>
    <row r="12162" spans="13:13" ht="15" customHeight="1" x14ac:dyDescent="0.3">
      <c r="M12162" s="5"/>
    </row>
    <row r="12163" spans="13:13" ht="15" customHeight="1" x14ac:dyDescent="0.3">
      <c r="M12163" s="5"/>
    </row>
    <row r="12164" spans="13:13" ht="15" customHeight="1" x14ac:dyDescent="0.3">
      <c r="M12164" s="5"/>
    </row>
    <row r="12165" spans="13:13" ht="15" customHeight="1" x14ac:dyDescent="0.3">
      <c r="M12165" s="5"/>
    </row>
    <row r="12166" spans="13:13" ht="15" customHeight="1" x14ac:dyDescent="0.3">
      <c r="M12166" s="5"/>
    </row>
    <row r="12167" spans="13:13" ht="15" customHeight="1" x14ac:dyDescent="0.3">
      <c r="M12167" s="5"/>
    </row>
    <row r="12168" spans="13:13" ht="15" customHeight="1" x14ac:dyDescent="0.3">
      <c r="M12168" s="5"/>
    </row>
    <row r="12169" spans="13:13" ht="15" customHeight="1" x14ac:dyDescent="0.3">
      <c r="M12169" s="5"/>
    </row>
    <row r="12170" spans="13:13" ht="15" customHeight="1" x14ac:dyDescent="0.3">
      <c r="M12170" s="5"/>
    </row>
    <row r="12171" spans="13:13" ht="15" customHeight="1" x14ac:dyDescent="0.3">
      <c r="M12171" s="5"/>
    </row>
    <row r="12172" spans="13:13" ht="15" customHeight="1" x14ac:dyDescent="0.3">
      <c r="M12172" s="5"/>
    </row>
    <row r="12173" spans="13:13" ht="15" customHeight="1" x14ac:dyDescent="0.3">
      <c r="M12173" s="5"/>
    </row>
    <row r="12174" spans="13:13" ht="15" customHeight="1" x14ac:dyDescent="0.3">
      <c r="M12174" s="5"/>
    </row>
    <row r="12175" spans="13:13" ht="15" customHeight="1" x14ac:dyDescent="0.3">
      <c r="M12175" s="5"/>
    </row>
    <row r="12176" spans="13:13" ht="15" customHeight="1" x14ac:dyDescent="0.3">
      <c r="M12176" s="5"/>
    </row>
    <row r="12177" spans="13:13" ht="15" customHeight="1" x14ac:dyDescent="0.3">
      <c r="M12177" s="5"/>
    </row>
    <row r="12178" spans="13:13" ht="15" customHeight="1" x14ac:dyDescent="0.3">
      <c r="M12178" s="5"/>
    </row>
    <row r="12179" spans="13:13" ht="15" customHeight="1" x14ac:dyDescent="0.3">
      <c r="M12179" s="5"/>
    </row>
    <row r="12180" spans="13:13" ht="15" customHeight="1" x14ac:dyDescent="0.3">
      <c r="M12180" s="5"/>
    </row>
    <row r="12181" spans="13:13" ht="15" customHeight="1" x14ac:dyDescent="0.3">
      <c r="M12181" s="5"/>
    </row>
    <row r="12182" spans="13:13" ht="15" customHeight="1" x14ac:dyDescent="0.3">
      <c r="M12182" s="5"/>
    </row>
    <row r="12183" spans="13:13" ht="15" customHeight="1" x14ac:dyDescent="0.3">
      <c r="M12183" s="5"/>
    </row>
    <row r="12184" spans="13:13" ht="15" customHeight="1" x14ac:dyDescent="0.3">
      <c r="M12184" s="5"/>
    </row>
    <row r="12185" spans="13:13" ht="15" customHeight="1" x14ac:dyDescent="0.3">
      <c r="M12185" s="5"/>
    </row>
    <row r="12186" spans="13:13" ht="15" customHeight="1" x14ac:dyDescent="0.3">
      <c r="M12186" s="5"/>
    </row>
    <row r="12187" spans="13:13" ht="15" customHeight="1" x14ac:dyDescent="0.3">
      <c r="M12187" s="5"/>
    </row>
    <row r="12188" spans="13:13" ht="15" customHeight="1" x14ac:dyDescent="0.3">
      <c r="M12188" s="5"/>
    </row>
    <row r="12189" spans="13:13" ht="15" customHeight="1" x14ac:dyDescent="0.3">
      <c r="M12189" s="5"/>
    </row>
    <row r="12190" spans="13:13" ht="15" customHeight="1" x14ac:dyDescent="0.3">
      <c r="M12190" s="5"/>
    </row>
    <row r="12191" spans="13:13" ht="15" customHeight="1" x14ac:dyDescent="0.3">
      <c r="M12191" s="5"/>
    </row>
    <row r="12192" spans="13:13" ht="15" customHeight="1" x14ac:dyDescent="0.3">
      <c r="M12192" s="5"/>
    </row>
    <row r="12193" spans="13:13" ht="15" customHeight="1" x14ac:dyDescent="0.3">
      <c r="M12193" s="5"/>
    </row>
    <row r="12194" spans="13:13" ht="15" customHeight="1" x14ac:dyDescent="0.3">
      <c r="M12194" s="5"/>
    </row>
    <row r="12195" spans="13:13" ht="15" customHeight="1" x14ac:dyDescent="0.3">
      <c r="M12195" s="5"/>
    </row>
    <row r="12196" spans="13:13" ht="15" customHeight="1" x14ac:dyDescent="0.3">
      <c r="M12196" s="5"/>
    </row>
    <row r="12197" spans="13:13" ht="15" customHeight="1" x14ac:dyDescent="0.3">
      <c r="M12197" s="5"/>
    </row>
    <row r="12198" spans="13:13" ht="15" customHeight="1" x14ac:dyDescent="0.3">
      <c r="M12198" s="5"/>
    </row>
    <row r="12199" spans="13:13" ht="15" customHeight="1" x14ac:dyDescent="0.3">
      <c r="M12199" s="5"/>
    </row>
    <row r="12200" spans="13:13" ht="15" customHeight="1" x14ac:dyDescent="0.3">
      <c r="M12200" s="5"/>
    </row>
    <row r="12201" spans="13:13" ht="15" customHeight="1" x14ac:dyDescent="0.3">
      <c r="M12201" s="5"/>
    </row>
    <row r="12202" spans="13:13" ht="15" customHeight="1" x14ac:dyDescent="0.3">
      <c r="M12202" s="5"/>
    </row>
    <row r="12203" spans="13:13" ht="15" customHeight="1" x14ac:dyDescent="0.3">
      <c r="M12203" s="5"/>
    </row>
    <row r="12204" spans="13:13" ht="15" customHeight="1" x14ac:dyDescent="0.3">
      <c r="M12204" s="5"/>
    </row>
    <row r="12205" spans="13:13" ht="15" customHeight="1" x14ac:dyDescent="0.3">
      <c r="M12205" s="5"/>
    </row>
    <row r="12206" spans="13:13" ht="15" customHeight="1" x14ac:dyDescent="0.3">
      <c r="M12206" s="5"/>
    </row>
    <row r="12207" spans="13:13" ht="15" customHeight="1" x14ac:dyDescent="0.3">
      <c r="M12207" s="5"/>
    </row>
    <row r="12208" spans="13:13" ht="15" customHeight="1" x14ac:dyDescent="0.3">
      <c r="M12208" s="5"/>
    </row>
    <row r="12209" spans="13:13" ht="15" customHeight="1" x14ac:dyDescent="0.3">
      <c r="M12209" s="5"/>
    </row>
    <row r="12210" spans="13:13" ht="15" customHeight="1" x14ac:dyDescent="0.3">
      <c r="M12210" s="5"/>
    </row>
    <row r="12211" spans="13:13" ht="15" customHeight="1" x14ac:dyDescent="0.3">
      <c r="M12211" s="5"/>
    </row>
    <row r="12212" spans="13:13" ht="15" customHeight="1" x14ac:dyDescent="0.3">
      <c r="M12212" s="5"/>
    </row>
    <row r="12213" spans="13:13" ht="15" customHeight="1" x14ac:dyDescent="0.3">
      <c r="M12213" s="5"/>
    </row>
    <row r="12214" spans="13:13" ht="15" customHeight="1" x14ac:dyDescent="0.3">
      <c r="M12214" s="5"/>
    </row>
    <row r="12215" spans="13:13" ht="15" customHeight="1" x14ac:dyDescent="0.3">
      <c r="M12215" s="5"/>
    </row>
    <row r="12216" spans="13:13" ht="15" customHeight="1" x14ac:dyDescent="0.3">
      <c r="M12216" s="5"/>
    </row>
    <row r="12217" spans="13:13" ht="15" customHeight="1" x14ac:dyDescent="0.3">
      <c r="M12217" s="5"/>
    </row>
    <row r="12218" spans="13:13" ht="15" customHeight="1" x14ac:dyDescent="0.3">
      <c r="M12218" s="5"/>
    </row>
    <row r="12219" spans="13:13" ht="15" customHeight="1" x14ac:dyDescent="0.3">
      <c r="M12219" s="5"/>
    </row>
    <row r="12220" spans="13:13" ht="15" customHeight="1" x14ac:dyDescent="0.3">
      <c r="M12220" s="5"/>
    </row>
    <row r="12221" spans="13:13" ht="15" customHeight="1" x14ac:dyDescent="0.3">
      <c r="M12221" s="5"/>
    </row>
    <row r="12222" spans="13:13" ht="15" customHeight="1" x14ac:dyDescent="0.3">
      <c r="M12222" s="5"/>
    </row>
    <row r="12223" spans="13:13" ht="15" customHeight="1" x14ac:dyDescent="0.3">
      <c r="M12223" s="5"/>
    </row>
    <row r="12224" spans="13:13" ht="15" customHeight="1" x14ac:dyDescent="0.3">
      <c r="M12224" s="5"/>
    </row>
    <row r="12225" spans="13:13" ht="15" customHeight="1" x14ac:dyDescent="0.3">
      <c r="M12225" s="5"/>
    </row>
    <row r="12226" spans="13:13" ht="15" customHeight="1" x14ac:dyDescent="0.3">
      <c r="M12226" s="5"/>
    </row>
    <row r="12227" spans="13:13" ht="15" customHeight="1" x14ac:dyDescent="0.3">
      <c r="M12227" s="5"/>
    </row>
    <row r="12228" spans="13:13" ht="15" customHeight="1" x14ac:dyDescent="0.3">
      <c r="M12228" s="5"/>
    </row>
    <row r="12229" spans="13:13" ht="15" customHeight="1" x14ac:dyDescent="0.3">
      <c r="M12229" s="5"/>
    </row>
    <row r="12230" spans="13:13" ht="15" customHeight="1" x14ac:dyDescent="0.3">
      <c r="M12230" s="5"/>
    </row>
    <row r="12231" spans="13:13" ht="15" customHeight="1" x14ac:dyDescent="0.3">
      <c r="M12231" s="5"/>
    </row>
    <row r="12232" spans="13:13" ht="15" customHeight="1" x14ac:dyDescent="0.3">
      <c r="M12232" s="5"/>
    </row>
    <row r="12233" spans="13:13" ht="15" customHeight="1" x14ac:dyDescent="0.3">
      <c r="M12233" s="5"/>
    </row>
    <row r="12234" spans="13:13" ht="15" customHeight="1" x14ac:dyDescent="0.3">
      <c r="M12234" s="5"/>
    </row>
    <row r="12235" spans="13:13" ht="15" customHeight="1" x14ac:dyDescent="0.3">
      <c r="M12235" s="5"/>
    </row>
    <row r="12236" spans="13:13" ht="15" customHeight="1" x14ac:dyDescent="0.3">
      <c r="M12236" s="5"/>
    </row>
    <row r="12237" spans="13:13" ht="15" customHeight="1" x14ac:dyDescent="0.3">
      <c r="M12237" s="5"/>
    </row>
    <row r="12238" spans="13:13" ht="15" customHeight="1" x14ac:dyDescent="0.3">
      <c r="M12238" s="5"/>
    </row>
    <row r="12239" spans="13:13" ht="15" customHeight="1" x14ac:dyDescent="0.3">
      <c r="M12239" s="5"/>
    </row>
    <row r="12240" spans="13:13" ht="15" customHeight="1" x14ac:dyDescent="0.3">
      <c r="M12240" s="5"/>
    </row>
    <row r="12241" spans="13:13" ht="15" customHeight="1" x14ac:dyDescent="0.3">
      <c r="M12241" s="5"/>
    </row>
    <row r="12242" spans="13:13" ht="15" customHeight="1" x14ac:dyDescent="0.3">
      <c r="M12242" s="5"/>
    </row>
    <row r="12243" spans="13:13" ht="15" customHeight="1" x14ac:dyDescent="0.3">
      <c r="M12243" s="5"/>
    </row>
    <row r="12244" spans="13:13" ht="15" customHeight="1" x14ac:dyDescent="0.3">
      <c r="M12244" s="5"/>
    </row>
    <row r="12245" spans="13:13" ht="15" customHeight="1" x14ac:dyDescent="0.3">
      <c r="M12245" s="5"/>
    </row>
    <row r="12246" spans="13:13" ht="15" customHeight="1" x14ac:dyDescent="0.3">
      <c r="M12246" s="5"/>
    </row>
    <row r="12247" spans="13:13" ht="15" customHeight="1" x14ac:dyDescent="0.3">
      <c r="M12247" s="5"/>
    </row>
    <row r="12248" spans="13:13" ht="15" customHeight="1" x14ac:dyDescent="0.3">
      <c r="M12248" s="5"/>
    </row>
    <row r="12249" spans="13:13" ht="15" customHeight="1" x14ac:dyDescent="0.3">
      <c r="M12249" s="5"/>
    </row>
    <row r="12250" spans="13:13" ht="15" customHeight="1" x14ac:dyDescent="0.3">
      <c r="M12250" s="5"/>
    </row>
    <row r="12251" spans="13:13" ht="15" customHeight="1" x14ac:dyDescent="0.3">
      <c r="M12251" s="5"/>
    </row>
    <row r="12252" spans="13:13" ht="15" customHeight="1" x14ac:dyDescent="0.3">
      <c r="M12252" s="5"/>
    </row>
    <row r="12253" spans="13:13" ht="15" customHeight="1" x14ac:dyDescent="0.3">
      <c r="M12253" s="5"/>
    </row>
    <row r="12254" spans="13:13" ht="15" customHeight="1" x14ac:dyDescent="0.3">
      <c r="M12254" s="5"/>
    </row>
    <row r="12255" spans="13:13" ht="15" customHeight="1" x14ac:dyDescent="0.3">
      <c r="M12255" s="5"/>
    </row>
    <row r="12256" spans="13:13" ht="15" customHeight="1" x14ac:dyDescent="0.3">
      <c r="M12256" s="5"/>
    </row>
    <row r="12257" spans="13:13" ht="15" customHeight="1" x14ac:dyDescent="0.3">
      <c r="M12257" s="5"/>
    </row>
    <row r="12258" spans="13:13" ht="15" customHeight="1" x14ac:dyDescent="0.3">
      <c r="M12258" s="5"/>
    </row>
    <row r="12259" spans="13:13" ht="15" customHeight="1" x14ac:dyDescent="0.3">
      <c r="M12259" s="5"/>
    </row>
    <row r="12260" spans="13:13" ht="15" customHeight="1" x14ac:dyDescent="0.3">
      <c r="M12260" s="5"/>
    </row>
    <row r="12261" spans="13:13" ht="15" customHeight="1" x14ac:dyDescent="0.3">
      <c r="M12261" s="5"/>
    </row>
    <row r="12262" spans="13:13" ht="15" customHeight="1" x14ac:dyDescent="0.3">
      <c r="M12262" s="5"/>
    </row>
    <row r="12263" spans="13:13" ht="15" customHeight="1" x14ac:dyDescent="0.3">
      <c r="M12263" s="5"/>
    </row>
    <row r="12264" spans="13:13" ht="15" customHeight="1" x14ac:dyDescent="0.3">
      <c r="M12264" s="5"/>
    </row>
    <row r="12265" spans="13:13" ht="15" customHeight="1" x14ac:dyDescent="0.3">
      <c r="M12265" s="5"/>
    </row>
    <row r="12266" spans="13:13" ht="15" customHeight="1" x14ac:dyDescent="0.3">
      <c r="M12266" s="5"/>
    </row>
    <row r="12267" spans="13:13" ht="15" customHeight="1" x14ac:dyDescent="0.3">
      <c r="M12267" s="5"/>
    </row>
    <row r="12268" spans="13:13" ht="15" customHeight="1" x14ac:dyDescent="0.3">
      <c r="M12268" s="5"/>
    </row>
    <row r="12269" spans="13:13" ht="15" customHeight="1" x14ac:dyDescent="0.3">
      <c r="M12269" s="5"/>
    </row>
    <row r="12270" spans="13:13" ht="15" customHeight="1" x14ac:dyDescent="0.3">
      <c r="M12270" s="5"/>
    </row>
    <row r="12271" spans="13:13" ht="15" customHeight="1" x14ac:dyDescent="0.3">
      <c r="M12271" s="5"/>
    </row>
    <row r="12272" spans="13:13" ht="15" customHeight="1" x14ac:dyDescent="0.3">
      <c r="M12272" s="5"/>
    </row>
    <row r="12273" spans="13:13" ht="15" customHeight="1" x14ac:dyDescent="0.3">
      <c r="M12273" s="5"/>
    </row>
    <row r="12274" spans="13:13" ht="15" customHeight="1" x14ac:dyDescent="0.3">
      <c r="M12274" s="5"/>
    </row>
    <row r="12275" spans="13:13" ht="15" customHeight="1" x14ac:dyDescent="0.3">
      <c r="M12275" s="5"/>
    </row>
    <row r="12276" spans="13:13" ht="15" customHeight="1" x14ac:dyDescent="0.3">
      <c r="M12276" s="5"/>
    </row>
    <row r="12277" spans="13:13" ht="15" customHeight="1" x14ac:dyDescent="0.3">
      <c r="M12277" s="5"/>
    </row>
    <row r="12278" spans="13:13" ht="15" customHeight="1" x14ac:dyDescent="0.3">
      <c r="M12278" s="5"/>
    </row>
    <row r="12279" spans="13:13" ht="15" customHeight="1" x14ac:dyDescent="0.3">
      <c r="M12279" s="5"/>
    </row>
    <row r="12280" spans="13:13" ht="15" customHeight="1" x14ac:dyDescent="0.3">
      <c r="M12280" s="5"/>
    </row>
    <row r="12281" spans="13:13" ht="15" customHeight="1" x14ac:dyDescent="0.3">
      <c r="M12281" s="5"/>
    </row>
    <row r="12282" spans="13:13" ht="15" customHeight="1" x14ac:dyDescent="0.3">
      <c r="M12282" s="5"/>
    </row>
    <row r="12283" spans="13:13" ht="15" customHeight="1" x14ac:dyDescent="0.3">
      <c r="M12283" s="5"/>
    </row>
    <row r="12284" spans="13:13" ht="15" customHeight="1" x14ac:dyDescent="0.3">
      <c r="M12284" s="5"/>
    </row>
    <row r="12285" spans="13:13" ht="15" customHeight="1" x14ac:dyDescent="0.3">
      <c r="M12285" s="5"/>
    </row>
    <row r="12286" spans="13:13" ht="15" customHeight="1" x14ac:dyDescent="0.3">
      <c r="M12286" s="5"/>
    </row>
    <row r="12287" spans="13:13" ht="15" customHeight="1" x14ac:dyDescent="0.3">
      <c r="M12287" s="5"/>
    </row>
    <row r="12288" spans="13:13" ht="15" customHeight="1" x14ac:dyDescent="0.3">
      <c r="M12288" s="5"/>
    </row>
    <row r="12289" spans="13:13" ht="15" customHeight="1" x14ac:dyDescent="0.3">
      <c r="M12289" s="5"/>
    </row>
    <row r="12290" spans="13:13" ht="15" customHeight="1" x14ac:dyDescent="0.3">
      <c r="M12290" s="5"/>
    </row>
    <row r="12291" spans="13:13" ht="15" customHeight="1" x14ac:dyDescent="0.3">
      <c r="M12291" s="5"/>
    </row>
    <row r="12292" spans="13:13" ht="15" customHeight="1" x14ac:dyDescent="0.3">
      <c r="M12292" s="5"/>
    </row>
    <row r="12293" spans="13:13" ht="15" customHeight="1" x14ac:dyDescent="0.3">
      <c r="M12293" s="5"/>
    </row>
    <row r="12294" spans="13:13" ht="15" customHeight="1" x14ac:dyDescent="0.3">
      <c r="M12294" s="5"/>
    </row>
    <row r="12295" spans="13:13" ht="15" customHeight="1" x14ac:dyDescent="0.3">
      <c r="M12295" s="5"/>
    </row>
    <row r="12296" spans="13:13" ht="15" customHeight="1" x14ac:dyDescent="0.3">
      <c r="M12296" s="5"/>
    </row>
    <row r="12297" spans="13:13" ht="15" customHeight="1" x14ac:dyDescent="0.3">
      <c r="M12297" s="5"/>
    </row>
    <row r="12298" spans="13:13" ht="15" customHeight="1" x14ac:dyDescent="0.3">
      <c r="M12298" s="5"/>
    </row>
    <row r="12299" spans="13:13" ht="15" customHeight="1" x14ac:dyDescent="0.3">
      <c r="M12299" s="5"/>
    </row>
    <row r="12300" spans="13:13" ht="15" customHeight="1" x14ac:dyDescent="0.3">
      <c r="M12300" s="5"/>
    </row>
    <row r="12301" spans="13:13" ht="15" customHeight="1" x14ac:dyDescent="0.3">
      <c r="M12301" s="5"/>
    </row>
    <row r="12302" spans="13:13" ht="15" customHeight="1" x14ac:dyDescent="0.3">
      <c r="M12302" s="5"/>
    </row>
    <row r="12303" spans="13:13" ht="15" customHeight="1" x14ac:dyDescent="0.3">
      <c r="M12303" s="5"/>
    </row>
    <row r="12304" spans="13:13" ht="15" customHeight="1" x14ac:dyDescent="0.3">
      <c r="M12304" s="5"/>
    </row>
    <row r="12305" spans="13:13" ht="15" customHeight="1" x14ac:dyDescent="0.3">
      <c r="M12305" s="5"/>
    </row>
    <row r="12306" spans="13:13" ht="15" customHeight="1" x14ac:dyDescent="0.3">
      <c r="M12306" s="5"/>
    </row>
    <row r="12307" spans="13:13" ht="15" customHeight="1" x14ac:dyDescent="0.3">
      <c r="M12307" s="5"/>
    </row>
    <row r="12308" spans="13:13" ht="15" customHeight="1" x14ac:dyDescent="0.3">
      <c r="M12308" s="5"/>
    </row>
    <row r="12309" spans="13:13" ht="15" customHeight="1" x14ac:dyDescent="0.3">
      <c r="M12309" s="5"/>
    </row>
    <row r="12310" spans="13:13" ht="15" customHeight="1" x14ac:dyDescent="0.3">
      <c r="M12310" s="5"/>
    </row>
    <row r="12311" spans="13:13" ht="15" customHeight="1" x14ac:dyDescent="0.3">
      <c r="M12311" s="5"/>
    </row>
    <row r="12312" spans="13:13" ht="15" customHeight="1" x14ac:dyDescent="0.3">
      <c r="M12312" s="5"/>
    </row>
    <row r="12313" spans="13:13" ht="15" customHeight="1" x14ac:dyDescent="0.3">
      <c r="M12313" s="5"/>
    </row>
    <row r="12314" spans="13:13" ht="15" customHeight="1" x14ac:dyDescent="0.3">
      <c r="M12314" s="5"/>
    </row>
    <row r="12315" spans="13:13" ht="15" customHeight="1" x14ac:dyDescent="0.3">
      <c r="M12315" s="5"/>
    </row>
    <row r="12316" spans="13:13" ht="15" customHeight="1" x14ac:dyDescent="0.3">
      <c r="M12316" s="5"/>
    </row>
    <row r="12317" spans="13:13" ht="15" customHeight="1" x14ac:dyDescent="0.3">
      <c r="M12317" s="5"/>
    </row>
    <row r="12318" spans="13:13" ht="15" customHeight="1" x14ac:dyDescent="0.3">
      <c r="M12318" s="5"/>
    </row>
    <row r="12319" spans="13:13" ht="15" customHeight="1" x14ac:dyDescent="0.3">
      <c r="M12319" s="5"/>
    </row>
    <row r="12320" spans="13:13" ht="15" customHeight="1" x14ac:dyDescent="0.3">
      <c r="M12320" s="5"/>
    </row>
    <row r="12321" spans="13:13" ht="15" customHeight="1" x14ac:dyDescent="0.3">
      <c r="M12321" s="5"/>
    </row>
    <row r="12322" spans="13:13" ht="15" customHeight="1" x14ac:dyDescent="0.3">
      <c r="M12322" s="5"/>
    </row>
    <row r="12323" spans="13:13" ht="15" customHeight="1" x14ac:dyDescent="0.3">
      <c r="M12323" s="5"/>
    </row>
    <row r="12324" spans="13:13" ht="15" customHeight="1" x14ac:dyDescent="0.3">
      <c r="M12324" s="5"/>
    </row>
    <row r="12325" spans="13:13" ht="15" customHeight="1" x14ac:dyDescent="0.3">
      <c r="M12325" s="5"/>
    </row>
    <row r="12326" spans="13:13" ht="15" customHeight="1" x14ac:dyDescent="0.3">
      <c r="M12326" s="5"/>
    </row>
    <row r="12327" spans="13:13" ht="15" customHeight="1" x14ac:dyDescent="0.3">
      <c r="M12327" s="5"/>
    </row>
    <row r="12328" spans="13:13" ht="15" customHeight="1" x14ac:dyDescent="0.3">
      <c r="M12328" s="5"/>
    </row>
    <row r="12329" spans="13:13" ht="15" customHeight="1" x14ac:dyDescent="0.3">
      <c r="M12329" s="5"/>
    </row>
    <row r="12330" spans="13:13" ht="15" customHeight="1" x14ac:dyDescent="0.3">
      <c r="M12330" s="5"/>
    </row>
    <row r="12331" spans="13:13" ht="15" customHeight="1" x14ac:dyDescent="0.3">
      <c r="M12331" s="5"/>
    </row>
    <row r="12332" spans="13:13" ht="15" customHeight="1" x14ac:dyDescent="0.3">
      <c r="M12332" s="5"/>
    </row>
    <row r="12333" spans="13:13" ht="15" customHeight="1" x14ac:dyDescent="0.3">
      <c r="M12333" s="5"/>
    </row>
    <row r="12334" spans="13:13" ht="15" customHeight="1" x14ac:dyDescent="0.3">
      <c r="M12334" s="5"/>
    </row>
    <row r="12335" spans="13:13" ht="15" customHeight="1" x14ac:dyDescent="0.3">
      <c r="M12335" s="5"/>
    </row>
    <row r="12336" spans="13:13" ht="15" customHeight="1" x14ac:dyDescent="0.3">
      <c r="M12336" s="5"/>
    </row>
    <row r="12337" spans="13:13" ht="15" customHeight="1" x14ac:dyDescent="0.3">
      <c r="M12337" s="5"/>
    </row>
    <row r="12338" spans="13:13" ht="15" customHeight="1" x14ac:dyDescent="0.3">
      <c r="M12338" s="5"/>
    </row>
    <row r="12339" spans="13:13" ht="15" customHeight="1" x14ac:dyDescent="0.3">
      <c r="M12339" s="5"/>
    </row>
    <row r="12340" spans="13:13" ht="15" customHeight="1" x14ac:dyDescent="0.3">
      <c r="M12340" s="5"/>
    </row>
    <row r="12341" spans="13:13" ht="15" customHeight="1" x14ac:dyDescent="0.3">
      <c r="M12341" s="5"/>
    </row>
    <row r="12342" spans="13:13" ht="15" customHeight="1" x14ac:dyDescent="0.3">
      <c r="M12342" s="5"/>
    </row>
    <row r="12343" spans="13:13" ht="15" customHeight="1" x14ac:dyDescent="0.3">
      <c r="M12343" s="5"/>
    </row>
    <row r="12344" spans="13:13" ht="15" customHeight="1" x14ac:dyDescent="0.3">
      <c r="M12344" s="5"/>
    </row>
    <row r="12345" spans="13:13" ht="15" customHeight="1" x14ac:dyDescent="0.3">
      <c r="M12345" s="5"/>
    </row>
    <row r="12346" spans="13:13" ht="15" customHeight="1" x14ac:dyDescent="0.3">
      <c r="M12346" s="5"/>
    </row>
    <row r="12347" spans="13:13" ht="15" customHeight="1" x14ac:dyDescent="0.3">
      <c r="M12347" s="5"/>
    </row>
    <row r="12348" spans="13:13" ht="15" customHeight="1" x14ac:dyDescent="0.3">
      <c r="M12348" s="5"/>
    </row>
    <row r="12349" spans="13:13" ht="15" customHeight="1" x14ac:dyDescent="0.3">
      <c r="M12349" s="5"/>
    </row>
    <row r="12350" spans="13:13" ht="15" customHeight="1" x14ac:dyDescent="0.3">
      <c r="M12350" s="5"/>
    </row>
    <row r="12351" spans="13:13" ht="15" customHeight="1" x14ac:dyDescent="0.3">
      <c r="M12351" s="5"/>
    </row>
    <row r="12352" spans="13:13" ht="15" customHeight="1" x14ac:dyDescent="0.3">
      <c r="M12352" s="5"/>
    </row>
    <row r="12353" spans="13:13" ht="15" customHeight="1" x14ac:dyDescent="0.3">
      <c r="M12353" s="5"/>
    </row>
    <row r="12354" spans="13:13" ht="15" customHeight="1" x14ac:dyDescent="0.3">
      <c r="M12354" s="5"/>
    </row>
    <row r="12355" spans="13:13" ht="15" customHeight="1" x14ac:dyDescent="0.3">
      <c r="M12355" s="5"/>
    </row>
    <row r="12356" spans="13:13" ht="15" customHeight="1" x14ac:dyDescent="0.3">
      <c r="M12356" s="5"/>
    </row>
    <row r="12357" spans="13:13" ht="15" customHeight="1" x14ac:dyDescent="0.3">
      <c r="M12357" s="5"/>
    </row>
    <row r="12358" spans="13:13" ht="15" customHeight="1" x14ac:dyDescent="0.3">
      <c r="M12358" s="5"/>
    </row>
    <row r="12359" spans="13:13" ht="15" customHeight="1" x14ac:dyDescent="0.3">
      <c r="M12359" s="5"/>
    </row>
    <row r="12360" spans="13:13" ht="15" customHeight="1" x14ac:dyDescent="0.3">
      <c r="M12360" s="5"/>
    </row>
    <row r="12361" spans="13:13" ht="15" customHeight="1" x14ac:dyDescent="0.3">
      <c r="M12361" s="5"/>
    </row>
    <row r="12362" spans="13:13" ht="15" customHeight="1" x14ac:dyDescent="0.3">
      <c r="M12362" s="5"/>
    </row>
    <row r="12363" spans="13:13" ht="15" customHeight="1" x14ac:dyDescent="0.3">
      <c r="M12363" s="5"/>
    </row>
    <row r="12364" spans="13:13" ht="15" customHeight="1" x14ac:dyDescent="0.3">
      <c r="M12364" s="5"/>
    </row>
    <row r="12365" spans="13:13" ht="15" customHeight="1" x14ac:dyDescent="0.3">
      <c r="M12365" s="5"/>
    </row>
    <row r="12366" spans="13:13" ht="15" customHeight="1" x14ac:dyDescent="0.3">
      <c r="M12366" s="5"/>
    </row>
    <row r="12367" spans="13:13" ht="15" customHeight="1" x14ac:dyDescent="0.3">
      <c r="M12367" s="5"/>
    </row>
    <row r="12368" spans="13:13" ht="15" customHeight="1" x14ac:dyDescent="0.3">
      <c r="M12368" s="5"/>
    </row>
    <row r="12369" spans="13:13" ht="15" customHeight="1" x14ac:dyDescent="0.3">
      <c r="M12369" s="5"/>
    </row>
    <row r="12370" spans="13:13" ht="15" customHeight="1" x14ac:dyDescent="0.3">
      <c r="M12370" s="5"/>
    </row>
    <row r="12371" spans="13:13" ht="15" customHeight="1" x14ac:dyDescent="0.3">
      <c r="M12371" s="5"/>
    </row>
    <row r="12372" spans="13:13" ht="15" customHeight="1" x14ac:dyDescent="0.3">
      <c r="M12372" s="5"/>
    </row>
    <row r="12373" spans="13:13" ht="15" customHeight="1" x14ac:dyDescent="0.3">
      <c r="M12373" s="5"/>
    </row>
    <row r="12374" spans="13:13" ht="15" customHeight="1" x14ac:dyDescent="0.3">
      <c r="M12374" s="5"/>
    </row>
    <row r="12375" spans="13:13" ht="15" customHeight="1" x14ac:dyDescent="0.3">
      <c r="M12375" s="5"/>
    </row>
    <row r="12376" spans="13:13" ht="15" customHeight="1" x14ac:dyDescent="0.3">
      <c r="M12376" s="5"/>
    </row>
    <row r="12377" spans="13:13" ht="15" customHeight="1" x14ac:dyDescent="0.3">
      <c r="M12377" s="5"/>
    </row>
    <row r="12378" spans="13:13" ht="15" customHeight="1" x14ac:dyDescent="0.3">
      <c r="M12378" s="5"/>
    </row>
    <row r="12379" spans="13:13" ht="15" customHeight="1" x14ac:dyDescent="0.3">
      <c r="M12379" s="5"/>
    </row>
    <row r="12380" spans="13:13" ht="15" customHeight="1" x14ac:dyDescent="0.3">
      <c r="M12380" s="5"/>
    </row>
    <row r="12381" spans="13:13" ht="15" customHeight="1" x14ac:dyDescent="0.3">
      <c r="M12381" s="5"/>
    </row>
    <row r="12382" spans="13:13" ht="15" customHeight="1" x14ac:dyDescent="0.3">
      <c r="M12382" s="5"/>
    </row>
    <row r="12383" spans="13:13" ht="15" customHeight="1" x14ac:dyDescent="0.3">
      <c r="M12383" s="5"/>
    </row>
    <row r="12384" spans="13:13" ht="15" customHeight="1" x14ac:dyDescent="0.3">
      <c r="M12384" s="5"/>
    </row>
    <row r="12385" spans="13:13" ht="15" customHeight="1" x14ac:dyDescent="0.3">
      <c r="M12385" s="5"/>
    </row>
    <row r="12386" spans="13:13" ht="15" customHeight="1" x14ac:dyDescent="0.3">
      <c r="M12386" s="5"/>
    </row>
    <row r="12387" spans="13:13" ht="15" customHeight="1" x14ac:dyDescent="0.3">
      <c r="M12387" s="5"/>
    </row>
    <row r="12388" spans="13:13" ht="15" customHeight="1" x14ac:dyDescent="0.3">
      <c r="M12388" s="5"/>
    </row>
    <row r="12389" spans="13:13" ht="15" customHeight="1" x14ac:dyDescent="0.3">
      <c r="M12389" s="5"/>
    </row>
    <row r="12390" spans="13:13" ht="15" customHeight="1" x14ac:dyDescent="0.3">
      <c r="M12390" s="5"/>
    </row>
    <row r="12391" spans="13:13" ht="15" customHeight="1" x14ac:dyDescent="0.3">
      <c r="M12391" s="5"/>
    </row>
    <row r="12392" spans="13:13" ht="15" customHeight="1" x14ac:dyDescent="0.3">
      <c r="M12392" s="5"/>
    </row>
    <row r="12393" spans="13:13" ht="15" customHeight="1" x14ac:dyDescent="0.3">
      <c r="M12393" s="5"/>
    </row>
    <row r="12394" spans="13:13" ht="15" customHeight="1" x14ac:dyDescent="0.3">
      <c r="M12394" s="5"/>
    </row>
    <row r="12395" spans="13:13" ht="15" customHeight="1" x14ac:dyDescent="0.3">
      <c r="M12395" s="5"/>
    </row>
    <row r="12396" spans="13:13" ht="15" customHeight="1" x14ac:dyDescent="0.3">
      <c r="M12396" s="5"/>
    </row>
    <row r="12397" spans="13:13" ht="15" customHeight="1" x14ac:dyDescent="0.3">
      <c r="M12397" s="5"/>
    </row>
    <row r="12398" spans="13:13" ht="15" customHeight="1" x14ac:dyDescent="0.3">
      <c r="M12398" s="5"/>
    </row>
    <row r="12399" spans="13:13" ht="15" customHeight="1" x14ac:dyDescent="0.3">
      <c r="M12399" s="5"/>
    </row>
    <row r="12400" spans="13:13" ht="15" customHeight="1" x14ac:dyDescent="0.3">
      <c r="M12400" s="5"/>
    </row>
    <row r="12401" spans="13:13" ht="15" customHeight="1" x14ac:dyDescent="0.3">
      <c r="M12401" s="5"/>
    </row>
    <row r="12402" spans="13:13" ht="15" customHeight="1" x14ac:dyDescent="0.3">
      <c r="M12402" s="5"/>
    </row>
    <row r="12403" spans="13:13" ht="15" customHeight="1" x14ac:dyDescent="0.3">
      <c r="M12403" s="5"/>
    </row>
    <row r="12404" spans="13:13" ht="15" customHeight="1" x14ac:dyDescent="0.3">
      <c r="M12404" s="5"/>
    </row>
    <row r="12405" spans="13:13" ht="15" customHeight="1" x14ac:dyDescent="0.3">
      <c r="M12405" s="5"/>
    </row>
    <row r="12406" spans="13:13" ht="15" customHeight="1" x14ac:dyDescent="0.3">
      <c r="M12406" s="5"/>
    </row>
    <row r="12407" spans="13:13" ht="15" customHeight="1" x14ac:dyDescent="0.3">
      <c r="M12407" s="5"/>
    </row>
    <row r="12408" spans="13:13" ht="15" customHeight="1" x14ac:dyDescent="0.3">
      <c r="M12408" s="5"/>
    </row>
    <row r="12409" spans="13:13" ht="15" customHeight="1" x14ac:dyDescent="0.3">
      <c r="M12409" s="5"/>
    </row>
    <row r="12410" spans="13:13" ht="15" customHeight="1" x14ac:dyDescent="0.3">
      <c r="M12410" s="5"/>
    </row>
    <row r="12411" spans="13:13" ht="15" customHeight="1" x14ac:dyDescent="0.3">
      <c r="M12411" s="5"/>
    </row>
    <row r="12412" spans="13:13" ht="15" customHeight="1" x14ac:dyDescent="0.3">
      <c r="M12412" s="5"/>
    </row>
    <row r="12413" spans="13:13" ht="15" customHeight="1" x14ac:dyDescent="0.3">
      <c r="M12413" s="5"/>
    </row>
    <row r="12414" spans="13:13" ht="15" customHeight="1" x14ac:dyDescent="0.3">
      <c r="M12414" s="5"/>
    </row>
    <row r="12415" spans="13:13" ht="15" customHeight="1" x14ac:dyDescent="0.3">
      <c r="M12415" s="5"/>
    </row>
    <row r="12416" spans="13:13" ht="15" customHeight="1" x14ac:dyDescent="0.3">
      <c r="M12416" s="5"/>
    </row>
    <row r="12417" spans="13:13" ht="15" customHeight="1" x14ac:dyDescent="0.3">
      <c r="M12417" s="5"/>
    </row>
    <row r="12418" spans="13:13" ht="15" customHeight="1" x14ac:dyDescent="0.3">
      <c r="M12418" s="5"/>
    </row>
    <row r="12419" spans="13:13" ht="15" customHeight="1" x14ac:dyDescent="0.3">
      <c r="M12419" s="5"/>
    </row>
    <row r="12420" spans="13:13" ht="15" customHeight="1" x14ac:dyDescent="0.3">
      <c r="M12420" s="5"/>
    </row>
    <row r="12421" spans="13:13" ht="15" customHeight="1" x14ac:dyDescent="0.3">
      <c r="M12421" s="5"/>
    </row>
    <row r="12422" spans="13:13" ht="15" customHeight="1" x14ac:dyDescent="0.3">
      <c r="M12422" s="5"/>
    </row>
    <row r="12423" spans="13:13" ht="15" customHeight="1" x14ac:dyDescent="0.3">
      <c r="M12423" s="5"/>
    </row>
    <row r="12424" spans="13:13" ht="15" customHeight="1" x14ac:dyDescent="0.3">
      <c r="M12424" s="5"/>
    </row>
    <row r="12425" spans="13:13" ht="15" customHeight="1" x14ac:dyDescent="0.3">
      <c r="M12425" s="5"/>
    </row>
    <row r="12426" spans="13:13" ht="15" customHeight="1" x14ac:dyDescent="0.3">
      <c r="M12426" s="5"/>
    </row>
    <row r="12427" spans="13:13" ht="15" customHeight="1" x14ac:dyDescent="0.3">
      <c r="M12427" s="5"/>
    </row>
    <row r="12428" spans="13:13" ht="15" customHeight="1" x14ac:dyDescent="0.3">
      <c r="M12428" s="5"/>
    </row>
    <row r="12429" spans="13:13" ht="15" customHeight="1" x14ac:dyDescent="0.3">
      <c r="M12429" s="5"/>
    </row>
    <row r="12430" spans="13:13" ht="15" customHeight="1" x14ac:dyDescent="0.3">
      <c r="M12430" s="5"/>
    </row>
    <row r="12431" spans="13:13" ht="15" customHeight="1" x14ac:dyDescent="0.3">
      <c r="M12431" s="5"/>
    </row>
    <row r="12432" spans="13:13" ht="15" customHeight="1" x14ac:dyDescent="0.3">
      <c r="M12432" s="5"/>
    </row>
    <row r="12433" spans="13:13" ht="15" customHeight="1" x14ac:dyDescent="0.3">
      <c r="M12433" s="5"/>
    </row>
    <row r="12434" spans="13:13" ht="15" customHeight="1" x14ac:dyDescent="0.3">
      <c r="M12434" s="5"/>
    </row>
    <row r="12435" spans="13:13" ht="15" customHeight="1" x14ac:dyDescent="0.3">
      <c r="M12435" s="5"/>
    </row>
    <row r="12436" spans="13:13" ht="15" customHeight="1" x14ac:dyDescent="0.3">
      <c r="M12436" s="5"/>
    </row>
    <row r="12437" spans="13:13" ht="15" customHeight="1" x14ac:dyDescent="0.3">
      <c r="M12437" s="5"/>
    </row>
    <row r="12438" spans="13:13" ht="15" customHeight="1" x14ac:dyDescent="0.3">
      <c r="M12438" s="5"/>
    </row>
    <row r="12439" spans="13:13" ht="15" customHeight="1" x14ac:dyDescent="0.3">
      <c r="M12439" s="5"/>
    </row>
    <row r="12440" spans="13:13" ht="15" customHeight="1" x14ac:dyDescent="0.3">
      <c r="M12440" s="5"/>
    </row>
    <row r="12441" spans="13:13" ht="15" customHeight="1" x14ac:dyDescent="0.3">
      <c r="M12441" s="5"/>
    </row>
    <row r="12442" spans="13:13" ht="15" customHeight="1" x14ac:dyDescent="0.3">
      <c r="M12442" s="5"/>
    </row>
    <row r="12443" spans="13:13" ht="15" customHeight="1" x14ac:dyDescent="0.3">
      <c r="M12443" s="5"/>
    </row>
    <row r="12444" spans="13:13" ht="15" customHeight="1" x14ac:dyDescent="0.3">
      <c r="M12444" s="5"/>
    </row>
    <row r="12445" spans="13:13" ht="15" customHeight="1" x14ac:dyDescent="0.3">
      <c r="M12445" s="5"/>
    </row>
    <row r="12446" spans="13:13" ht="15" customHeight="1" x14ac:dyDescent="0.3">
      <c r="M12446" s="5"/>
    </row>
    <row r="12447" spans="13:13" ht="15" customHeight="1" x14ac:dyDescent="0.3">
      <c r="M12447" s="5"/>
    </row>
    <row r="12448" spans="13:13" ht="15" customHeight="1" x14ac:dyDescent="0.3">
      <c r="M12448" s="5"/>
    </row>
    <row r="12449" spans="13:13" ht="15" customHeight="1" x14ac:dyDescent="0.3">
      <c r="M12449" s="5"/>
    </row>
    <row r="12450" spans="13:13" ht="15" customHeight="1" x14ac:dyDescent="0.3">
      <c r="M12450" s="5"/>
    </row>
    <row r="12451" spans="13:13" ht="15" customHeight="1" x14ac:dyDescent="0.3">
      <c r="M12451" s="5"/>
    </row>
    <row r="12452" spans="13:13" ht="15" customHeight="1" x14ac:dyDescent="0.3">
      <c r="M12452" s="5"/>
    </row>
    <row r="12453" spans="13:13" ht="15" customHeight="1" x14ac:dyDescent="0.3">
      <c r="M12453" s="5"/>
    </row>
    <row r="12454" spans="13:13" ht="15" customHeight="1" x14ac:dyDescent="0.3">
      <c r="M12454" s="5"/>
    </row>
    <row r="12455" spans="13:13" ht="15" customHeight="1" x14ac:dyDescent="0.3">
      <c r="M12455" s="5"/>
    </row>
    <row r="12456" spans="13:13" ht="15" customHeight="1" x14ac:dyDescent="0.3">
      <c r="M12456" s="5"/>
    </row>
    <row r="12457" spans="13:13" ht="15" customHeight="1" x14ac:dyDescent="0.3">
      <c r="M12457" s="5"/>
    </row>
    <row r="12458" spans="13:13" ht="15" customHeight="1" x14ac:dyDescent="0.3">
      <c r="M12458" s="5"/>
    </row>
    <row r="12459" spans="13:13" ht="15" customHeight="1" x14ac:dyDescent="0.3">
      <c r="M12459" s="5"/>
    </row>
    <row r="12460" spans="13:13" ht="15" customHeight="1" x14ac:dyDescent="0.3">
      <c r="M12460" s="5"/>
    </row>
    <row r="12461" spans="13:13" ht="15" customHeight="1" x14ac:dyDescent="0.3">
      <c r="M12461" s="5"/>
    </row>
    <row r="12462" spans="13:13" ht="15" customHeight="1" x14ac:dyDescent="0.3">
      <c r="M12462" s="5"/>
    </row>
    <row r="12463" spans="13:13" ht="15" customHeight="1" x14ac:dyDescent="0.3">
      <c r="M12463" s="5"/>
    </row>
    <row r="12464" spans="13:13" ht="15" customHeight="1" x14ac:dyDescent="0.3">
      <c r="M12464" s="5"/>
    </row>
    <row r="12465" spans="13:13" ht="15" customHeight="1" x14ac:dyDescent="0.3">
      <c r="M12465" s="5"/>
    </row>
    <row r="12466" spans="13:13" ht="15" customHeight="1" x14ac:dyDescent="0.3">
      <c r="M12466" s="5"/>
    </row>
    <row r="12467" spans="13:13" ht="15" customHeight="1" x14ac:dyDescent="0.3">
      <c r="M12467" s="5"/>
    </row>
    <row r="12468" spans="13:13" ht="15" customHeight="1" x14ac:dyDescent="0.3">
      <c r="M12468" s="5"/>
    </row>
    <row r="12469" spans="13:13" ht="15" customHeight="1" x14ac:dyDescent="0.3">
      <c r="M12469" s="5"/>
    </row>
    <row r="12470" spans="13:13" ht="15" customHeight="1" x14ac:dyDescent="0.3">
      <c r="M12470" s="5"/>
    </row>
    <row r="12471" spans="13:13" ht="15" customHeight="1" x14ac:dyDescent="0.3">
      <c r="M12471" s="5"/>
    </row>
    <row r="12472" spans="13:13" ht="15" customHeight="1" x14ac:dyDescent="0.3">
      <c r="M12472" s="5"/>
    </row>
    <row r="12473" spans="13:13" ht="15" customHeight="1" x14ac:dyDescent="0.3">
      <c r="M12473" s="5"/>
    </row>
    <row r="12474" spans="13:13" ht="15" customHeight="1" x14ac:dyDescent="0.3">
      <c r="M12474" s="5"/>
    </row>
    <row r="12475" spans="13:13" ht="15" customHeight="1" x14ac:dyDescent="0.3">
      <c r="M12475" s="5"/>
    </row>
    <row r="12476" spans="13:13" ht="15" customHeight="1" x14ac:dyDescent="0.3">
      <c r="M12476" s="5"/>
    </row>
    <row r="12477" spans="13:13" ht="15" customHeight="1" x14ac:dyDescent="0.3">
      <c r="M12477" s="5"/>
    </row>
    <row r="12478" spans="13:13" ht="15" customHeight="1" x14ac:dyDescent="0.3">
      <c r="M12478" s="5"/>
    </row>
    <row r="12479" spans="13:13" ht="15" customHeight="1" x14ac:dyDescent="0.3">
      <c r="M12479" s="5"/>
    </row>
    <row r="12480" spans="13:13" ht="15" customHeight="1" x14ac:dyDescent="0.3">
      <c r="M12480" s="5"/>
    </row>
    <row r="12481" spans="13:13" ht="15" customHeight="1" x14ac:dyDescent="0.3">
      <c r="M12481" s="5"/>
    </row>
    <row r="12482" spans="13:13" ht="15" customHeight="1" x14ac:dyDescent="0.3">
      <c r="M12482" s="5"/>
    </row>
    <row r="12483" spans="13:13" ht="15" customHeight="1" x14ac:dyDescent="0.3">
      <c r="M12483" s="5"/>
    </row>
    <row r="12484" spans="13:13" ht="15" customHeight="1" x14ac:dyDescent="0.3">
      <c r="M12484" s="5"/>
    </row>
    <row r="12485" spans="13:13" ht="15" customHeight="1" x14ac:dyDescent="0.3">
      <c r="M12485" s="5"/>
    </row>
    <row r="12486" spans="13:13" ht="15" customHeight="1" x14ac:dyDescent="0.3">
      <c r="M12486" s="5"/>
    </row>
    <row r="12487" spans="13:13" ht="15" customHeight="1" x14ac:dyDescent="0.3">
      <c r="M12487" s="5"/>
    </row>
    <row r="12488" spans="13:13" ht="15" customHeight="1" x14ac:dyDescent="0.3">
      <c r="M12488" s="5"/>
    </row>
    <row r="12489" spans="13:13" ht="15" customHeight="1" x14ac:dyDescent="0.3">
      <c r="M12489" s="5"/>
    </row>
    <row r="12490" spans="13:13" ht="15" customHeight="1" x14ac:dyDescent="0.3">
      <c r="M12490" s="5"/>
    </row>
    <row r="12491" spans="13:13" ht="15" customHeight="1" x14ac:dyDescent="0.3">
      <c r="M12491" s="5"/>
    </row>
    <row r="12492" spans="13:13" ht="15" customHeight="1" x14ac:dyDescent="0.3">
      <c r="M12492" s="5"/>
    </row>
    <row r="12493" spans="13:13" ht="15" customHeight="1" x14ac:dyDescent="0.3">
      <c r="M12493" s="5"/>
    </row>
    <row r="12494" spans="13:13" ht="15" customHeight="1" x14ac:dyDescent="0.3">
      <c r="M12494" s="5"/>
    </row>
    <row r="12495" spans="13:13" ht="15" customHeight="1" x14ac:dyDescent="0.3">
      <c r="M12495" s="5"/>
    </row>
    <row r="12496" spans="13:13" ht="15" customHeight="1" x14ac:dyDescent="0.3">
      <c r="M12496" s="5"/>
    </row>
    <row r="12497" spans="13:13" ht="15" customHeight="1" x14ac:dyDescent="0.3">
      <c r="M12497" s="5"/>
    </row>
    <row r="12498" spans="13:13" ht="15" customHeight="1" x14ac:dyDescent="0.3">
      <c r="M12498" s="5"/>
    </row>
    <row r="12499" spans="13:13" ht="15" customHeight="1" x14ac:dyDescent="0.3">
      <c r="M12499" s="5"/>
    </row>
    <row r="12500" spans="13:13" ht="15" customHeight="1" x14ac:dyDescent="0.3">
      <c r="M12500" s="5"/>
    </row>
    <row r="12501" spans="13:13" ht="15" customHeight="1" x14ac:dyDescent="0.3">
      <c r="M12501" s="5"/>
    </row>
    <row r="12502" spans="13:13" ht="15" customHeight="1" x14ac:dyDescent="0.3">
      <c r="M12502" s="5"/>
    </row>
    <row r="12503" spans="13:13" ht="15" customHeight="1" x14ac:dyDescent="0.3">
      <c r="M12503" s="5"/>
    </row>
    <row r="12504" spans="13:13" ht="15" customHeight="1" x14ac:dyDescent="0.3">
      <c r="M12504" s="5"/>
    </row>
    <row r="12505" spans="13:13" ht="15" customHeight="1" x14ac:dyDescent="0.3">
      <c r="M12505" s="5"/>
    </row>
    <row r="12506" spans="13:13" ht="15" customHeight="1" x14ac:dyDescent="0.3">
      <c r="M12506" s="5"/>
    </row>
    <row r="12507" spans="13:13" ht="15" customHeight="1" x14ac:dyDescent="0.3">
      <c r="M12507" s="5"/>
    </row>
    <row r="12508" spans="13:13" ht="15" customHeight="1" x14ac:dyDescent="0.3">
      <c r="M12508" s="5"/>
    </row>
    <row r="12509" spans="13:13" ht="15" customHeight="1" x14ac:dyDescent="0.3">
      <c r="M12509" s="5"/>
    </row>
    <row r="12510" spans="13:13" ht="15" customHeight="1" x14ac:dyDescent="0.3">
      <c r="M12510" s="5"/>
    </row>
    <row r="12511" spans="13:13" ht="15" customHeight="1" x14ac:dyDescent="0.3">
      <c r="M12511" s="5"/>
    </row>
    <row r="12512" spans="13:13" ht="15" customHeight="1" x14ac:dyDescent="0.3">
      <c r="M12512" s="5"/>
    </row>
    <row r="12513" spans="13:13" ht="15" customHeight="1" x14ac:dyDescent="0.3">
      <c r="M12513" s="5"/>
    </row>
    <row r="12514" spans="13:13" ht="15" customHeight="1" x14ac:dyDescent="0.3">
      <c r="M12514" s="5"/>
    </row>
    <row r="12515" spans="13:13" ht="15" customHeight="1" x14ac:dyDescent="0.3">
      <c r="M12515" s="5"/>
    </row>
    <row r="12516" spans="13:13" ht="15" customHeight="1" x14ac:dyDescent="0.3">
      <c r="M12516" s="5"/>
    </row>
    <row r="12517" spans="13:13" ht="15" customHeight="1" x14ac:dyDescent="0.3">
      <c r="M12517" s="5"/>
    </row>
    <row r="12518" spans="13:13" ht="15" customHeight="1" x14ac:dyDescent="0.3">
      <c r="M12518" s="5"/>
    </row>
    <row r="12519" spans="13:13" ht="15" customHeight="1" x14ac:dyDescent="0.3">
      <c r="M12519" s="5"/>
    </row>
    <row r="12520" spans="13:13" ht="15" customHeight="1" x14ac:dyDescent="0.3">
      <c r="M12520" s="5"/>
    </row>
    <row r="12521" spans="13:13" ht="15" customHeight="1" x14ac:dyDescent="0.3">
      <c r="M12521" s="5"/>
    </row>
    <row r="12522" spans="13:13" ht="15" customHeight="1" x14ac:dyDescent="0.3">
      <c r="M12522" s="5"/>
    </row>
    <row r="12523" spans="13:13" ht="15" customHeight="1" x14ac:dyDescent="0.3">
      <c r="M12523" s="5"/>
    </row>
    <row r="12524" spans="13:13" ht="15" customHeight="1" x14ac:dyDescent="0.3">
      <c r="M12524" s="5"/>
    </row>
    <row r="12525" spans="13:13" ht="15" customHeight="1" x14ac:dyDescent="0.3">
      <c r="M12525" s="5"/>
    </row>
    <row r="12526" spans="13:13" ht="15" customHeight="1" x14ac:dyDescent="0.3">
      <c r="M12526" s="5"/>
    </row>
    <row r="12527" spans="13:13" ht="15" customHeight="1" x14ac:dyDescent="0.3">
      <c r="M12527" s="5"/>
    </row>
    <row r="12528" spans="13:13" ht="15" customHeight="1" x14ac:dyDescent="0.3">
      <c r="M12528" s="5"/>
    </row>
    <row r="12529" spans="13:13" ht="15" customHeight="1" x14ac:dyDescent="0.3">
      <c r="M12529" s="5"/>
    </row>
    <row r="12530" spans="13:13" ht="15" customHeight="1" x14ac:dyDescent="0.3">
      <c r="M12530" s="5"/>
    </row>
    <row r="12531" spans="13:13" ht="15" customHeight="1" x14ac:dyDescent="0.3">
      <c r="M12531" s="5"/>
    </row>
    <row r="12532" spans="13:13" ht="15" customHeight="1" x14ac:dyDescent="0.3">
      <c r="M12532" s="5"/>
    </row>
    <row r="12533" spans="13:13" ht="15" customHeight="1" x14ac:dyDescent="0.3">
      <c r="M12533" s="5"/>
    </row>
    <row r="12534" spans="13:13" ht="15" customHeight="1" x14ac:dyDescent="0.3">
      <c r="M12534" s="5"/>
    </row>
    <row r="12535" spans="13:13" ht="15" customHeight="1" x14ac:dyDescent="0.3">
      <c r="M12535" s="5"/>
    </row>
    <row r="12536" spans="13:13" ht="15" customHeight="1" x14ac:dyDescent="0.3">
      <c r="M12536" s="5"/>
    </row>
    <row r="12537" spans="13:13" ht="15" customHeight="1" x14ac:dyDescent="0.3">
      <c r="M12537" s="5"/>
    </row>
    <row r="12538" spans="13:13" ht="15" customHeight="1" x14ac:dyDescent="0.3">
      <c r="M12538" s="5"/>
    </row>
    <row r="12539" spans="13:13" ht="15" customHeight="1" x14ac:dyDescent="0.3">
      <c r="M12539" s="5"/>
    </row>
    <row r="12540" spans="13:13" ht="15" customHeight="1" x14ac:dyDescent="0.3">
      <c r="M12540" s="5"/>
    </row>
    <row r="12541" spans="13:13" ht="15" customHeight="1" x14ac:dyDescent="0.3">
      <c r="M12541" s="5"/>
    </row>
    <row r="12542" spans="13:13" ht="15" customHeight="1" x14ac:dyDescent="0.3">
      <c r="M12542" s="5"/>
    </row>
    <row r="12543" spans="13:13" ht="15" customHeight="1" x14ac:dyDescent="0.3">
      <c r="M12543" s="5"/>
    </row>
    <row r="12544" spans="13:13" ht="15" customHeight="1" x14ac:dyDescent="0.3">
      <c r="M12544" s="5"/>
    </row>
    <row r="12545" spans="13:13" ht="15" customHeight="1" x14ac:dyDescent="0.3">
      <c r="M12545" s="5"/>
    </row>
    <row r="12546" spans="13:13" ht="15" customHeight="1" x14ac:dyDescent="0.3">
      <c r="M12546" s="5"/>
    </row>
    <row r="12547" spans="13:13" ht="15" customHeight="1" x14ac:dyDescent="0.3">
      <c r="M12547" s="5"/>
    </row>
    <row r="12548" spans="13:13" ht="15" customHeight="1" x14ac:dyDescent="0.3">
      <c r="M12548" s="5"/>
    </row>
    <row r="12549" spans="13:13" ht="15" customHeight="1" x14ac:dyDescent="0.3">
      <c r="M12549" s="5"/>
    </row>
    <row r="12550" spans="13:13" ht="15" customHeight="1" x14ac:dyDescent="0.3">
      <c r="M12550" s="5"/>
    </row>
    <row r="12551" spans="13:13" ht="15" customHeight="1" x14ac:dyDescent="0.3">
      <c r="M12551" s="5"/>
    </row>
    <row r="12552" spans="13:13" ht="15" customHeight="1" x14ac:dyDescent="0.3">
      <c r="M12552" s="5"/>
    </row>
    <row r="12553" spans="13:13" ht="15" customHeight="1" x14ac:dyDescent="0.3">
      <c r="M12553" s="5"/>
    </row>
    <row r="12554" spans="13:13" ht="15" customHeight="1" x14ac:dyDescent="0.3">
      <c r="M12554" s="5"/>
    </row>
    <row r="12555" spans="13:13" ht="15" customHeight="1" x14ac:dyDescent="0.3">
      <c r="M12555" s="5"/>
    </row>
    <row r="12556" spans="13:13" ht="15" customHeight="1" x14ac:dyDescent="0.3">
      <c r="M12556" s="5"/>
    </row>
    <row r="12557" spans="13:13" ht="15" customHeight="1" x14ac:dyDescent="0.3">
      <c r="M12557" s="5"/>
    </row>
    <row r="12558" spans="13:13" ht="15" customHeight="1" x14ac:dyDescent="0.3">
      <c r="M12558" s="5"/>
    </row>
    <row r="12559" spans="13:13" ht="15" customHeight="1" x14ac:dyDescent="0.3">
      <c r="M12559" s="5"/>
    </row>
    <row r="12560" spans="13:13" ht="15" customHeight="1" x14ac:dyDescent="0.3">
      <c r="M12560" s="5"/>
    </row>
    <row r="12561" spans="13:13" ht="15" customHeight="1" x14ac:dyDescent="0.3">
      <c r="M12561" s="5"/>
    </row>
    <row r="12562" spans="13:13" ht="15" customHeight="1" x14ac:dyDescent="0.3">
      <c r="M12562" s="5"/>
    </row>
    <row r="12563" spans="13:13" ht="15" customHeight="1" x14ac:dyDescent="0.3">
      <c r="M12563" s="5"/>
    </row>
    <row r="12564" spans="13:13" ht="15" customHeight="1" x14ac:dyDescent="0.3">
      <c r="M12564" s="5"/>
    </row>
    <row r="12565" spans="13:13" ht="15" customHeight="1" x14ac:dyDescent="0.3">
      <c r="M12565" s="5"/>
    </row>
    <row r="12566" spans="13:13" ht="15" customHeight="1" x14ac:dyDescent="0.3">
      <c r="M12566" s="5"/>
    </row>
    <row r="12567" spans="13:13" ht="15" customHeight="1" x14ac:dyDescent="0.3">
      <c r="M12567" s="5"/>
    </row>
    <row r="12568" spans="13:13" ht="15" customHeight="1" x14ac:dyDescent="0.3">
      <c r="M12568" s="5"/>
    </row>
    <row r="12569" spans="13:13" ht="15" customHeight="1" x14ac:dyDescent="0.3">
      <c r="M12569" s="5"/>
    </row>
    <row r="12570" spans="13:13" ht="15" customHeight="1" x14ac:dyDescent="0.3">
      <c r="M12570" s="5"/>
    </row>
    <row r="12571" spans="13:13" ht="15" customHeight="1" x14ac:dyDescent="0.3">
      <c r="M12571" s="5"/>
    </row>
    <row r="12572" spans="13:13" ht="15" customHeight="1" x14ac:dyDescent="0.3">
      <c r="M12572" s="5"/>
    </row>
    <row r="12573" spans="13:13" ht="15" customHeight="1" x14ac:dyDescent="0.3">
      <c r="M12573" s="5"/>
    </row>
    <row r="12574" spans="13:13" ht="15" customHeight="1" x14ac:dyDescent="0.3">
      <c r="M12574" s="5"/>
    </row>
    <row r="12575" spans="13:13" ht="15" customHeight="1" x14ac:dyDescent="0.3">
      <c r="M12575" s="5"/>
    </row>
    <row r="12576" spans="13:13" ht="15" customHeight="1" x14ac:dyDescent="0.3">
      <c r="M12576" s="5"/>
    </row>
    <row r="12577" spans="13:13" ht="15" customHeight="1" x14ac:dyDescent="0.3">
      <c r="M12577" s="5"/>
    </row>
    <row r="12578" spans="13:13" ht="15" customHeight="1" x14ac:dyDescent="0.3">
      <c r="M12578" s="5"/>
    </row>
    <row r="12579" spans="13:13" ht="15" customHeight="1" x14ac:dyDescent="0.3">
      <c r="M12579" s="5"/>
    </row>
    <row r="12580" spans="13:13" ht="15" customHeight="1" x14ac:dyDescent="0.3">
      <c r="M12580" s="5"/>
    </row>
    <row r="12581" spans="13:13" ht="15" customHeight="1" x14ac:dyDescent="0.3">
      <c r="M12581" s="5"/>
    </row>
    <row r="12582" spans="13:13" ht="15" customHeight="1" x14ac:dyDescent="0.3">
      <c r="M12582" s="5"/>
    </row>
    <row r="12583" spans="13:13" ht="15" customHeight="1" x14ac:dyDescent="0.3">
      <c r="M12583" s="5"/>
    </row>
    <row r="12584" spans="13:13" ht="15" customHeight="1" x14ac:dyDescent="0.3">
      <c r="M12584" s="5"/>
    </row>
    <row r="12585" spans="13:13" ht="15" customHeight="1" x14ac:dyDescent="0.3">
      <c r="M12585" s="5"/>
    </row>
    <row r="12586" spans="13:13" ht="15" customHeight="1" x14ac:dyDescent="0.3">
      <c r="M12586" s="5"/>
    </row>
    <row r="12587" spans="13:13" ht="15" customHeight="1" x14ac:dyDescent="0.3">
      <c r="M12587" s="5"/>
    </row>
    <row r="12588" spans="13:13" ht="15" customHeight="1" x14ac:dyDescent="0.3">
      <c r="M12588" s="5"/>
    </row>
    <row r="12589" spans="13:13" ht="15" customHeight="1" x14ac:dyDescent="0.3">
      <c r="M12589" s="5"/>
    </row>
    <row r="12590" spans="13:13" ht="15" customHeight="1" x14ac:dyDescent="0.3">
      <c r="M12590" s="5"/>
    </row>
    <row r="12591" spans="13:13" ht="15" customHeight="1" x14ac:dyDescent="0.3">
      <c r="M12591" s="5"/>
    </row>
    <row r="12592" spans="13:13" ht="15" customHeight="1" x14ac:dyDescent="0.3">
      <c r="M12592" s="5"/>
    </row>
    <row r="12593" spans="13:13" ht="15" customHeight="1" x14ac:dyDescent="0.3">
      <c r="M12593" s="5"/>
    </row>
    <row r="12594" spans="13:13" ht="15" customHeight="1" x14ac:dyDescent="0.3">
      <c r="M12594" s="5"/>
    </row>
    <row r="12595" spans="13:13" ht="15" customHeight="1" x14ac:dyDescent="0.3">
      <c r="M12595" s="5"/>
    </row>
    <row r="12596" spans="13:13" ht="15" customHeight="1" x14ac:dyDescent="0.3">
      <c r="M12596" s="5"/>
    </row>
    <row r="12597" spans="13:13" ht="15" customHeight="1" x14ac:dyDescent="0.3">
      <c r="M12597" s="5"/>
    </row>
    <row r="12598" spans="13:13" ht="15" customHeight="1" x14ac:dyDescent="0.3">
      <c r="M12598" s="5"/>
    </row>
    <row r="12599" spans="13:13" ht="15" customHeight="1" x14ac:dyDescent="0.3">
      <c r="M12599" s="5"/>
    </row>
    <row r="12600" spans="13:13" ht="15" customHeight="1" x14ac:dyDescent="0.3">
      <c r="M12600" s="5"/>
    </row>
    <row r="12601" spans="13:13" ht="15" customHeight="1" x14ac:dyDescent="0.3">
      <c r="M12601" s="5"/>
    </row>
    <row r="12602" spans="13:13" ht="15" customHeight="1" x14ac:dyDescent="0.3">
      <c r="M12602" s="5"/>
    </row>
    <row r="12603" spans="13:13" ht="15" customHeight="1" x14ac:dyDescent="0.3">
      <c r="M12603" s="5"/>
    </row>
    <row r="12604" spans="13:13" ht="15" customHeight="1" x14ac:dyDescent="0.3">
      <c r="M12604" s="5"/>
    </row>
    <row r="12605" spans="13:13" ht="15" customHeight="1" x14ac:dyDescent="0.3">
      <c r="M12605" s="5"/>
    </row>
    <row r="12606" spans="13:13" ht="15" customHeight="1" x14ac:dyDescent="0.3">
      <c r="M12606" s="5"/>
    </row>
    <row r="12607" spans="13:13" ht="15" customHeight="1" x14ac:dyDescent="0.3">
      <c r="M12607" s="5"/>
    </row>
    <row r="12608" spans="13:13" ht="15" customHeight="1" x14ac:dyDescent="0.3">
      <c r="M12608" s="5"/>
    </row>
    <row r="12609" spans="13:13" ht="15" customHeight="1" x14ac:dyDescent="0.3">
      <c r="M12609" s="5"/>
    </row>
    <row r="12610" spans="13:13" ht="15" customHeight="1" x14ac:dyDescent="0.3">
      <c r="M12610" s="5"/>
    </row>
    <row r="12611" spans="13:13" ht="15" customHeight="1" x14ac:dyDescent="0.3">
      <c r="M12611" s="5"/>
    </row>
    <row r="12612" spans="13:13" ht="15" customHeight="1" x14ac:dyDescent="0.3">
      <c r="M12612" s="5"/>
    </row>
    <row r="12613" spans="13:13" ht="15" customHeight="1" x14ac:dyDescent="0.3">
      <c r="M12613" s="5"/>
    </row>
    <row r="12614" spans="13:13" ht="15" customHeight="1" x14ac:dyDescent="0.3">
      <c r="M12614" s="5"/>
    </row>
    <row r="12615" spans="13:13" ht="15" customHeight="1" x14ac:dyDescent="0.3">
      <c r="M12615" s="5"/>
    </row>
    <row r="12616" spans="13:13" ht="15" customHeight="1" x14ac:dyDescent="0.3">
      <c r="M12616" s="5"/>
    </row>
    <row r="12617" spans="13:13" ht="15" customHeight="1" x14ac:dyDescent="0.3">
      <c r="M12617" s="5"/>
    </row>
    <row r="12618" spans="13:13" ht="15" customHeight="1" x14ac:dyDescent="0.3">
      <c r="M12618" s="5"/>
    </row>
    <row r="12619" spans="13:13" ht="15" customHeight="1" x14ac:dyDescent="0.3">
      <c r="M12619" s="5"/>
    </row>
    <row r="12620" spans="13:13" ht="15" customHeight="1" x14ac:dyDescent="0.3">
      <c r="M12620" s="5"/>
    </row>
    <row r="12621" spans="13:13" ht="15" customHeight="1" x14ac:dyDescent="0.3">
      <c r="M12621" s="5"/>
    </row>
    <row r="12622" spans="13:13" ht="15" customHeight="1" x14ac:dyDescent="0.3">
      <c r="M12622" s="5"/>
    </row>
    <row r="12623" spans="13:13" ht="15" customHeight="1" x14ac:dyDescent="0.3">
      <c r="M12623" s="5"/>
    </row>
    <row r="12624" spans="13:13" ht="15" customHeight="1" x14ac:dyDescent="0.3">
      <c r="M12624" s="5"/>
    </row>
    <row r="12625" spans="13:13" ht="15" customHeight="1" x14ac:dyDescent="0.3">
      <c r="M12625" s="5"/>
    </row>
    <row r="12626" spans="13:13" ht="15" customHeight="1" x14ac:dyDescent="0.3">
      <c r="M12626" s="5"/>
    </row>
    <row r="12627" spans="13:13" ht="15" customHeight="1" x14ac:dyDescent="0.3">
      <c r="M12627" s="5"/>
    </row>
    <row r="12628" spans="13:13" ht="15" customHeight="1" x14ac:dyDescent="0.3">
      <c r="M12628" s="5"/>
    </row>
    <row r="12629" spans="13:13" ht="15" customHeight="1" x14ac:dyDescent="0.3">
      <c r="M12629" s="5"/>
    </row>
    <row r="12630" spans="13:13" ht="15" customHeight="1" x14ac:dyDescent="0.3">
      <c r="M12630" s="5"/>
    </row>
    <row r="12631" spans="13:13" ht="15" customHeight="1" x14ac:dyDescent="0.3">
      <c r="M12631" s="5"/>
    </row>
    <row r="12632" spans="13:13" ht="15" customHeight="1" x14ac:dyDescent="0.3">
      <c r="M12632" s="5"/>
    </row>
    <row r="12633" spans="13:13" ht="15" customHeight="1" x14ac:dyDescent="0.3">
      <c r="M12633" s="5"/>
    </row>
    <row r="12634" spans="13:13" ht="15" customHeight="1" x14ac:dyDescent="0.3">
      <c r="M12634" s="5"/>
    </row>
    <row r="12635" spans="13:13" ht="15" customHeight="1" x14ac:dyDescent="0.3">
      <c r="M12635" s="5"/>
    </row>
    <row r="12636" spans="13:13" ht="15" customHeight="1" x14ac:dyDescent="0.3">
      <c r="M12636" s="5"/>
    </row>
    <row r="12637" spans="13:13" ht="15" customHeight="1" x14ac:dyDescent="0.3">
      <c r="M12637" s="5"/>
    </row>
    <row r="12638" spans="13:13" ht="15" customHeight="1" x14ac:dyDescent="0.3">
      <c r="M12638" s="5"/>
    </row>
    <row r="12639" spans="13:13" ht="15" customHeight="1" x14ac:dyDescent="0.3">
      <c r="M12639" s="5"/>
    </row>
    <row r="12640" spans="13:13" ht="15" customHeight="1" x14ac:dyDescent="0.3">
      <c r="M12640" s="5"/>
    </row>
    <row r="12641" spans="13:13" ht="15" customHeight="1" x14ac:dyDescent="0.3">
      <c r="M12641" s="5"/>
    </row>
    <row r="12642" spans="13:13" ht="15" customHeight="1" x14ac:dyDescent="0.3">
      <c r="M12642" s="5"/>
    </row>
    <row r="12643" spans="13:13" ht="15" customHeight="1" x14ac:dyDescent="0.3">
      <c r="M12643" s="5"/>
    </row>
    <row r="12644" spans="13:13" ht="15" customHeight="1" x14ac:dyDescent="0.3">
      <c r="M12644" s="5"/>
    </row>
    <row r="12645" spans="13:13" ht="15" customHeight="1" x14ac:dyDescent="0.3">
      <c r="M12645" s="5"/>
    </row>
    <row r="12646" spans="13:13" ht="15" customHeight="1" x14ac:dyDescent="0.3">
      <c r="M12646" s="5"/>
    </row>
    <row r="12647" spans="13:13" ht="15" customHeight="1" x14ac:dyDescent="0.3">
      <c r="M12647" s="5"/>
    </row>
    <row r="12648" spans="13:13" ht="15" customHeight="1" x14ac:dyDescent="0.3">
      <c r="M12648" s="5"/>
    </row>
    <row r="12649" spans="13:13" ht="15" customHeight="1" x14ac:dyDescent="0.3">
      <c r="M12649" s="5"/>
    </row>
    <row r="12650" spans="13:13" ht="15" customHeight="1" x14ac:dyDescent="0.3">
      <c r="M12650" s="5"/>
    </row>
    <row r="12651" spans="13:13" ht="15" customHeight="1" x14ac:dyDescent="0.3">
      <c r="M12651" s="5"/>
    </row>
    <row r="12652" spans="13:13" ht="15" customHeight="1" x14ac:dyDescent="0.3">
      <c r="M12652" s="5"/>
    </row>
    <row r="12653" spans="13:13" ht="15" customHeight="1" x14ac:dyDescent="0.3">
      <c r="M12653" s="5"/>
    </row>
    <row r="12654" spans="13:13" ht="15" customHeight="1" x14ac:dyDescent="0.3">
      <c r="M12654" s="5"/>
    </row>
    <row r="12655" spans="13:13" ht="15" customHeight="1" x14ac:dyDescent="0.3">
      <c r="M12655" s="5"/>
    </row>
    <row r="12656" spans="13:13" ht="15" customHeight="1" x14ac:dyDescent="0.3">
      <c r="M12656" s="5"/>
    </row>
    <row r="12657" spans="13:13" ht="15" customHeight="1" x14ac:dyDescent="0.3">
      <c r="M12657" s="5"/>
    </row>
    <row r="12658" spans="13:13" ht="15" customHeight="1" x14ac:dyDescent="0.3">
      <c r="M12658" s="5"/>
    </row>
    <row r="12659" spans="13:13" ht="15" customHeight="1" x14ac:dyDescent="0.3">
      <c r="M12659" s="5"/>
    </row>
    <row r="12660" spans="13:13" ht="15" customHeight="1" x14ac:dyDescent="0.3">
      <c r="M12660" s="5"/>
    </row>
    <row r="12661" spans="13:13" ht="15" customHeight="1" x14ac:dyDescent="0.3">
      <c r="M12661" s="5"/>
    </row>
    <row r="12662" spans="13:13" ht="15" customHeight="1" x14ac:dyDescent="0.3">
      <c r="M12662" s="5"/>
    </row>
    <row r="12663" spans="13:13" ht="15" customHeight="1" x14ac:dyDescent="0.3">
      <c r="M12663" s="5"/>
    </row>
    <row r="12664" spans="13:13" ht="15" customHeight="1" x14ac:dyDescent="0.3">
      <c r="M12664" s="5"/>
    </row>
    <row r="12665" spans="13:13" ht="15" customHeight="1" x14ac:dyDescent="0.3">
      <c r="M12665" s="5"/>
    </row>
    <row r="12666" spans="13:13" ht="15" customHeight="1" x14ac:dyDescent="0.3">
      <c r="M12666" s="5"/>
    </row>
    <row r="12667" spans="13:13" ht="15" customHeight="1" x14ac:dyDescent="0.3">
      <c r="M12667" s="5"/>
    </row>
    <row r="12668" spans="13:13" ht="15" customHeight="1" x14ac:dyDescent="0.3">
      <c r="M12668" s="5"/>
    </row>
    <row r="12669" spans="13:13" ht="15" customHeight="1" x14ac:dyDescent="0.3">
      <c r="M12669" s="5"/>
    </row>
    <row r="12670" spans="13:13" ht="15" customHeight="1" x14ac:dyDescent="0.3">
      <c r="M12670" s="5"/>
    </row>
    <row r="12671" spans="13:13" ht="15" customHeight="1" x14ac:dyDescent="0.3">
      <c r="M12671" s="5"/>
    </row>
    <row r="12672" spans="13:13" ht="15" customHeight="1" x14ac:dyDescent="0.3">
      <c r="M12672" s="5"/>
    </row>
    <row r="12673" spans="13:13" ht="15" customHeight="1" x14ac:dyDescent="0.3">
      <c r="M12673" s="5"/>
    </row>
    <row r="12674" spans="13:13" ht="15" customHeight="1" x14ac:dyDescent="0.3">
      <c r="M12674" s="5"/>
    </row>
    <row r="12675" spans="13:13" ht="15" customHeight="1" x14ac:dyDescent="0.3">
      <c r="M12675" s="5"/>
    </row>
    <row r="12676" spans="13:13" ht="15" customHeight="1" x14ac:dyDescent="0.3">
      <c r="M12676" s="5"/>
    </row>
    <row r="12677" spans="13:13" ht="15" customHeight="1" x14ac:dyDescent="0.3">
      <c r="M12677" s="5"/>
    </row>
    <row r="12678" spans="13:13" ht="15" customHeight="1" x14ac:dyDescent="0.3">
      <c r="M12678" s="5"/>
    </row>
    <row r="12679" spans="13:13" ht="15" customHeight="1" x14ac:dyDescent="0.3">
      <c r="M12679" s="5"/>
    </row>
    <row r="12680" spans="13:13" ht="15" customHeight="1" x14ac:dyDescent="0.3">
      <c r="M12680" s="5"/>
    </row>
    <row r="12681" spans="13:13" ht="15" customHeight="1" x14ac:dyDescent="0.3">
      <c r="M12681" s="5"/>
    </row>
    <row r="12682" spans="13:13" ht="15" customHeight="1" x14ac:dyDescent="0.3">
      <c r="M12682" s="5"/>
    </row>
    <row r="12683" spans="13:13" ht="15" customHeight="1" x14ac:dyDescent="0.3">
      <c r="M12683" s="5"/>
    </row>
    <row r="12684" spans="13:13" ht="15" customHeight="1" x14ac:dyDescent="0.3">
      <c r="M12684" s="5"/>
    </row>
    <row r="12685" spans="13:13" ht="15" customHeight="1" x14ac:dyDescent="0.3">
      <c r="M12685" s="5"/>
    </row>
    <row r="12686" spans="13:13" ht="15" customHeight="1" x14ac:dyDescent="0.3">
      <c r="M12686" s="5"/>
    </row>
    <row r="12687" spans="13:13" ht="15" customHeight="1" x14ac:dyDescent="0.3">
      <c r="M12687" s="5"/>
    </row>
    <row r="12688" spans="13:13" ht="15" customHeight="1" x14ac:dyDescent="0.3">
      <c r="M12688" s="5"/>
    </row>
    <row r="12689" spans="13:13" ht="15" customHeight="1" x14ac:dyDescent="0.3">
      <c r="M12689" s="5"/>
    </row>
    <row r="12690" spans="13:13" ht="15" customHeight="1" x14ac:dyDescent="0.3">
      <c r="M12690" s="5"/>
    </row>
    <row r="12691" spans="13:13" ht="15" customHeight="1" x14ac:dyDescent="0.3">
      <c r="M12691" s="5"/>
    </row>
    <row r="12692" spans="13:13" ht="15" customHeight="1" x14ac:dyDescent="0.3">
      <c r="M12692" s="5"/>
    </row>
    <row r="12693" spans="13:13" ht="15" customHeight="1" x14ac:dyDescent="0.3">
      <c r="M12693" s="5"/>
    </row>
    <row r="12694" spans="13:13" ht="15" customHeight="1" x14ac:dyDescent="0.3">
      <c r="M12694" s="5"/>
    </row>
    <row r="12695" spans="13:13" ht="15" customHeight="1" x14ac:dyDescent="0.3">
      <c r="M12695" s="5"/>
    </row>
    <row r="12696" spans="13:13" ht="15" customHeight="1" x14ac:dyDescent="0.3">
      <c r="M12696" s="5"/>
    </row>
    <row r="12697" spans="13:13" ht="15" customHeight="1" x14ac:dyDescent="0.3">
      <c r="M12697" s="5"/>
    </row>
    <row r="12698" spans="13:13" ht="15" customHeight="1" x14ac:dyDescent="0.3">
      <c r="M12698" s="5"/>
    </row>
    <row r="12699" spans="13:13" ht="15" customHeight="1" x14ac:dyDescent="0.3">
      <c r="M12699" s="5"/>
    </row>
    <row r="12700" spans="13:13" ht="15" customHeight="1" x14ac:dyDescent="0.3">
      <c r="M12700" s="5"/>
    </row>
    <row r="12701" spans="13:13" ht="15" customHeight="1" x14ac:dyDescent="0.3">
      <c r="M12701" s="5"/>
    </row>
    <row r="12702" spans="13:13" ht="15" customHeight="1" x14ac:dyDescent="0.3">
      <c r="M12702" s="5"/>
    </row>
    <row r="12703" spans="13:13" ht="15" customHeight="1" x14ac:dyDescent="0.3">
      <c r="M12703" s="5"/>
    </row>
    <row r="12704" spans="13:13" ht="15" customHeight="1" x14ac:dyDescent="0.3">
      <c r="M12704" s="5"/>
    </row>
    <row r="12705" spans="13:13" ht="15" customHeight="1" x14ac:dyDescent="0.3">
      <c r="M12705" s="5"/>
    </row>
    <row r="12706" spans="13:13" ht="15" customHeight="1" x14ac:dyDescent="0.3">
      <c r="M12706" s="5"/>
    </row>
    <row r="12707" spans="13:13" ht="15" customHeight="1" x14ac:dyDescent="0.3">
      <c r="M12707" s="5"/>
    </row>
    <row r="12708" spans="13:13" ht="15" customHeight="1" x14ac:dyDescent="0.3">
      <c r="M12708" s="5"/>
    </row>
    <row r="12709" spans="13:13" ht="15" customHeight="1" x14ac:dyDescent="0.3">
      <c r="M12709" s="5"/>
    </row>
    <row r="12710" spans="13:13" ht="15" customHeight="1" x14ac:dyDescent="0.3">
      <c r="M12710" s="5"/>
    </row>
    <row r="12711" spans="13:13" ht="15" customHeight="1" x14ac:dyDescent="0.3">
      <c r="M12711" s="5"/>
    </row>
    <row r="12712" spans="13:13" ht="15" customHeight="1" x14ac:dyDescent="0.3">
      <c r="M12712" s="5"/>
    </row>
    <row r="12713" spans="13:13" ht="15" customHeight="1" x14ac:dyDescent="0.3">
      <c r="M12713" s="5"/>
    </row>
    <row r="12714" spans="13:13" ht="15" customHeight="1" x14ac:dyDescent="0.3">
      <c r="M12714" s="5"/>
    </row>
    <row r="12715" spans="13:13" ht="15" customHeight="1" x14ac:dyDescent="0.3">
      <c r="M12715" s="5"/>
    </row>
    <row r="12716" spans="13:13" ht="15" customHeight="1" x14ac:dyDescent="0.3">
      <c r="M12716" s="5"/>
    </row>
    <row r="12717" spans="13:13" ht="15" customHeight="1" x14ac:dyDescent="0.3">
      <c r="M12717" s="5"/>
    </row>
    <row r="12718" spans="13:13" ht="15" customHeight="1" x14ac:dyDescent="0.3">
      <c r="M12718" s="5"/>
    </row>
    <row r="12719" spans="13:13" ht="15" customHeight="1" x14ac:dyDescent="0.3">
      <c r="M12719" s="5"/>
    </row>
    <row r="12720" spans="13:13" ht="15" customHeight="1" x14ac:dyDescent="0.3">
      <c r="M12720" s="5"/>
    </row>
    <row r="12721" spans="13:13" ht="15" customHeight="1" x14ac:dyDescent="0.3">
      <c r="M12721" s="5"/>
    </row>
    <row r="12722" spans="13:13" ht="15" customHeight="1" x14ac:dyDescent="0.3">
      <c r="M12722" s="5"/>
    </row>
    <row r="12723" spans="13:13" ht="15" customHeight="1" x14ac:dyDescent="0.3">
      <c r="M12723" s="5"/>
    </row>
    <row r="12724" spans="13:13" ht="15" customHeight="1" x14ac:dyDescent="0.3">
      <c r="M12724" s="5"/>
    </row>
    <row r="12725" spans="13:13" ht="15" customHeight="1" x14ac:dyDescent="0.3">
      <c r="M12725" s="5"/>
    </row>
    <row r="12726" spans="13:13" ht="15" customHeight="1" x14ac:dyDescent="0.3">
      <c r="M12726" s="5"/>
    </row>
    <row r="12727" spans="13:13" ht="15" customHeight="1" x14ac:dyDescent="0.3">
      <c r="M12727" s="5"/>
    </row>
    <row r="12728" spans="13:13" ht="15" customHeight="1" x14ac:dyDescent="0.3">
      <c r="M12728" s="5"/>
    </row>
    <row r="12729" spans="13:13" ht="15" customHeight="1" x14ac:dyDescent="0.3">
      <c r="M12729" s="5"/>
    </row>
    <row r="12730" spans="13:13" ht="15" customHeight="1" x14ac:dyDescent="0.3">
      <c r="M12730" s="5"/>
    </row>
    <row r="12731" spans="13:13" ht="15" customHeight="1" x14ac:dyDescent="0.3">
      <c r="M12731" s="5"/>
    </row>
    <row r="12732" spans="13:13" ht="15" customHeight="1" x14ac:dyDescent="0.3">
      <c r="M12732" s="5"/>
    </row>
    <row r="12733" spans="13:13" ht="15" customHeight="1" x14ac:dyDescent="0.3">
      <c r="M12733" s="5"/>
    </row>
    <row r="12734" spans="13:13" ht="15" customHeight="1" x14ac:dyDescent="0.3">
      <c r="M12734" s="5"/>
    </row>
    <row r="12735" spans="13:13" ht="15" customHeight="1" x14ac:dyDescent="0.3">
      <c r="M12735" s="5"/>
    </row>
    <row r="12736" spans="13:13" ht="15" customHeight="1" x14ac:dyDescent="0.3">
      <c r="M12736" s="5"/>
    </row>
    <row r="12737" spans="13:13" ht="15" customHeight="1" x14ac:dyDescent="0.3">
      <c r="M12737" s="5"/>
    </row>
    <row r="12738" spans="13:13" ht="15" customHeight="1" x14ac:dyDescent="0.3">
      <c r="M12738" s="5"/>
    </row>
    <row r="12739" spans="13:13" ht="15" customHeight="1" x14ac:dyDescent="0.3">
      <c r="M12739" s="5"/>
    </row>
    <row r="12740" spans="13:13" ht="15" customHeight="1" x14ac:dyDescent="0.3">
      <c r="M12740" s="5"/>
    </row>
    <row r="12741" spans="13:13" ht="15" customHeight="1" x14ac:dyDescent="0.3">
      <c r="M12741" s="5"/>
    </row>
    <row r="12742" spans="13:13" ht="15" customHeight="1" x14ac:dyDescent="0.3">
      <c r="M12742" s="5"/>
    </row>
    <row r="12743" spans="13:13" ht="15" customHeight="1" x14ac:dyDescent="0.3">
      <c r="M12743" s="5"/>
    </row>
    <row r="12744" spans="13:13" ht="15" customHeight="1" x14ac:dyDescent="0.3">
      <c r="M12744" s="5"/>
    </row>
    <row r="12745" spans="13:13" ht="15" customHeight="1" x14ac:dyDescent="0.3">
      <c r="M12745" s="5"/>
    </row>
    <row r="12746" spans="13:13" ht="15" customHeight="1" x14ac:dyDescent="0.3">
      <c r="M12746" s="5"/>
    </row>
    <row r="12747" spans="13:13" ht="15" customHeight="1" x14ac:dyDescent="0.3">
      <c r="M12747" s="5"/>
    </row>
    <row r="12748" spans="13:13" ht="15" customHeight="1" x14ac:dyDescent="0.3">
      <c r="M12748" s="5"/>
    </row>
    <row r="12749" spans="13:13" ht="15" customHeight="1" x14ac:dyDescent="0.3">
      <c r="M12749" s="5"/>
    </row>
    <row r="12750" spans="13:13" ht="15" customHeight="1" x14ac:dyDescent="0.3">
      <c r="M12750" s="5"/>
    </row>
    <row r="12751" spans="13:13" ht="15" customHeight="1" x14ac:dyDescent="0.3">
      <c r="M12751" s="5"/>
    </row>
    <row r="12752" spans="13:13" ht="15" customHeight="1" x14ac:dyDescent="0.3">
      <c r="M12752" s="5"/>
    </row>
    <row r="12753" spans="13:13" ht="15" customHeight="1" x14ac:dyDescent="0.3">
      <c r="M12753" s="5"/>
    </row>
    <row r="12754" spans="13:13" ht="15" customHeight="1" x14ac:dyDescent="0.3">
      <c r="M12754" s="5"/>
    </row>
    <row r="12755" spans="13:13" ht="15" customHeight="1" x14ac:dyDescent="0.3">
      <c r="M12755" s="5"/>
    </row>
    <row r="12756" spans="13:13" ht="15" customHeight="1" x14ac:dyDescent="0.3">
      <c r="M12756" s="5"/>
    </row>
    <row r="12757" spans="13:13" ht="15" customHeight="1" x14ac:dyDescent="0.3">
      <c r="M12757" s="5"/>
    </row>
    <row r="12758" spans="13:13" ht="15" customHeight="1" x14ac:dyDescent="0.3">
      <c r="M12758" s="5"/>
    </row>
    <row r="12759" spans="13:13" ht="15" customHeight="1" x14ac:dyDescent="0.3">
      <c r="M12759" s="5"/>
    </row>
    <row r="12760" spans="13:13" ht="15" customHeight="1" x14ac:dyDescent="0.3">
      <c r="M12760" s="5"/>
    </row>
    <row r="12761" spans="13:13" ht="15" customHeight="1" x14ac:dyDescent="0.3">
      <c r="M12761" s="5"/>
    </row>
    <row r="12762" spans="13:13" ht="15" customHeight="1" x14ac:dyDescent="0.3">
      <c r="M12762" s="5"/>
    </row>
    <row r="12763" spans="13:13" ht="15" customHeight="1" x14ac:dyDescent="0.3">
      <c r="M12763" s="5"/>
    </row>
    <row r="12764" spans="13:13" ht="15" customHeight="1" x14ac:dyDescent="0.3">
      <c r="M12764" s="5"/>
    </row>
    <row r="12765" spans="13:13" ht="15" customHeight="1" x14ac:dyDescent="0.3">
      <c r="M12765" s="5"/>
    </row>
    <row r="12766" spans="13:13" ht="15" customHeight="1" x14ac:dyDescent="0.3">
      <c r="M12766" s="5"/>
    </row>
    <row r="12767" spans="13:13" ht="15" customHeight="1" x14ac:dyDescent="0.3">
      <c r="M12767" s="5"/>
    </row>
    <row r="12768" spans="13:13" ht="15" customHeight="1" x14ac:dyDescent="0.3">
      <c r="M12768" s="5"/>
    </row>
    <row r="12769" spans="13:13" ht="15" customHeight="1" x14ac:dyDescent="0.3">
      <c r="M12769" s="5"/>
    </row>
    <row r="12770" spans="13:13" ht="15" customHeight="1" x14ac:dyDescent="0.3">
      <c r="M12770" s="5"/>
    </row>
    <row r="12771" spans="13:13" ht="15" customHeight="1" x14ac:dyDescent="0.3">
      <c r="M12771" s="5"/>
    </row>
    <row r="12772" spans="13:13" ht="15" customHeight="1" x14ac:dyDescent="0.3">
      <c r="M12772" s="5"/>
    </row>
    <row r="12773" spans="13:13" ht="15" customHeight="1" x14ac:dyDescent="0.3">
      <c r="M12773" s="5"/>
    </row>
    <row r="12774" spans="13:13" ht="15" customHeight="1" x14ac:dyDescent="0.3">
      <c r="M12774" s="5"/>
    </row>
    <row r="12775" spans="13:13" ht="15" customHeight="1" x14ac:dyDescent="0.3">
      <c r="M12775" s="5"/>
    </row>
    <row r="12776" spans="13:13" ht="15" customHeight="1" x14ac:dyDescent="0.3">
      <c r="M12776" s="5"/>
    </row>
    <row r="12777" spans="13:13" ht="15" customHeight="1" x14ac:dyDescent="0.3">
      <c r="M12777" s="5"/>
    </row>
    <row r="12778" spans="13:13" ht="15" customHeight="1" x14ac:dyDescent="0.3">
      <c r="M12778" s="5"/>
    </row>
    <row r="12779" spans="13:13" ht="15" customHeight="1" x14ac:dyDescent="0.3">
      <c r="M12779" s="5"/>
    </row>
    <row r="12780" spans="13:13" ht="15" customHeight="1" x14ac:dyDescent="0.3">
      <c r="M12780" s="5"/>
    </row>
    <row r="12781" spans="13:13" ht="15" customHeight="1" x14ac:dyDescent="0.3">
      <c r="M12781" s="5"/>
    </row>
    <row r="12782" spans="13:13" ht="15" customHeight="1" x14ac:dyDescent="0.3">
      <c r="M12782" s="5"/>
    </row>
    <row r="12783" spans="13:13" ht="15" customHeight="1" x14ac:dyDescent="0.3">
      <c r="M12783" s="5"/>
    </row>
    <row r="12784" spans="13:13" ht="15" customHeight="1" x14ac:dyDescent="0.3">
      <c r="M12784" s="5"/>
    </row>
    <row r="12785" spans="13:13" ht="15" customHeight="1" x14ac:dyDescent="0.3">
      <c r="M12785" s="5"/>
    </row>
    <row r="12786" spans="13:13" ht="15" customHeight="1" x14ac:dyDescent="0.3">
      <c r="M12786" s="5"/>
    </row>
    <row r="12787" spans="13:13" ht="15" customHeight="1" x14ac:dyDescent="0.3">
      <c r="M12787" s="5"/>
    </row>
    <row r="12788" spans="13:13" ht="15" customHeight="1" x14ac:dyDescent="0.3">
      <c r="M12788" s="5"/>
    </row>
    <row r="12789" spans="13:13" ht="15" customHeight="1" x14ac:dyDescent="0.3">
      <c r="M12789" s="5"/>
    </row>
    <row r="12790" spans="13:13" ht="15" customHeight="1" x14ac:dyDescent="0.3">
      <c r="M12790" s="5"/>
    </row>
    <row r="12791" spans="13:13" ht="15" customHeight="1" x14ac:dyDescent="0.3">
      <c r="M12791" s="5"/>
    </row>
    <row r="12792" spans="13:13" ht="15" customHeight="1" x14ac:dyDescent="0.3">
      <c r="M12792" s="5"/>
    </row>
    <row r="12793" spans="13:13" ht="15" customHeight="1" x14ac:dyDescent="0.3">
      <c r="M12793" s="5"/>
    </row>
    <row r="12794" spans="13:13" ht="15" customHeight="1" x14ac:dyDescent="0.3">
      <c r="M12794" s="5"/>
    </row>
    <row r="12795" spans="13:13" ht="15" customHeight="1" x14ac:dyDescent="0.3">
      <c r="M12795" s="5"/>
    </row>
    <row r="12796" spans="13:13" ht="15" customHeight="1" x14ac:dyDescent="0.3">
      <c r="M12796" s="5"/>
    </row>
    <row r="12797" spans="13:13" ht="15" customHeight="1" x14ac:dyDescent="0.3">
      <c r="M12797" s="5"/>
    </row>
    <row r="12798" spans="13:13" ht="15" customHeight="1" x14ac:dyDescent="0.3">
      <c r="M12798" s="5"/>
    </row>
    <row r="12799" spans="13:13" ht="15" customHeight="1" x14ac:dyDescent="0.3">
      <c r="M12799" s="5"/>
    </row>
    <row r="12800" spans="13:13" ht="15" customHeight="1" x14ac:dyDescent="0.3">
      <c r="M12800" s="5"/>
    </row>
    <row r="12801" spans="13:13" ht="15" customHeight="1" x14ac:dyDescent="0.3">
      <c r="M12801" s="5"/>
    </row>
    <row r="12802" spans="13:13" ht="15" customHeight="1" x14ac:dyDescent="0.3">
      <c r="M12802" s="5"/>
    </row>
    <row r="12803" spans="13:13" ht="15" customHeight="1" x14ac:dyDescent="0.3">
      <c r="M12803" s="5"/>
    </row>
    <row r="12804" spans="13:13" ht="15" customHeight="1" x14ac:dyDescent="0.3">
      <c r="M12804" s="5"/>
    </row>
    <row r="12805" spans="13:13" ht="15" customHeight="1" x14ac:dyDescent="0.3">
      <c r="M12805" s="5"/>
    </row>
    <row r="12806" spans="13:13" ht="15" customHeight="1" x14ac:dyDescent="0.3">
      <c r="M12806" s="5"/>
    </row>
    <row r="12807" spans="13:13" ht="15" customHeight="1" x14ac:dyDescent="0.3">
      <c r="M12807" s="5"/>
    </row>
    <row r="12808" spans="13:13" ht="15" customHeight="1" x14ac:dyDescent="0.3">
      <c r="M12808" s="5"/>
    </row>
    <row r="12809" spans="13:13" ht="15" customHeight="1" x14ac:dyDescent="0.3">
      <c r="M12809" s="5"/>
    </row>
    <row r="12810" spans="13:13" ht="15" customHeight="1" x14ac:dyDescent="0.3">
      <c r="M12810" s="5"/>
    </row>
    <row r="12811" spans="13:13" ht="15" customHeight="1" x14ac:dyDescent="0.3">
      <c r="M12811" s="5"/>
    </row>
    <row r="12812" spans="13:13" ht="15" customHeight="1" x14ac:dyDescent="0.3">
      <c r="M12812" s="5"/>
    </row>
    <row r="12813" spans="13:13" ht="15" customHeight="1" x14ac:dyDescent="0.3">
      <c r="M12813" s="5"/>
    </row>
    <row r="12814" spans="13:13" ht="15" customHeight="1" x14ac:dyDescent="0.3">
      <c r="M12814" s="5"/>
    </row>
    <row r="12815" spans="13:13" ht="15" customHeight="1" x14ac:dyDescent="0.3">
      <c r="M12815" s="5"/>
    </row>
    <row r="12816" spans="13:13" ht="15" customHeight="1" x14ac:dyDescent="0.3">
      <c r="M12816" s="5"/>
    </row>
    <row r="12817" spans="13:13" ht="15" customHeight="1" x14ac:dyDescent="0.3">
      <c r="M12817" s="5"/>
    </row>
    <row r="12818" spans="13:13" ht="15" customHeight="1" x14ac:dyDescent="0.3">
      <c r="M12818" s="5"/>
    </row>
    <row r="12819" spans="13:13" ht="15" customHeight="1" x14ac:dyDescent="0.3">
      <c r="M12819" s="5"/>
    </row>
    <row r="12820" spans="13:13" ht="15" customHeight="1" x14ac:dyDescent="0.3">
      <c r="M12820" s="5"/>
    </row>
    <row r="12821" spans="13:13" ht="15" customHeight="1" x14ac:dyDescent="0.3">
      <c r="M12821" s="5"/>
    </row>
    <row r="12822" spans="13:13" ht="15" customHeight="1" x14ac:dyDescent="0.3">
      <c r="M12822" s="5"/>
    </row>
    <row r="12823" spans="13:13" ht="15" customHeight="1" x14ac:dyDescent="0.3">
      <c r="M12823" s="5"/>
    </row>
    <row r="12824" spans="13:13" ht="15" customHeight="1" x14ac:dyDescent="0.3">
      <c r="M12824" s="5"/>
    </row>
    <row r="12825" spans="13:13" ht="15" customHeight="1" x14ac:dyDescent="0.3">
      <c r="M12825" s="5"/>
    </row>
    <row r="12826" spans="13:13" ht="15" customHeight="1" x14ac:dyDescent="0.3">
      <c r="M12826" s="5"/>
    </row>
    <row r="12827" spans="13:13" ht="15" customHeight="1" x14ac:dyDescent="0.3">
      <c r="M12827" s="5"/>
    </row>
    <row r="12828" spans="13:13" ht="15" customHeight="1" x14ac:dyDescent="0.3">
      <c r="M12828" s="5"/>
    </row>
    <row r="12829" spans="13:13" ht="15" customHeight="1" x14ac:dyDescent="0.3">
      <c r="M12829" s="5"/>
    </row>
    <row r="12830" spans="13:13" ht="15" customHeight="1" x14ac:dyDescent="0.3">
      <c r="M12830" s="5"/>
    </row>
    <row r="12831" spans="13:13" ht="15" customHeight="1" x14ac:dyDescent="0.3">
      <c r="M12831" s="5"/>
    </row>
    <row r="12832" spans="13:13" ht="15" customHeight="1" x14ac:dyDescent="0.3">
      <c r="M12832" s="5"/>
    </row>
    <row r="12833" spans="13:13" ht="15" customHeight="1" x14ac:dyDescent="0.3">
      <c r="M12833" s="5"/>
    </row>
    <row r="12834" spans="13:13" ht="15" customHeight="1" x14ac:dyDescent="0.3">
      <c r="M12834" s="5"/>
    </row>
    <row r="12835" spans="13:13" ht="15" customHeight="1" x14ac:dyDescent="0.3">
      <c r="M12835" s="5"/>
    </row>
    <row r="12836" spans="13:13" ht="15" customHeight="1" x14ac:dyDescent="0.3">
      <c r="M12836" s="5"/>
    </row>
    <row r="12837" spans="13:13" ht="15" customHeight="1" x14ac:dyDescent="0.3">
      <c r="M12837" s="5"/>
    </row>
    <row r="12838" spans="13:13" ht="15" customHeight="1" x14ac:dyDescent="0.3">
      <c r="M12838" s="5"/>
    </row>
    <row r="12839" spans="13:13" ht="15" customHeight="1" x14ac:dyDescent="0.3">
      <c r="M12839" s="5"/>
    </row>
    <row r="12840" spans="13:13" ht="15" customHeight="1" x14ac:dyDescent="0.3">
      <c r="M12840" s="5"/>
    </row>
    <row r="12841" spans="13:13" ht="15" customHeight="1" x14ac:dyDescent="0.3">
      <c r="M12841" s="5"/>
    </row>
    <row r="12842" spans="13:13" ht="15" customHeight="1" x14ac:dyDescent="0.3">
      <c r="M12842" s="5"/>
    </row>
    <row r="12843" spans="13:13" ht="15" customHeight="1" x14ac:dyDescent="0.3">
      <c r="M12843" s="5"/>
    </row>
    <row r="12844" spans="13:13" ht="15" customHeight="1" x14ac:dyDescent="0.3">
      <c r="M12844" s="5"/>
    </row>
    <row r="12845" spans="13:13" ht="15" customHeight="1" x14ac:dyDescent="0.3">
      <c r="M12845" s="5"/>
    </row>
    <row r="12846" spans="13:13" ht="15" customHeight="1" x14ac:dyDescent="0.3">
      <c r="M12846" s="5"/>
    </row>
    <row r="12847" spans="13:13" ht="15" customHeight="1" x14ac:dyDescent="0.3">
      <c r="M12847" s="5"/>
    </row>
    <row r="12848" spans="13:13" ht="15" customHeight="1" x14ac:dyDescent="0.3">
      <c r="M12848" s="5"/>
    </row>
    <row r="12849" spans="13:13" ht="15" customHeight="1" x14ac:dyDescent="0.3">
      <c r="M12849" s="5"/>
    </row>
    <row r="12850" spans="13:13" ht="15" customHeight="1" x14ac:dyDescent="0.3">
      <c r="M12850" s="5"/>
    </row>
    <row r="12851" spans="13:13" ht="15" customHeight="1" x14ac:dyDescent="0.3">
      <c r="M12851" s="5"/>
    </row>
    <row r="12852" spans="13:13" ht="15" customHeight="1" x14ac:dyDescent="0.3">
      <c r="M12852" s="5"/>
    </row>
    <row r="12853" spans="13:13" ht="15" customHeight="1" x14ac:dyDescent="0.3">
      <c r="M12853" s="5"/>
    </row>
    <row r="12854" spans="13:13" ht="15" customHeight="1" x14ac:dyDescent="0.3">
      <c r="M12854" s="5"/>
    </row>
    <row r="12855" spans="13:13" ht="15" customHeight="1" x14ac:dyDescent="0.3">
      <c r="M12855" s="5"/>
    </row>
    <row r="12856" spans="13:13" ht="15" customHeight="1" x14ac:dyDescent="0.3">
      <c r="M12856" s="5"/>
    </row>
    <row r="12857" spans="13:13" ht="15" customHeight="1" x14ac:dyDescent="0.3">
      <c r="M12857" s="5"/>
    </row>
    <row r="12858" spans="13:13" ht="15" customHeight="1" x14ac:dyDescent="0.3">
      <c r="M12858" s="5"/>
    </row>
    <row r="12859" spans="13:13" ht="15" customHeight="1" x14ac:dyDescent="0.3">
      <c r="M12859" s="5"/>
    </row>
    <row r="12860" spans="13:13" ht="15" customHeight="1" x14ac:dyDescent="0.3">
      <c r="M12860" s="5"/>
    </row>
    <row r="12861" spans="13:13" ht="15" customHeight="1" x14ac:dyDescent="0.3">
      <c r="M12861" s="5"/>
    </row>
    <row r="12862" spans="13:13" ht="15" customHeight="1" x14ac:dyDescent="0.3">
      <c r="M12862" s="5"/>
    </row>
    <row r="12863" spans="13:13" ht="15" customHeight="1" x14ac:dyDescent="0.3">
      <c r="M12863" s="5"/>
    </row>
    <row r="12864" spans="13:13" ht="15" customHeight="1" x14ac:dyDescent="0.3">
      <c r="M12864" s="5"/>
    </row>
    <row r="12865" spans="13:13" ht="15" customHeight="1" x14ac:dyDescent="0.3">
      <c r="M12865" s="5"/>
    </row>
    <row r="12866" spans="13:13" ht="15" customHeight="1" x14ac:dyDescent="0.3">
      <c r="M12866" s="5"/>
    </row>
    <row r="12867" spans="13:13" ht="15" customHeight="1" x14ac:dyDescent="0.3">
      <c r="M12867" s="5"/>
    </row>
    <row r="12868" spans="13:13" ht="15" customHeight="1" x14ac:dyDescent="0.3">
      <c r="M12868" s="5"/>
    </row>
    <row r="12869" spans="13:13" ht="15" customHeight="1" x14ac:dyDescent="0.3">
      <c r="M12869" s="5"/>
    </row>
    <row r="12870" spans="13:13" ht="15" customHeight="1" x14ac:dyDescent="0.3">
      <c r="M12870" s="5"/>
    </row>
    <row r="12871" spans="13:13" ht="15" customHeight="1" x14ac:dyDescent="0.3">
      <c r="M12871" s="5"/>
    </row>
    <row r="12872" spans="13:13" ht="15" customHeight="1" x14ac:dyDescent="0.3">
      <c r="M12872" s="5"/>
    </row>
    <row r="12873" spans="13:13" ht="15" customHeight="1" x14ac:dyDescent="0.3">
      <c r="M12873" s="5"/>
    </row>
    <row r="12874" spans="13:13" ht="15" customHeight="1" x14ac:dyDescent="0.3">
      <c r="M12874" s="5"/>
    </row>
    <row r="12875" spans="13:13" ht="15" customHeight="1" x14ac:dyDescent="0.3">
      <c r="M12875" s="5"/>
    </row>
    <row r="12876" spans="13:13" ht="15" customHeight="1" x14ac:dyDescent="0.3">
      <c r="M12876" s="5"/>
    </row>
    <row r="12877" spans="13:13" ht="15" customHeight="1" x14ac:dyDescent="0.3">
      <c r="M12877" s="5"/>
    </row>
    <row r="12878" spans="13:13" ht="15" customHeight="1" x14ac:dyDescent="0.3">
      <c r="M12878" s="5"/>
    </row>
    <row r="12879" spans="13:13" ht="15" customHeight="1" x14ac:dyDescent="0.3">
      <c r="M12879" s="5"/>
    </row>
    <row r="12880" spans="13:13" ht="15" customHeight="1" x14ac:dyDescent="0.3">
      <c r="M12880" s="5"/>
    </row>
    <row r="12881" spans="13:13" ht="15" customHeight="1" x14ac:dyDescent="0.3">
      <c r="M12881" s="5"/>
    </row>
    <row r="12882" spans="13:13" ht="15" customHeight="1" x14ac:dyDescent="0.3">
      <c r="M12882" s="5"/>
    </row>
    <row r="12883" spans="13:13" ht="15" customHeight="1" x14ac:dyDescent="0.3">
      <c r="M12883" s="5"/>
    </row>
    <row r="12884" spans="13:13" ht="15" customHeight="1" x14ac:dyDescent="0.3">
      <c r="M12884" s="5"/>
    </row>
    <row r="12885" spans="13:13" ht="15" customHeight="1" x14ac:dyDescent="0.3">
      <c r="M12885" s="5"/>
    </row>
    <row r="12886" spans="13:13" ht="15" customHeight="1" x14ac:dyDescent="0.3">
      <c r="M12886" s="5"/>
    </row>
    <row r="12887" spans="13:13" ht="15" customHeight="1" x14ac:dyDescent="0.3">
      <c r="M12887" s="5"/>
    </row>
    <row r="12888" spans="13:13" ht="15" customHeight="1" x14ac:dyDescent="0.3">
      <c r="M12888" s="5"/>
    </row>
    <row r="12889" spans="13:13" ht="15" customHeight="1" x14ac:dyDescent="0.3">
      <c r="M12889" s="5"/>
    </row>
    <row r="12890" spans="13:13" ht="15" customHeight="1" x14ac:dyDescent="0.3">
      <c r="M12890" s="5"/>
    </row>
    <row r="12891" spans="13:13" ht="15" customHeight="1" x14ac:dyDescent="0.3">
      <c r="M12891" s="5"/>
    </row>
    <row r="12892" spans="13:13" ht="15" customHeight="1" x14ac:dyDescent="0.3">
      <c r="M12892" s="5"/>
    </row>
    <row r="12893" spans="13:13" ht="15" customHeight="1" x14ac:dyDescent="0.3">
      <c r="M12893" s="5"/>
    </row>
    <row r="12894" spans="13:13" ht="15" customHeight="1" x14ac:dyDescent="0.3">
      <c r="M12894" s="5"/>
    </row>
    <row r="12895" spans="13:13" ht="15" customHeight="1" x14ac:dyDescent="0.3">
      <c r="M12895" s="5"/>
    </row>
    <row r="12896" spans="13:13" ht="15" customHeight="1" x14ac:dyDescent="0.3">
      <c r="M12896" s="5"/>
    </row>
    <row r="12897" spans="13:13" ht="15" customHeight="1" x14ac:dyDescent="0.3">
      <c r="M12897" s="5"/>
    </row>
    <row r="12898" spans="13:13" ht="15" customHeight="1" x14ac:dyDescent="0.3">
      <c r="M12898" s="5"/>
    </row>
    <row r="12899" spans="13:13" ht="15" customHeight="1" x14ac:dyDescent="0.3">
      <c r="M12899" s="5"/>
    </row>
    <row r="12900" spans="13:13" ht="15" customHeight="1" x14ac:dyDescent="0.3">
      <c r="M12900" s="5"/>
    </row>
    <row r="12901" spans="13:13" ht="15" customHeight="1" x14ac:dyDescent="0.3">
      <c r="M12901" s="5"/>
    </row>
    <row r="12902" spans="13:13" ht="15" customHeight="1" x14ac:dyDescent="0.3">
      <c r="M12902" s="5"/>
    </row>
    <row r="12903" spans="13:13" ht="15" customHeight="1" x14ac:dyDescent="0.3">
      <c r="M12903" s="5"/>
    </row>
    <row r="12904" spans="13:13" ht="15" customHeight="1" x14ac:dyDescent="0.3">
      <c r="M12904" s="5"/>
    </row>
    <row r="12905" spans="13:13" ht="15" customHeight="1" x14ac:dyDescent="0.3">
      <c r="M12905" s="5"/>
    </row>
    <row r="12906" spans="13:13" ht="15" customHeight="1" x14ac:dyDescent="0.3">
      <c r="M12906" s="5"/>
    </row>
    <row r="12907" spans="13:13" ht="15" customHeight="1" x14ac:dyDescent="0.3">
      <c r="M12907" s="5"/>
    </row>
    <row r="12908" spans="13:13" ht="15" customHeight="1" x14ac:dyDescent="0.3">
      <c r="M12908" s="5"/>
    </row>
    <row r="12909" spans="13:13" ht="15" customHeight="1" x14ac:dyDescent="0.3">
      <c r="M12909" s="5"/>
    </row>
    <row r="12910" spans="13:13" ht="15" customHeight="1" x14ac:dyDescent="0.3">
      <c r="M12910" s="5"/>
    </row>
    <row r="12911" spans="13:13" ht="15" customHeight="1" x14ac:dyDescent="0.3">
      <c r="M12911" s="5"/>
    </row>
    <row r="12912" spans="13:13" ht="15" customHeight="1" x14ac:dyDescent="0.3">
      <c r="M12912" s="5"/>
    </row>
    <row r="12913" spans="13:13" ht="15" customHeight="1" x14ac:dyDescent="0.3">
      <c r="M12913" s="5"/>
    </row>
    <row r="12914" spans="13:13" ht="15" customHeight="1" x14ac:dyDescent="0.3">
      <c r="M12914" s="5"/>
    </row>
    <row r="12915" spans="13:13" ht="15" customHeight="1" x14ac:dyDescent="0.3">
      <c r="M12915" s="5"/>
    </row>
    <row r="12916" spans="13:13" ht="15" customHeight="1" x14ac:dyDescent="0.3">
      <c r="M12916" s="5"/>
    </row>
    <row r="12917" spans="13:13" ht="15" customHeight="1" x14ac:dyDescent="0.3">
      <c r="M12917" s="5"/>
    </row>
    <row r="12918" spans="13:13" ht="15" customHeight="1" x14ac:dyDescent="0.3">
      <c r="M12918" s="5"/>
    </row>
    <row r="12919" spans="13:13" ht="15" customHeight="1" x14ac:dyDescent="0.3">
      <c r="M12919" s="5"/>
    </row>
    <row r="12920" spans="13:13" ht="15" customHeight="1" x14ac:dyDescent="0.3">
      <c r="M12920" s="5"/>
    </row>
    <row r="12921" spans="13:13" ht="15" customHeight="1" x14ac:dyDescent="0.3">
      <c r="M12921" s="5"/>
    </row>
    <row r="12922" spans="13:13" ht="15" customHeight="1" x14ac:dyDescent="0.3">
      <c r="M12922" s="5"/>
    </row>
    <row r="12923" spans="13:13" ht="15" customHeight="1" x14ac:dyDescent="0.3">
      <c r="M12923" s="5"/>
    </row>
    <row r="12924" spans="13:13" ht="15" customHeight="1" x14ac:dyDescent="0.3">
      <c r="M12924" s="5"/>
    </row>
    <row r="12925" spans="13:13" ht="15" customHeight="1" x14ac:dyDescent="0.3">
      <c r="M12925" s="5"/>
    </row>
    <row r="12926" spans="13:13" ht="15" customHeight="1" x14ac:dyDescent="0.3">
      <c r="M12926" s="5"/>
    </row>
    <row r="12927" spans="13:13" ht="15" customHeight="1" x14ac:dyDescent="0.3">
      <c r="M12927" s="5"/>
    </row>
    <row r="12928" spans="13:13" ht="15" customHeight="1" x14ac:dyDescent="0.3">
      <c r="M12928" s="5"/>
    </row>
    <row r="12929" spans="13:13" ht="15" customHeight="1" x14ac:dyDescent="0.3">
      <c r="M12929" s="5"/>
    </row>
    <row r="12930" spans="13:13" ht="15" customHeight="1" x14ac:dyDescent="0.3">
      <c r="M12930" s="5"/>
    </row>
    <row r="12931" spans="13:13" ht="15" customHeight="1" x14ac:dyDescent="0.3">
      <c r="M12931" s="5"/>
    </row>
    <row r="12932" spans="13:13" ht="15" customHeight="1" x14ac:dyDescent="0.3">
      <c r="M12932" s="5"/>
    </row>
    <row r="12933" spans="13:13" ht="15" customHeight="1" x14ac:dyDescent="0.3">
      <c r="M12933" s="5"/>
    </row>
    <row r="12934" spans="13:13" ht="15" customHeight="1" x14ac:dyDescent="0.3">
      <c r="M12934" s="5"/>
    </row>
    <row r="12935" spans="13:13" ht="15" customHeight="1" x14ac:dyDescent="0.3">
      <c r="M12935" s="5"/>
    </row>
    <row r="12936" spans="13:13" ht="15" customHeight="1" x14ac:dyDescent="0.3">
      <c r="M12936" s="5"/>
    </row>
    <row r="12937" spans="13:13" ht="15" customHeight="1" x14ac:dyDescent="0.3">
      <c r="M12937" s="5"/>
    </row>
    <row r="12938" spans="13:13" ht="15" customHeight="1" x14ac:dyDescent="0.3">
      <c r="M12938" s="5"/>
    </row>
    <row r="12939" spans="13:13" ht="15" customHeight="1" x14ac:dyDescent="0.3">
      <c r="M12939" s="5"/>
    </row>
    <row r="12940" spans="13:13" ht="15" customHeight="1" x14ac:dyDescent="0.3">
      <c r="M12940" s="5"/>
    </row>
    <row r="12941" spans="13:13" ht="15" customHeight="1" x14ac:dyDescent="0.3">
      <c r="M12941" s="5"/>
    </row>
    <row r="12942" spans="13:13" ht="15" customHeight="1" x14ac:dyDescent="0.3">
      <c r="M12942" s="5"/>
    </row>
    <row r="12943" spans="13:13" ht="15" customHeight="1" x14ac:dyDescent="0.3">
      <c r="M12943" s="5"/>
    </row>
    <row r="12944" spans="13:13" ht="15" customHeight="1" x14ac:dyDescent="0.3">
      <c r="M12944" s="5"/>
    </row>
    <row r="12945" spans="13:13" ht="15" customHeight="1" x14ac:dyDescent="0.3">
      <c r="M12945" s="5"/>
    </row>
    <row r="12946" spans="13:13" ht="15" customHeight="1" x14ac:dyDescent="0.3">
      <c r="M12946" s="5"/>
    </row>
    <row r="12947" spans="13:13" ht="15" customHeight="1" x14ac:dyDescent="0.3">
      <c r="M12947" s="5"/>
    </row>
    <row r="12948" spans="13:13" ht="15" customHeight="1" x14ac:dyDescent="0.3">
      <c r="M12948" s="5"/>
    </row>
    <row r="12949" spans="13:13" ht="15" customHeight="1" x14ac:dyDescent="0.3">
      <c r="M12949" s="5"/>
    </row>
    <row r="12950" spans="13:13" ht="15" customHeight="1" x14ac:dyDescent="0.3">
      <c r="M12950" s="5"/>
    </row>
    <row r="12951" spans="13:13" ht="15" customHeight="1" x14ac:dyDescent="0.3">
      <c r="M12951" s="5"/>
    </row>
    <row r="12952" spans="13:13" ht="15" customHeight="1" x14ac:dyDescent="0.3">
      <c r="M12952" s="5"/>
    </row>
    <row r="12953" spans="13:13" ht="15" customHeight="1" x14ac:dyDescent="0.3">
      <c r="M12953" s="5"/>
    </row>
    <row r="12954" spans="13:13" ht="15" customHeight="1" x14ac:dyDescent="0.3">
      <c r="M12954" s="5"/>
    </row>
    <row r="12955" spans="13:13" ht="15" customHeight="1" x14ac:dyDescent="0.3">
      <c r="M12955" s="5"/>
    </row>
    <row r="12956" spans="13:13" ht="15" customHeight="1" x14ac:dyDescent="0.3">
      <c r="M12956" s="5"/>
    </row>
    <row r="12957" spans="13:13" ht="15" customHeight="1" x14ac:dyDescent="0.3">
      <c r="M12957" s="5"/>
    </row>
    <row r="12958" spans="13:13" ht="15" customHeight="1" x14ac:dyDescent="0.3">
      <c r="M12958" s="5"/>
    </row>
    <row r="12959" spans="13:13" ht="15" customHeight="1" x14ac:dyDescent="0.3">
      <c r="M12959" s="5"/>
    </row>
    <row r="12960" spans="13:13" ht="15" customHeight="1" x14ac:dyDescent="0.3">
      <c r="M12960" s="5"/>
    </row>
    <row r="12961" spans="13:13" ht="15" customHeight="1" x14ac:dyDescent="0.3">
      <c r="M12961" s="5"/>
    </row>
    <row r="12962" spans="13:13" ht="15" customHeight="1" x14ac:dyDescent="0.3">
      <c r="M12962" s="5"/>
    </row>
    <row r="12963" spans="13:13" ht="15" customHeight="1" x14ac:dyDescent="0.3">
      <c r="M12963" s="5"/>
    </row>
    <row r="12964" spans="13:13" ht="15" customHeight="1" x14ac:dyDescent="0.3">
      <c r="M12964" s="5"/>
    </row>
    <row r="12965" spans="13:13" ht="15" customHeight="1" x14ac:dyDescent="0.3">
      <c r="M12965" s="5"/>
    </row>
    <row r="12966" spans="13:13" ht="15" customHeight="1" x14ac:dyDescent="0.3">
      <c r="M12966" s="5"/>
    </row>
    <row r="12967" spans="13:13" ht="15" customHeight="1" x14ac:dyDescent="0.3">
      <c r="M12967" s="5"/>
    </row>
    <row r="12968" spans="13:13" ht="15" customHeight="1" x14ac:dyDescent="0.3">
      <c r="M12968" s="5"/>
    </row>
    <row r="12969" spans="13:13" ht="15" customHeight="1" x14ac:dyDescent="0.3">
      <c r="M12969" s="5"/>
    </row>
    <row r="12970" spans="13:13" ht="15" customHeight="1" x14ac:dyDescent="0.3">
      <c r="M12970" s="5"/>
    </row>
    <row r="12971" spans="13:13" ht="15" customHeight="1" x14ac:dyDescent="0.3">
      <c r="M12971" s="5"/>
    </row>
    <row r="12972" spans="13:13" ht="15" customHeight="1" x14ac:dyDescent="0.3">
      <c r="M12972" s="5"/>
    </row>
    <row r="12973" spans="13:13" ht="15" customHeight="1" x14ac:dyDescent="0.3">
      <c r="M12973" s="5"/>
    </row>
    <row r="12974" spans="13:13" ht="15" customHeight="1" x14ac:dyDescent="0.3">
      <c r="M12974" s="5"/>
    </row>
    <row r="12975" spans="13:13" ht="15" customHeight="1" x14ac:dyDescent="0.3">
      <c r="M12975" s="5"/>
    </row>
    <row r="12976" spans="13:13" ht="15" customHeight="1" x14ac:dyDescent="0.3">
      <c r="M12976" s="5"/>
    </row>
    <row r="12977" spans="13:13" ht="15" customHeight="1" x14ac:dyDescent="0.3">
      <c r="M12977" s="5"/>
    </row>
    <row r="12978" spans="13:13" ht="15" customHeight="1" x14ac:dyDescent="0.3">
      <c r="M12978" s="5"/>
    </row>
    <row r="12979" spans="13:13" ht="15" customHeight="1" x14ac:dyDescent="0.3">
      <c r="M12979" s="5"/>
    </row>
    <row r="12980" spans="13:13" ht="15" customHeight="1" x14ac:dyDescent="0.3">
      <c r="M12980" s="5"/>
    </row>
    <row r="12981" spans="13:13" ht="15" customHeight="1" x14ac:dyDescent="0.3">
      <c r="M12981" s="5"/>
    </row>
    <row r="12982" spans="13:13" ht="15" customHeight="1" x14ac:dyDescent="0.3">
      <c r="M12982" s="5"/>
    </row>
    <row r="12983" spans="13:13" ht="15" customHeight="1" x14ac:dyDescent="0.3">
      <c r="M12983" s="5"/>
    </row>
    <row r="12984" spans="13:13" ht="15" customHeight="1" x14ac:dyDescent="0.3">
      <c r="M12984" s="5"/>
    </row>
    <row r="12985" spans="13:13" ht="15" customHeight="1" x14ac:dyDescent="0.3">
      <c r="M12985" s="5"/>
    </row>
    <row r="12986" spans="13:13" ht="15" customHeight="1" x14ac:dyDescent="0.3">
      <c r="M12986" s="5"/>
    </row>
    <row r="12987" spans="13:13" ht="15" customHeight="1" x14ac:dyDescent="0.3">
      <c r="M12987" s="5"/>
    </row>
    <row r="12988" spans="13:13" ht="15" customHeight="1" x14ac:dyDescent="0.3">
      <c r="M12988" s="5"/>
    </row>
    <row r="12989" spans="13:13" ht="15" customHeight="1" x14ac:dyDescent="0.3">
      <c r="M12989" s="5"/>
    </row>
    <row r="12990" spans="13:13" ht="15" customHeight="1" x14ac:dyDescent="0.3">
      <c r="M12990" s="5"/>
    </row>
    <row r="12991" spans="13:13" ht="15" customHeight="1" x14ac:dyDescent="0.3">
      <c r="M12991" s="5"/>
    </row>
    <row r="12992" spans="13:13" ht="15" customHeight="1" x14ac:dyDescent="0.3">
      <c r="M12992" s="5"/>
    </row>
    <row r="12993" spans="13:13" ht="15" customHeight="1" x14ac:dyDescent="0.3">
      <c r="M12993" s="5"/>
    </row>
    <row r="12994" spans="13:13" ht="15" customHeight="1" x14ac:dyDescent="0.3">
      <c r="M12994" s="5"/>
    </row>
    <row r="12995" spans="13:13" ht="15" customHeight="1" x14ac:dyDescent="0.3">
      <c r="M12995" s="5"/>
    </row>
    <row r="12996" spans="13:13" ht="15" customHeight="1" x14ac:dyDescent="0.3">
      <c r="M12996" s="5"/>
    </row>
    <row r="12997" spans="13:13" ht="15" customHeight="1" x14ac:dyDescent="0.3">
      <c r="M12997" s="5"/>
    </row>
    <row r="12998" spans="13:13" ht="15" customHeight="1" x14ac:dyDescent="0.3">
      <c r="M12998" s="5"/>
    </row>
    <row r="12999" spans="13:13" ht="15" customHeight="1" x14ac:dyDescent="0.3">
      <c r="M12999" s="5"/>
    </row>
    <row r="13000" spans="13:13" ht="15" customHeight="1" x14ac:dyDescent="0.3">
      <c r="M13000" s="5"/>
    </row>
    <row r="13001" spans="13:13" ht="15" customHeight="1" x14ac:dyDescent="0.3">
      <c r="M13001" s="5"/>
    </row>
    <row r="13002" spans="13:13" ht="15" customHeight="1" x14ac:dyDescent="0.3">
      <c r="M13002" s="5"/>
    </row>
    <row r="13003" spans="13:13" ht="15" customHeight="1" x14ac:dyDescent="0.3">
      <c r="M13003" s="5"/>
    </row>
    <row r="13004" spans="13:13" ht="15" customHeight="1" x14ac:dyDescent="0.3">
      <c r="M13004" s="5"/>
    </row>
    <row r="13005" spans="13:13" ht="15" customHeight="1" x14ac:dyDescent="0.3">
      <c r="M13005" s="5"/>
    </row>
    <row r="13006" spans="13:13" ht="15" customHeight="1" x14ac:dyDescent="0.3">
      <c r="M13006" s="5"/>
    </row>
    <row r="13007" spans="13:13" ht="15" customHeight="1" x14ac:dyDescent="0.3">
      <c r="M13007" s="5"/>
    </row>
    <row r="13008" spans="13:13" ht="15" customHeight="1" x14ac:dyDescent="0.3">
      <c r="M13008" s="5"/>
    </row>
    <row r="13009" spans="13:13" ht="15" customHeight="1" x14ac:dyDescent="0.3">
      <c r="M13009" s="5"/>
    </row>
    <row r="13010" spans="13:13" ht="15" customHeight="1" x14ac:dyDescent="0.3">
      <c r="M13010" s="5"/>
    </row>
    <row r="13011" spans="13:13" ht="15" customHeight="1" x14ac:dyDescent="0.3">
      <c r="M13011" s="5"/>
    </row>
    <row r="13012" spans="13:13" ht="15" customHeight="1" x14ac:dyDescent="0.3">
      <c r="M13012" s="5"/>
    </row>
    <row r="13013" spans="13:13" ht="15" customHeight="1" x14ac:dyDescent="0.3">
      <c r="M13013" s="5"/>
    </row>
    <row r="13014" spans="13:13" ht="15" customHeight="1" x14ac:dyDescent="0.3">
      <c r="M13014" s="5"/>
    </row>
    <row r="13015" spans="13:13" ht="15" customHeight="1" x14ac:dyDescent="0.3">
      <c r="M13015" s="5"/>
    </row>
    <row r="13016" spans="13:13" ht="15" customHeight="1" x14ac:dyDescent="0.3">
      <c r="M13016" s="5"/>
    </row>
    <row r="13017" spans="13:13" ht="15" customHeight="1" x14ac:dyDescent="0.3">
      <c r="M13017" s="5"/>
    </row>
    <row r="13018" spans="13:13" ht="15" customHeight="1" x14ac:dyDescent="0.3">
      <c r="M13018" s="5"/>
    </row>
    <row r="13019" spans="13:13" ht="15" customHeight="1" x14ac:dyDescent="0.3">
      <c r="M13019" s="5"/>
    </row>
    <row r="13020" spans="13:13" ht="15" customHeight="1" x14ac:dyDescent="0.3">
      <c r="M13020" s="5"/>
    </row>
    <row r="13021" spans="13:13" ht="15" customHeight="1" x14ac:dyDescent="0.3">
      <c r="M13021" s="5"/>
    </row>
    <row r="13022" spans="13:13" ht="15" customHeight="1" x14ac:dyDescent="0.3">
      <c r="M13022" s="5"/>
    </row>
    <row r="13023" spans="13:13" ht="15" customHeight="1" x14ac:dyDescent="0.3">
      <c r="M13023" s="5"/>
    </row>
    <row r="13024" spans="13:13" ht="15" customHeight="1" x14ac:dyDescent="0.3">
      <c r="M13024" s="5"/>
    </row>
    <row r="13025" spans="13:13" ht="15" customHeight="1" x14ac:dyDescent="0.3">
      <c r="M13025" s="5"/>
    </row>
    <row r="13026" spans="13:13" ht="15" customHeight="1" x14ac:dyDescent="0.3">
      <c r="M13026" s="5"/>
    </row>
    <row r="13027" spans="13:13" ht="15" customHeight="1" x14ac:dyDescent="0.3">
      <c r="M13027" s="5"/>
    </row>
    <row r="13028" spans="13:13" ht="15" customHeight="1" x14ac:dyDescent="0.3">
      <c r="M13028" s="5"/>
    </row>
    <row r="13029" spans="13:13" ht="15" customHeight="1" x14ac:dyDescent="0.3">
      <c r="M13029" s="5"/>
    </row>
    <row r="13030" spans="13:13" ht="15" customHeight="1" x14ac:dyDescent="0.3">
      <c r="M13030" s="5"/>
    </row>
    <row r="13031" spans="13:13" ht="15" customHeight="1" x14ac:dyDescent="0.3">
      <c r="M13031" s="5"/>
    </row>
    <row r="13032" spans="13:13" ht="15" customHeight="1" x14ac:dyDescent="0.3">
      <c r="M13032" s="5"/>
    </row>
    <row r="13033" spans="13:13" ht="15" customHeight="1" x14ac:dyDescent="0.3">
      <c r="M13033" s="5"/>
    </row>
    <row r="13034" spans="13:13" ht="15" customHeight="1" x14ac:dyDescent="0.3">
      <c r="M13034" s="5"/>
    </row>
    <row r="13035" spans="13:13" ht="15" customHeight="1" x14ac:dyDescent="0.3">
      <c r="M13035" s="5"/>
    </row>
    <row r="13036" spans="13:13" ht="15" customHeight="1" x14ac:dyDescent="0.3">
      <c r="M13036" s="5"/>
    </row>
    <row r="13037" spans="13:13" ht="15" customHeight="1" x14ac:dyDescent="0.3">
      <c r="M13037" s="5"/>
    </row>
    <row r="13038" spans="13:13" ht="15" customHeight="1" x14ac:dyDescent="0.3">
      <c r="M13038" s="5"/>
    </row>
    <row r="13039" spans="13:13" ht="15" customHeight="1" x14ac:dyDescent="0.3">
      <c r="M13039" s="5"/>
    </row>
    <row r="13040" spans="13:13" ht="15" customHeight="1" x14ac:dyDescent="0.3">
      <c r="M13040" s="5"/>
    </row>
    <row r="13041" spans="13:13" ht="15" customHeight="1" x14ac:dyDescent="0.3">
      <c r="M13041" s="5"/>
    </row>
    <row r="13042" spans="13:13" ht="15" customHeight="1" x14ac:dyDescent="0.3">
      <c r="M13042" s="5"/>
    </row>
    <row r="13043" spans="13:13" ht="15" customHeight="1" x14ac:dyDescent="0.3">
      <c r="M13043" s="5"/>
    </row>
    <row r="13044" spans="13:13" ht="15" customHeight="1" x14ac:dyDescent="0.3">
      <c r="M13044" s="5"/>
    </row>
    <row r="13045" spans="13:13" ht="15" customHeight="1" x14ac:dyDescent="0.3">
      <c r="M13045" s="5"/>
    </row>
    <row r="13046" spans="13:13" ht="15" customHeight="1" x14ac:dyDescent="0.3">
      <c r="M13046" s="5"/>
    </row>
    <row r="13047" spans="13:13" ht="15" customHeight="1" x14ac:dyDescent="0.3">
      <c r="M13047" s="5"/>
    </row>
    <row r="13048" spans="13:13" ht="15" customHeight="1" x14ac:dyDescent="0.3">
      <c r="M13048" s="5"/>
    </row>
    <row r="13049" spans="13:13" ht="15" customHeight="1" x14ac:dyDescent="0.3">
      <c r="M13049" s="5"/>
    </row>
    <row r="13050" spans="13:13" ht="15" customHeight="1" x14ac:dyDescent="0.3">
      <c r="M13050" s="5"/>
    </row>
    <row r="13051" spans="13:13" ht="15" customHeight="1" x14ac:dyDescent="0.3">
      <c r="M13051" s="5"/>
    </row>
    <row r="13052" spans="13:13" ht="15" customHeight="1" x14ac:dyDescent="0.3">
      <c r="M13052" s="5"/>
    </row>
    <row r="13053" spans="13:13" ht="15" customHeight="1" x14ac:dyDescent="0.3">
      <c r="M13053" s="5"/>
    </row>
    <row r="13054" spans="13:13" ht="15" customHeight="1" x14ac:dyDescent="0.3">
      <c r="M13054" s="5"/>
    </row>
    <row r="13055" spans="13:13" ht="15" customHeight="1" x14ac:dyDescent="0.3">
      <c r="M13055" s="5"/>
    </row>
    <row r="13056" spans="13:13" ht="15" customHeight="1" x14ac:dyDescent="0.3">
      <c r="M13056" s="5"/>
    </row>
    <row r="13057" spans="13:13" ht="15" customHeight="1" x14ac:dyDescent="0.3">
      <c r="M13057" s="5"/>
    </row>
    <row r="13058" spans="13:13" ht="15" customHeight="1" x14ac:dyDescent="0.3">
      <c r="M13058" s="5"/>
    </row>
    <row r="13059" spans="13:13" ht="15" customHeight="1" x14ac:dyDescent="0.3">
      <c r="M13059" s="5"/>
    </row>
    <row r="13060" spans="13:13" ht="15" customHeight="1" x14ac:dyDescent="0.3">
      <c r="M13060" s="5"/>
    </row>
    <row r="13061" spans="13:13" ht="15" customHeight="1" x14ac:dyDescent="0.3">
      <c r="M13061" s="5"/>
    </row>
    <row r="13062" spans="13:13" ht="15" customHeight="1" x14ac:dyDescent="0.3">
      <c r="M13062" s="5"/>
    </row>
    <row r="13063" spans="13:13" ht="15" customHeight="1" x14ac:dyDescent="0.3">
      <c r="M13063" s="5"/>
    </row>
    <row r="13064" spans="13:13" ht="15" customHeight="1" x14ac:dyDescent="0.3">
      <c r="M13064" s="5"/>
    </row>
    <row r="13065" spans="13:13" ht="15" customHeight="1" x14ac:dyDescent="0.3">
      <c r="M13065" s="5"/>
    </row>
    <row r="13066" spans="13:13" ht="15" customHeight="1" x14ac:dyDescent="0.3">
      <c r="M13066" s="5"/>
    </row>
    <row r="13067" spans="13:13" ht="15" customHeight="1" x14ac:dyDescent="0.3">
      <c r="M13067" s="5"/>
    </row>
    <row r="13068" spans="13:13" ht="15" customHeight="1" x14ac:dyDescent="0.3">
      <c r="M13068" s="5"/>
    </row>
    <row r="13069" spans="13:13" ht="15" customHeight="1" x14ac:dyDescent="0.3">
      <c r="M13069" s="5"/>
    </row>
    <row r="13070" spans="13:13" ht="15" customHeight="1" x14ac:dyDescent="0.3">
      <c r="M13070" s="5"/>
    </row>
    <row r="13071" spans="13:13" ht="15" customHeight="1" x14ac:dyDescent="0.3">
      <c r="M13071" s="5"/>
    </row>
    <row r="13072" spans="13:13" ht="15" customHeight="1" x14ac:dyDescent="0.3">
      <c r="M13072" s="5"/>
    </row>
    <row r="13073" spans="13:13" ht="15" customHeight="1" x14ac:dyDescent="0.3">
      <c r="M13073" s="5"/>
    </row>
    <row r="13074" spans="13:13" ht="15" customHeight="1" x14ac:dyDescent="0.3">
      <c r="M13074" s="5"/>
    </row>
    <row r="13075" spans="13:13" ht="15" customHeight="1" x14ac:dyDescent="0.3">
      <c r="M13075" s="5"/>
    </row>
    <row r="13076" spans="13:13" ht="15" customHeight="1" x14ac:dyDescent="0.3">
      <c r="M13076" s="5"/>
    </row>
    <row r="13077" spans="13:13" ht="15" customHeight="1" x14ac:dyDescent="0.3">
      <c r="M13077" s="5"/>
    </row>
    <row r="13078" spans="13:13" ht="15" customHeight="1" x14ac:dyDescent="0.3">
      <c r="M13078" s="5"/>
    </row>
    <row r="13079" spans="13:13" ht="15" customHeight="1" x14ac:dyDescent="0.3">
      <c r="M13079" s="5"/>
    </row>
    <row r="13080" spans="13:13" ht="15" customHeight="1" x14ac:dyDescent="0.3">
      <c r="M13080" s="5"/>
    </row>
    <row r="13081" spans="13:13" ht="15" customHeight="1" x14ac:dyDescent="0.3">
      <c r="M13081" s="5"/>
    </row>
    <row r="13082" spans="13:13" ht="15" customHeight="1" x14ac:dyDescent="0.3">
      <c r="M13082" s="5"/>
    </row>
    <row r="13083" spans="13:13" ht="15" customHeight="1" x14ac:dyDescent="0.3">
      <c r="M13083" s="5"/>
    </row>
    <row r="13084" spans="13:13" ht="15" customHeight="1" x14ac:dyDescent="0.3">
      <c r="M13084" s="5"/>
    </row>
    <row r="13085" spans="13:13" ht="15" customHeight="1" x14ac:dyDescent="0.3">
      <c r="M13085" s="5"/>
    </row>
    <row r="13086" spans="13:13" ht="15" customHeight="1" x14ac:dyDescent="0.3">
      <c r="M13086" s="5"/>
    </row>
    <row r="13087" spans="13:13" ht="15" customHeight="1" x14ac:dyDescent="0.3">
      <c r="M13087" s="5"/>
    </row>
    <row r="13088" spans="13:13" ht="15" customHeight="1" x14ac:dyDescent="0.3">
      <c r="M13088" s="5"/>
    </row>
    <row r="13089" spans="13:13" ht="15" customHeight="1" x14ac:dyDescent="0.3">
      <c r="M13089" s="5"/>
    </row>
    <row r="13090" spans="13:13" ht="15" customHeight="1" x14ac:dyDescent="0.3">
      <c r="M13090" s="5"/>
    </row>
    <row r="13091" spans="13:13" ht="15" customHeight="1" x14ac:dyDescent="0.3">
      <c r="M13091" s="5"/>
    </row>
    <row r="13092" spans="13:13" ht="15" customHeight="1" x14ac:dyDescent="0.3">
      <c r="M13092" s="5"/>
    </row>
    <row r="13093" spans="13:13" ht="15" customHeight="1" x14ac:dyDescent="0.3">
      <c r="M13093" s="5"/>
    </row>
    <row r="13094" spans="13:13" ht="15" customHeight="1" x14ac:dyDescent="0.3">
      <c r="M13094" s="5"/>
    </row>
    <row r="13095" spans="13:13" ht="15" customHeight="1" x14ac:dyDescent="0.3">
      <c r="M13095" s="5"/>
    </row>
    <row r="13096" spans="13:13" ht="15" customHeight="1" x14ac:dyDescent="0.3">
      <c r="M13096" s="5"/>
    </row>
    <row r="13097" spans="13:13" ht="15" customHeight="1" x14ac:dyDescent="0.3">
      <c r="M13097" s="5"/>
    </row>
    <row r="13098" spans="13:13" ht="15" customHeight="1" x14ac:dyDescent="0.3">
      <c r="M13098" s="5"/>
    </row>
    <row r="13099" spans="13:13" ht="15" customHeight="1" x14ac:dyDescent="0.3">
      <c r="M13099" s="5"/>
    </row>
    <row r="13100" spans="13:13" ht="15" customHeight="1" x14ac:dyDescent="0.3">
      <c r="M13100" s="5"/>
    </row>
    <row r="13101" spans="13:13" ht="15" customHeight="1" x14ac:dyDescent="0.3">
      <c r="M13101" s="5"/>
    </row>
    <row r="13102" spans="13:13" ht="15" customHeight="1" x14ac:dyDescent="0.3">
      <c r="M13102" s="5"/>
    </row>
    <row r="13103" spans="13:13" ht="15" customHeight="1" x14ac:dyDescent="0.3">
      <c r="M13103" s="5"/>
    </row>
    <row r="13104" spans="13:13" ht="15" customHeight="1" x14ac:dyDescent="0.3">
      <c r="M13104" s="5"/>
    </row>
    <row r="13105" spans="13:13" ht="15" customHeight="1" x14ac:dyDescent="0.3">
      <c r="M13105" s="5"/>
    </row>
    <row r="13106" spans="13:13" ht="15" customHeight="1" x14ac:dyDescent="0.3">
      <c r="M13106" s="5"/>
    </row>
    <row r="13107" spans="13:13" ht="15" customHeight="1" x14ac:dyDescent="0.3">
      <c r="M13107" s="5"/>
    </row>
    <row r="13108" spans="13:13" ht="15" customHeight="1" x14ac:dyDescent="0.3">
      <c r="M13108" s="5"/>
    </row>
    <row r="13109" spans="13:13" ht="15" customHeight="1" x14ac:dyDescent="0.3">
      <c r="M13109" s="5"/>
    </row>
    <row r="13110" spans="13:13" ht="15" customHeight="1" x14ac:dyDescent="0.3">
      <c r="M13110" s="5"/>
    </row>
    <row r="13111" spans="13:13" ht="15" customHeight="1" x14ac:dyDescent="0.3">
      <c r="M13111" s="5"/>
    </row>
    <row r="13112" spans="13:13" ht="15" customHeight="1" x14ac:dyDescent="0.3">
      <c r="M13112" s="5"/>
    </row>
    <row r="13113" spans="13:13" ht="15" customHeight="1" x14ac:dyDescent="0.3">
      <c r="M13113" s="5"/>
    </row>
    <row r="13114" spans="13:13" ht="15" customHeight="1" x14ac:dyDescent="0.3">
      <c r="M13114" s="5"/>
    </row>
    <row r="13115" spans="13:13" ht="15" customHeight="1" x14ac:dyDescent="0.3">
      <c r="M13115" s="5"/>
    </row>
    <row r="13116" spans="13:13" ht="15" customHeight="1" x14ac:dyDescent="0.3">
      <c r="M13116" s="5"/>
    </row>
    <row r="13117" spans="13:13" ht="15" customHeight="1" x14ac:dyDescent="0.3">
      <c r="M13117" s="5"/>
    </row>
    <row r="13118" spans="13:13" ht="15" customHeight="1" x14ac:dyDescent="0.3">
      <c r="M13118" s="5"/>
    </row>
    <row r="13119" spans="13:13" ht="15" customHeight="1" x14ac:dyDescent="0.3">
      <c r="M13119" s="5"/>
    </row>
    <row r="13120" spans="13:13" ht="15" customHeight="1" x14ac:dyDescent="0.3">
      <c r="M13120" s="5"/>
    </row>
    <row r="13121" spans="13:13" ht="15" customHeight="1" x14ac:dyDescent="0.3">
      <c r="M13121" s="5"/>
    </row>
    <row r="13122" spans="13:13" ht="15" customHeight="1" x14ac:dyDescent="0.3">
      <c r="M13122" s="5"/>
    </row>
    <row r="13123" spans="13:13" ht="15" customHeight="1" x14ac:dyDescent="0.3">
      <c r="M13123" s="5"/>
    </row>
    <row r="13124" spans="13:13" ht="15" customHeight="1" x14ac:dyDescent="0.3">
      <c r="M13124" s="5"/>
    </row>
    <row r="13125" spans="13:13" ht="15" customHeight="1" x14ac:dyDescent="0.3">
      <c r="M13125" s="5"/>
    </row>
    <row r="13126" spans="13:13" ht="15" customHeight="1" x14ac:dyDescent="0.3">
      <c r="M13126" s="5"/>
    </row>
    <row r="13127" spans="13:13" ht="15" customHeight="1" x14ac:dyDescent="0.3">
      <c r="M13127" s="5"/>
    </row>
    <row r="13128" spans="13:13" ht="15" customHeight="1" x14ac:dyDescent="0.3">
      <c r="M13128" s="5"/>
    </row>
    <row r="13129" spans="13:13" ht="15" customHeight="1" x14ac:dyDescent="0.3">
      <c r="M13129" s="5"/>
    </row>
    <row r="13130" spans="13:13" ht="15" customHeight="1" x14ac:dyDescent="0.3">
      <c r="M13130" s="5"/>
    </row>
    <row r="13131" spans="13:13" ht="15" customHeight="1" x14ac:dyDescent="0.3">
      <c r="M13131" s="5"/>
    </row>
    <row r="13132" spans="13:13" ht="15" customHeight="1" x14ac:dyDescent="0.3">
      <c r="M13132" s="5"/>
    </row>
    <row r="13133" spans="13:13" ht="15" customHeight="1" x14ac:dyDescent="0.3">
      <c r="M13133" s="5"/>
    </row>
    <row r="13134" spans="13:13" ht="15" customHeight="1" x14ac:dyDescent="0.3">
      <c r="M13134" s="5"/>
    </row>
    <row r="13135" spans="13:13" ht="15" customHeight="1" x14ac:dyDescent="0.3">
      <c r="M13135" s="5"/>
    </row>
    <row r="13136" spans="13:13" ht="15" customHeight="1" x14ac:dyDescent="0.3">
      <c r="M13136" s="5"/>
    </row>
    <row r="13137" spans="13:13" ht="15" customHeight="1" x14ac:dyDescent="0.3">
      <c r="M13137" s="5"/>
    </row>
    <row r="13138" spans="13:13" ht="15" customHeight="1" x14ac:dyDescent="0.3">
      <c r="M13138" s="5"/>
    </row>
    <row r="13139" spans="13:13" ht="15" customHeight="1" x14ac:dyDescent="0.3">
      <c r="M13139" s="5"/>
    </row>
    <row r="13140" spans="13:13" ht="15" customHeight="1" x14ac:dyDescent="0.3">
      <c r="M13140" s="5"/>
    </row>
    <row r="13141" spans="13:13" ht="15" customHeight="1" x14ac:dyDescent="0.3">
      <c r="M13141" s="5"/>
    </row>
    <row r="13142" spans="13:13" ht="15" customHeight="1" x14ac:dyDescent="0.3">
      <c r="M13142" s="5"/>
    </row>
    <row r="13143" spans="13:13" ht="15" customHeight="1" x14ac:dyDescent="0.3">
      <c r="M13143" s="5"/>
    </row>
    <row r="13144" spans="13:13" ht="15" customHeight="1" x14ac:dyDescent="0.3">
      <c r="M13144" s="5"/>
    </row>
    <row r="13145" spans="13:13" ht="15" customHeight="1" x14ac:dyDescent="0.3">
      <c r="M13145" s="5"/>
    </row>
    <row r="13146" spans="13:13" ht="15" customHeight="1" x14ac:dyDescent="0.3">
      <c r="M13146" s="5"/>
    </row>
    <row r="13147" spans="13:13" ht="15" customHeight="1" x14ac:dyDescent="0.3">
      <c r="M13147" s="5"/>
    </row>
    <row r="13148" spans="13:13" ht="15" customHeight="1" x14ac:dyDescent="0.3">
      <c r="M13148" s="5"/>
    </row>
    <row r="13149" spans="13:13" ht="15" customHeight="1" x14ac:dyDescent="0.3">
      <c r="M13149" s="5"/>
    </row>
    <row r="13150" spans="13:13" ht="15" customHeight="1" x14ac:dyDescent="0.3">
      <c r="M13150" s="5"/>
    </row>
    <row r="13151" spans="13:13" ht="15" customHeight="1" x14ac:dyDescent="0.3">
      <c r="M13151" s="5"/>
    </row>
    <row r="13152" spans="13:13" ht="15" customHeight="1" x14ac:dyDescent="0.3">
      <c r="M13152" s="5"/>
    </row>
    <row r="13153" spans="13:13" ht="15" customHeight="1" x14ac:dyDescent="0.3">
      <c r="M13153" s="5"/>
    </row>
    <row r="13154" spans="13:13" ht="15" customHeight="1" x14ac:dyDescent="0.3">
      <c r="M13154" s="5"/>
    </row>
    <row r="13155" spans="13:13" ht="15" customHeight="1" x14ac:dyDescent="0.3">
      <c r="M13155" s="5"/>
    </row>
    <row r="13156" spans="13:13" ht="15" customHeight="1" x14ac:dyDescent="0.3">
      <c r="M13156" s="5"/>
    </row>
    <row r="13157" spans="13:13" ht="15" customHeight="1" x14ac:dyDescent="0.3">
      <c r="M13157" s="5"/>
    </row>
    <row r="13158" spans="13:13" ht="15" customHeight="1" x14ac:dyDescent="0.3">
      <c r="M13158" s="5"/>
    </row>
    <row r="13159" spans="13:13" ht="15" customHeight="1" x14ac:dyDescent="0.3">
      <c r="M13159" s="5"/>
    </row>
    <row r="13160" spans="13:13" ht="15" customHeight="1" x14ac:dyDescent="0.3">
      <c r="M13160" s="5"/>
    </row>
    <row r="13161" spans="13:13" ht="15" customHeight="1" x14ac:dyDescent="0.3">
      <c r="M13161" s="5"/>
    </row>
    <row r="13162" spans="13:13" ht="15" customHeight="1" x14ac:dyDescent="0.3">
      <c r="M13162" s="5"/>
    </row>
    <row r="13163" spans="13:13" ht="15" customHeight="1" x14ac:dyDescent="0.3">
      <c r="M13163" s="5"/>
    </row>
    <row r="13164" spans="13:13" ht="15" customHeight="1" x14ac:dyDescent="0.3">
      <c r="M13164" s="5"/>
    </row>
    <row r="13165" spans="13:13" ht="15" customHeight="1" x14ac:dyDescent="0.3">
      <c r="M13165" s="5"/>
    </row>
    <row r="13166" spans="13:13" ht="15" customHeight="1" x14ac:dyDescent="0.3">
      <c r="M13166" s="5"/>
    </row>
    <row r="13167" spans="13:13" ht="15" customHeight="1" x14ac:dyDescent="0.3">
      <c r="M13167" s="5"/>
    </row>
    <row r="13168" spans="13:13" ht="15" customHeight="1" x14ac:dyDescent="0.3">
      <c r="M13168" s="5"/>
    </row>
    <row r="13169" spans="13:13" ht="15" customHeight="1" x14ac:dyDescent="0.3">
      <c r="M13169" s="5"/>
    </row>
    <row r="13170" spans="13:13" ht="15" customHeight="1" x14ac:dyDescent="0.3">
      <c r="M13170" s="5"/>
    </row>
    <row r="13171" spans="13:13" ht="15" customHeight="1" x14ac:dyDescent="0.3">
      <c r="M13171" s="5"/>
    </row>
    <row r="13172" spans="13:13" ht="15" customHeight="1" x14ac:dyDescent="0.3">
      <c r="M13172" s="5"/>
    </row>
    <row r="13173" spans="13:13" ht="15" customHeight="1" x14ac:dyDescent="0.3">
      <c r="M13173" s="5"/>
    </row>
    <row r="13174" spans="13:13" ht="15" customHeight="1" x14ac:dyDescent="0.3">
      <c r="M13174" s="5"/>
    </row>
    <row r="13175" spans="13:13" ht="15" customHeight="1" x14ac:dyDescent="0.3">
      <c r="M13175" s="5"/>
    </row>
    <row r="13176" spans="13:13" ht="15" customHeight="1" x14ac:dyDescent="0.3">
      <c r="M13176" s="5"/>
    </row>
    <row r="13177" spans="13:13" ht="15" customHeight="1" x14ac:dyDescent="0.3">
      <c r="M13177" s="5"/>
    </row>
    <row r="13178" spans="13:13" ht="15" customHeight="1" x14ac:dyDescent="0.3">
      <c r="M13178" s="5"/>
    </row>
    <row r="13179" spans="13:13" ht="15" customHeight="1" x14ac:dyDescent="0.3">
      <c r="M13179" s="5"/>
    </row>
    <row r="13180" spans="13:13" ht="15" customHeight="1" x14ac:dyDescent="0.3">
      <c r="M13180" s="5"/>
    </row>
    <row r="13181" spans="13:13" ht="15" customHeight="1" x14ac:dyDescent="0.3">
      <c r="M13181" s="5"/>
    </row>
    <row r="13182" spans="13:13" ht="15" customHeight="1" x14ac:dyDescent="0.3">
      <c r="M13182" s="5"/>
    </row>
    <row r="13183" spans="13:13" ht="15" customHeight="1" x14ac:dyDescent="0.3">
      <c r="M13183" s="5"/>
    </row>
    <row r="13184" spans="13:13" ht="15" customHeight="1" x14ac:dyDescent="0.3">
      <c r="M13184" s="5"/>
    </row>
    <row r="13185" spans="13:13" ht="15" customHeight="1" x14ac:dyDescent="0.3">
      <c r="M13185" s="5"/>
    </row>
    <row r="13186" spans="13:13" ht="15" customHeight="1" x14ac:dyDescent="0.3">
      <c r="M13186" s="5"/>
    </row>
    <row r="13187" spans="13:13" ht="15" customHeight="1" x14ac:dyDescent="0.3">
      <c r="M13187" s="5"/>
    </row>
    <row r="13188" spans="13:13" ht="15" customHeight="1" x14ac:dyDescent="0.3">
      <c r="M13188" s="5"/>
    </row>
    <row r="13189" spans="13:13" ht="15" customHeight="1" x14ac:dyDescent="0.3">
      <c r="M13189" s="5"/>
    </row>
    <row r="13190" spans="13:13" ht="15" customHeight="1" x14ac:dyDescent="0.3">
      <c r="M13190" s="5"/>
    </row>
    <row r="13191" spans="13:13" ht="15" customHeight="1" x14ac:dyDescent="0.3">
      <c r="M13191" s="5"/>
    </row>
    <row r="13192" spans="13:13" ht="15" customHeight="1" x14ac:dyDescent="0.3">
      <c r="M13192" s="5"/>
    </row>
    <row r="13193" spans="13:13" ht="15" customHeight="1" x14ac:dyDescent="0.3">
      <c r="M13193" s="5"/>
    </row>
    <row r="13194" spans="13:13" ht="15" customHeight="1" x14ac:dyDescent="0.3">
      <c r="M13194" s="5"/>
    </row>
    <row r="13195" spans="13:13" ht="15" customHeight="1" x14ac:dyDescent="0.3">
      <c r="M13195" s="5"/>
    </row>
    <row r="13196" spans="13:13" ht="15" customHeight="1" x14ac:dyDescent="0.3">
      <c r="M13196" s="5"/>
    </row>
    <row r="13197" spans="13:13" ht="15" customHeight="1" x14ac:dyDescent="0.3">
      <c r="M13197" s="5"/>
    </row>
    <row r="13198" spans="13:13" ht="15" customHeight="1" x14ac:dyDescent="0.3">
      <c r="M13198" s="5"/>
    </row>
    <row r="13199" spans="13:13" ht="15" customHeight="1" x14ac:dyDescent="0.3">
      <c r="M13199" s="5"/>
    </row>
    <row r="13200" spans="13:13" ht="15" customHeight="1" x14ac:dyDescent="0.3">
      <c r="M13200" s="5"/>
    </row>
    <row r="13201" spans="13:13" ht="15" customHeight="1" x14ac:dyDescent="0.3">
      <c r="M13201" s="5"/>
    </row>
    <row r="13202" spans="13:13" ht="15" customHeight="1" x14ac:dyDescent="0.3">
      <c r="M13202" s="5"/>
    </row>
    <row r="13203" spans="13:13" ht="15" customHeight="1" x14ac:dyDescent="0.3">
      <c r="M13203" s="5"/>
    </row>
    <row r="13204" spans="13:13" ht="15" customHeight="1" x14ac:dyDescent="0.3">
      <c r="M13204" s="5"/>
    </row>
    <row r="13205" spans="13:13" ht="15" customHeight="1" x14ac:dyDescent="0.3">
      <c r="M13205" s="5"/>
    </row>
    <row r="13206" spans="13:13" ht="15" customHeight="1" x14ac:dyDescent="0.3">
      <c r="M13206" s="5"/>
    </row>
    <row r="13207" spans="13:13" ht="15" customHeight="1" x14ac:dyDescent="0.3">
      <c r="M13207" s="5"/>
    </row>
    <row r="13208" spans="13:13" ht="15" customHeight="1" x14ac:dyDescent="0.3">
      <c r="M13208" s="5"/>
    </row>
    <row r="13209" spans="13:13" ht="15" customHeight="1" x14ac:dyDescent="0.3">
      <c r="M13209" s="5"/>
    </row>
    <row r="13210" spans="13:13" ht="15" customHeight="1" x14ac:dyDescent="0.3">
      <c r="M13210" s="5"/>
    </row>
    <row r="13211" spans="13:13" ht="15" customHeight="1" x14ac:dyDescent="0.3">
      <c r="M13211" s="5"/>
    </row>
    <row r="13212" spans="13:13" ht="15" customHeight="1" x14ac:dyDescent="0.3">
      <c r="M13212" s="5"/>
    </row>
    <row r="13213" spans="13:13" ht="15" customHeight="1" x14ac:dyDescent="0.3">
      <c r="M13213" s="5"/>
    </row>
    <row r="13214" spans="13:13" ht="15" customHeight="1" x14ac:dyDescent="0.3">
      <c r="M13214" s="5"/>
    </row>
    <row r="13215" spans="13:13" ht="15" customHeight="1" x14ac:dyDescent="0.3">
      <c r="M13215" s="5"/>
    </row>
    <row r="13216" spans="13:13" ht="15" customHeight="1" x14ac:dyDescent="0.3">
      <c r="M13216" s="5"/>
    </row>
    <row r="13217" spans="13:13" ht="15" customHeight="1" x14ac:dyDescent="0.3">
      <c r="M13217" s="5"/>
    </row>
    <row r="13218" spans="13:13" ht="15" customHeight="1" x14ac:dyDescent="0.3">
      <c r="M13218" s="5"/>
    </row>
    <row r="13219" spans="13:13" ht="15" customHeight="1" x14ac:dyDescent="0.3">
      <c r="M13219" s="5"/>
    </row>
    <row r="13220" spans="13:13" ht="15" customHeight="1" x14ac:dyDescent="0.3">
      <c r="M13220" s="5"/>
    </row>
    <row r="13221" spans="13:13" ht="15" customHeight="1" x14ac:dyDescent="0.3">
      <c r="M13221" s="5"/>
    </row>
    <row r="13222" spans="13:13" ht="15" customHeight="1" x14ac:dyDescent="0.3">
      <c r="M13222" s="5"/>
    </row>
    <row r="13223" spans="13:13" ht="15" customHeight="1" x14ac:dyDescent="0.3">
      <c r="M13223" s="5"/>
    </row>
    <row r="13224" spans="13:13" ht="15" customHeight="1" x14ac:dyDescent="0.3">
      <c r="M13224" s="5"/>
    </row>
    <row r="13225" spans="13:13" ht="15" customHeight="1" x14ac:dyDescent="0.3">
      <c r="M13225" s="5"/>
    </row>
    <row r="13226" spans="13:13" ht="15" customHeight="1" x14ac:dyDescent="0.3">
      <c r="M13226" s="5"/>
    </row>
    <row r="13227" spans="13:13" ht="15" customHeight="1" x14ac:dyDescent="0.3">
      <c r="M13227" s="5"/>
    </row>
    <row r="13228" spans="13:13" ht="15" customHeight="1" x14ac:dyDescent="0.3">
      <c r="M13228" s="5"/>
    </row>
    <row r="13229" spans="13:13" ht="15" customHeight="1" x14ac:dyDescent="0.3">
      <c r="M13229" s="5"/>
    </row>
    <row r="13230" spans="13:13" ht="15" customHeight="1" x14ac:dyDescent="0.3">
      <c r="M13230" s="5"/>
    </row>
    <row r="13231" spans="13:13" ht="15" customHeight="1" x14ac:dyDescent="0.3">
      <c r="M13231" s="5"/>
    </row>
    <row r="13232" spans="13:13" ht="15" customHeight="1" x14ac:dyDescent="0.3">
      <c r="M13232" s="5"/>
    </row>
    <row r="13233" spans="13:13" ht="15" customHeight="1" x14ac:dyDescent="0.3">
      <c r="M13233" s="5"/>
    </row>
    <row r="13234" spans="13:13" ht="15" customHeight="1" x14ac:dyDescent="0.3">
      <c r="M13234" s="5"/>
    </row>
    <row r="13235" spans="13:13" ht="15" customHeight="1" x14ac:dyDescent="0.3">
      <c r="M13235" s="5"/>
    </row>
    <row r="13236" spans="13:13" ht="15" customHeight="1" x14ac:dyDescent="0.3">
      <c r="M13236" s="5"/>
    </row>
    <row r="13237" spans="13:13" ht="15" customHeight="1" x14ac:dyDescent="0.3">
      <c r="M13237" s="5"/>
    </row>
    <row r="13238" spans="13:13" ht="15" customHeight="1" x14ac:dyDescent="0.3">
      <c r="M13238" s="5"/>
    </row>
    <row r="13239" spans="13:13" ht="15" customHeight="1" x14ac:dyDescent="0.3">
      <c r="M13239" s="5"/>
    </row>
    <row r="13240" spans="13:13" ht="15" customHeight="1" x14ac:dyDescent="0.3">
      <c r="M13240" s="5"/>
    </row>
    <row r="13241" spans="13:13" ht="15" customHeight="1" x14ac:dyDescent="0.3">
      <c r="M13241" s="5"/>
    </row>
    <row r="13242" spans="13:13" ht="15" customHeight="1" x14ac:dyDescent="0.3">
      <c r="M13242" s="5"/>
    </row>
    <row r="13243" spans="13:13" ht="15" customHeight="1" x14ac:dyDescent="0.3">
      <c r="M13243" s="5"/>
    </row>
    <row r="13244" spans="13:13" ht="15" customHeight="1" x14ac:dyDescent="0.3">
      <c r="M13244" s="5"/>
    </row>
    <row r="13245" spans="13:13" ht="15" customHeight="1" x14ac:dyDescent="0.3">
      <c r="M13245" s="5"/>
    </row>
    <row r="13246" spans="13:13" ht="15" customHeight="1" x14ac:dyDescent="0.3">
      <c r="M13246" s="5"/>
    </row>
    <row r="13247" spans="13:13" ht="15" customHeight="1" x14ac:dyDescent="0.3">
      <c r="M13247" s="5"/>
    </row>
    <row r="13248" spans="13:13" ht="15" customHeight="1" x14ac:dyDescent="0.3">
      <c r="M13248" s="5"/>
    </row>
    <row r="13249" spans="13:13" ht="15" customHeight="1" x14ac:dyDescent="0.3">
      <c r="M13249" s="5"/>
    </row>
    <row r="13250" spans="13:13" ht="15" customHeight="1" x14ac:dyDescent="0.3">
      <c r="M13250" s="5"/>
    </row>
    <row r="13251" spans="13:13" ht="15" customHeight="1" x14ac:dyDescent="0.3">
      <c r="M13251" s="5"/>
    </row>
    <row r="13252" spans="13:13" ht="15" customHeight="1" x14ac:dyDescent="0.3">
      <c r="M13252" s="5"/>
    </row>
    <row r="13253" spans="13:13" ht="15" customHeight="1" x14ac:dyDescent="0.3">
      <c r="M13253" s="5"/>
    </row>
    <row r="13254" spans="13:13" ht="15" customHeight="1" x14ac:dyDescent="0.3">
      <c r="M13254" s="5"/>
    </row>
    <row r="13255" spans="13:13" ht="15" customHeight="1" x14ac:dyDescent="0.3">
      <c r="M13255" s="5"/>
    </row>
    <row r="13256" spans="13:13" ht="15" customHeight="1" x14ac:dyDescent="0.3">
      <c r="M13256" s="5"/>
    </row>
    <row r="13257" spans="13:13" ht="15" customHeight="1" x14ac:dyDescent="0.3">
      <c r="M13257" s="5"/>
    </row>
    <row r="13258" spans="13:13" ht="15" customHeight="1" x14ac:dyDescent="0.3">
      <c r="M13258" s="5"/>
    </row>
    <row r="13259" spans="13:13" ht="15" customHeight="1" x14ac:dyDescent="0.3">
      <c r="M13259" s="5"/>
    </row>
    <row r="13260" spans="13:13" ht="15" customHeight="1" x14ac:dyDescent="0.3">
      <c r="M13260" s="5"/>
    </row>
    <row r="13261" spans="13:13" ht="15" customHeight="1" x14ac:dyDescent="0.3">
      <c r="M13261" s="5"/>
    </row>
    <row r="13262" spans="13:13" ht="15" customHeight="1" x14ac:dyDescent="0.3">
      <c r="M13262" s="5"/>
    </row>
    <row r="13263" spans="13:13" ht="15" customHeight="1" x14ac:dyDescent="0.3">
      <c r="M13263" s="5"/>
    </row>
    <row r="13264" spans="13:13" ht="15" customHeight="1" x14ac:dyDescent="0.3">
      <c r="M13264" s="5"/>
    </row>
    <row r="13265" spans="13:13" ht="15" customHeight="1" x14ac:dyDescent="0.3">
      <c r="M13265" s="5"/>
    </row>
    <row r="13266" spans="13:13" ht="15" customHeight="1" x14ac:dyDescent="0.3">
      <c r="M13266" s="5"/>
    </row>
    <row r="13267" spans="13:13" ht="15" customHeight="1" x14ac:dyDescent="0.3">
      <c r="M13267" s="5"/>
    </row>
    <row r="13268" spans="13:13" ht="15" customHeight="1" x14ac:dyDescent="0.3">
      <c r="M13268" s="5"/>
    </row>
    <row r="13269" spans="13:13" ht="15" customHeight="1" x14ac:dyDescent="0.3">
      <c r="M13269" s="5"/>
    </row>
    <row r="13270" spans="13:13" ht="15" customHeight="1" x14ac:dyDescent="0.3">
      <c r="M13270" s="5"/>
    </row>
    <row r="13271" spans="13:13" ht="15" customHeight="1" x14ac:dyDescent="0.3">
      <c r="M13271" s="5"/>
    </row>
    <row r="13272" spans="13:13" ht="15" customHeight="1" x14ac:dyDescent="0.3">
      <c r="M13272" s="5"/>
    </row>
    <row r="13273" spans="13:13" ht="15" customHeight="1" x14ac:dyDescent="0.3">
      <c r="M13273" s="5"/>
    </row>
    <row r="13274" spans="13:13" ht="15" customHeight="1" x14ac:dyDescent="0.3">
      <c r="M13274" s="5"/>
    </row>
    <row r="13275" spans="13:13" ht="15" customHeight="1" x14ac:dyDescent="0.3">
      <c r="M13275" s="5"/>
    </row>
    <row r="13276" spans="13:13" ht="15" customHeight="1" x14ac:dyDescent="0.3">
      <c r="M13276" s="5"/>
    </row>
    <row r="13277" spans="13:13" ht="15" customHeight="1" x14ac:dyDescent="0.3">
      <c r="M13277" s="5"/>
    </row>
    <row r="13278" spans="13:13" ht="15" customHeight="1" x14ac:dyDescent="0.3">
      <c r="M13278" s="5"/>
    </row>
    <row r="13279" spans="13:13" ht="15" customHeight="1" x14ac:dyDescent="0.3">
      <c r="M13279" s="5"/>
    </row>
    <row r="13280" spans="13:13" ht="15" customHeight="1" x14ac:dyDescent="0.3">
      <c r="M13280" s="5"/>
    </row>
    <row r="13281" spans="13:13" ht="15" customHeight="1" x14ac:dyDescent="0.3">
      <c r="M13281" s="5"/>
    </row>
    <row r="13282" spans="13:13" ht="15" customHeight="1" x14ac:dyDescent="0.3">
      <c r="M13282" s="5"/>
    </row>
    <row r="13283" spans="13:13" ht="15" customHeight="1" x14ac:dyDescent="0.3">
      <c r="M13283" s="5"/>
    </row>
    <row r="13284" spans="13:13" ht="15" customHeight="1" x14ac:dyDescent="0.3">
      <c r="M13284" s="5"/>
    </row>
    <row r="13285" spans="13:13" ht="15" customHeight="1" x14ac:dyDescent="0.3">
      <c r="M13285" s="5"/>
    </row>
    <row r="13286" spans="13:13" ht="15" customHeight="1" x14ac:dyDescent="0.3">
      <c r="M13286" s="5"/>
    </row>
    <row r="13287" spans="13:13" ht="15" customHeight="1" x14ac:dyDescent="0.3">
      <c r="M13287" s="5"/>
    </row>
    <row r="13288" spans="13:13" ht="15" customHeight="1" x14ac:dyDescent="0.3">
      <c r="M13288" s="5"/>
    </row>
    <row r="13289" spans="13:13" ht="15" customHeight="1" x14ac:dyDescent="0.3">
      <c r="M13289" s="5"/>
    </row>
    <row r="13290" spans="13:13" ht="15" customHeight="1" x14ac:dyDescent="0.3">
      <c r="M13290" s="5"/>
    </row>
    <row r="13291" spans="13:13" ht="15" customHeight="1" x14ac:dyDescent="0.3">
      <c r="M13291" s="5"/>
    </row>
    <row r="13292" spans="13:13" ht="15" customHeight="1" x14ac:dyDescent="0.3">
      <c r="M13292" s="5"/>
    </row>
    <row r="13293" spans="13:13" ht="15" customHeight="1" x14ac:dyDescent="0.3">
      <c r="M13293" s="5"/>
    </row>
    <row r="13294" spans="13:13" ht="15" customHeight="1" x14ac:dyDescent="0.3">
      <c r="M13294" s="5"/>
    </row>
    <row r="13295" spans="13:13" ht="15" customHeight="1" x14ac:dyDescent="0.3">
      <c r="M13295" s="5"/>
    </row>
    <row r="13296" spans="13:13" ht="15" customHeight="1" x14ac:dyDescent="0.3">
      <c r="M13296" s="5"/>
    </row>
    <row r="13297" spans="13:13" ht="15" customHeight="1" x14ac:dyDescent="0.3">
      <c r="M13297" s="5"/>
    </row>
    <row r="13298" spans="13:13" ht="15" customHeight="1" x14ac:dyDescent="0.3">
      <c r="M13298" s="5"/>
    </row>
    <row r="13299" spans="13:13" ht="15" customHeight="1" x14ac:dyDescent="0.3">
      <c r="M13299" s="5"/>
    </row>
    <row r="13300" spans="13:13" ht="15" customHeight="1" x14ac:dyDescent="0.3">
      <c r="M13300" s="5"/>
    </row>
    <row r="13301" spans="13:13" ht="15" customHeight="1" x14ac:dyDescent="0.3">
      <c r="M13301" s="5"/>
    </row>
    <row r="13302" spans="13:13" ht="15" customHeight="1" x14ac:dyDescent="0.3">
      <c r="M13302" s="5"/>
    </row>
    <row r="13303" spans="13:13" ht="15" customHeight="1" x14ac:dyDescent="0.3">
      <c r="M13303" s="5"/>
    </row>
    <row r="13304" spans="13:13" ht="15" customHeight="1" x14ac:dyDescent="0.3">
      <c r="M13304" s="5"/>
    </row>
    <row r="13305" spans="13:13" ht="15" customHeight="1" x14ac:dyDescent="0.3">
      <c r="M13305" s="5"/>
    </row>
    <row r="13306" spans="13:13" ht="15" customHeight="1" x14ac:dyDescent="0.3">
      <c r="M13306" s="5"/>
    </row>
    <row r="13307" spans="13:13" ht="15" customHeight="1" x14ac:dyDescent="0.3">
      <c r="M13307" s="5"/>
    </row>
    <row r="13308" spans="13:13" ht="15" customHeight="1" x14ac:dyDescent="0.3">
      <c r="M13308" s="5"/>
    </row>
    <row r="13309" spans="13:13" ht="15" customHeight="1" x14ac:dyDescent="0.3">
      <c r="M13309" s="5"/>
    </row>
    <row r="13310" spans="13:13" ht="15" customHeight="1" x14ac:dyDescent="0.3">
      <c r="M13310" s="5"/>
    </row>
    <row r="13311" spans="13:13" ht="15" customHeight="1" x14ac:dyDescent="0.3">
      <c r="M13311" s="5"/>
    </row>
    <row r="13312" spans="13:13" ht="15" customHeight="1" x14ac:dyDescent="0.3">
      <c r="M13312" s="5"/>
    </row>
    <row r="13313" spans="13:13" ht="15" customHeight="1" x14ac:dyDescent="0.3">
      <c r="M13313" s="5"/>
    </row>
    <row r="13314" spans="13:13" ht="15" customHeight="1" x14ac:dyDescent="0.3">
      <c r="M13314" s="5"/>
    </row>
    <row r="13315" spans="13:13" ht="15" customHeight="1" x14ac:dyDescent="0.3">
      <c r="M13315" s="5"/>
    </row>
    <row r="13316" spans="13:13" ht="15" customHeight="1" x14ac:dyDescent="0.3">
      <c r="M13316" s="5"/>
    </row>
    <row r="13317" spans="13:13" ht="15" customHeight="1" x14ac:dyDescent="0.3">
      <c r="M13317" s="5"/>
    </row>
    <row r="13318" spans="13:13" ht="15" customHeight="1" x14ac:dyDescent="0.3">
      <c r="M13318" s="5"/>
    </row>
    <row r="13319" spans="13:13" ht="15" customHeight="1" x14ac:dyDescent="0.3">
      <c r="M13319" s="5"/>
    </row>
    <row r="13320" spans="13:13" ht="15" customHeight="1" x14ac:dyDescent="0.3">
      <c r="M13320" s="5"/>
    </row>
    <row r="13321" spans="13:13" ht="15" customHeight="1" x14ac:dyDescent="0.3">
      <c r="M13321" s="5"/>
    </row>
    <row r="13322" spans="13:13" ht="15" customHeight="1" x14ac:dyDescent="0.3">
      <c r="M13322" s="5"/>
    </row>
    <row r="13323" spans="13:13" ht="15" customHeight="1" x14ac:dyDescent="0.3">
      <c r="M13323" s="5"/>
    </row>
    <row r="13324" spans="13:13" ht="15" customHeight="1" x14ac:dyDescent="0.3">
      <c r="M13324" s="5"/>
    </row>
    <row r="13325" spans="13:13" ht="15" customHeight="1" x14ac:dyDescent="0.3">
      <c r="M13325" s="5"/>
    </row>
    <row r="13326" spans="13:13" ht="15" customHeight="1" x14ac:dyDescent="0.3">
      <c r="M13326" s="5"/>
    </row>
    <row r="13327" spans="13:13" ht="15" customHeight="1" x14ac:dyDescent="0.3">
      <c r="M13327" s="5"/>
    </row>
    <row r="13328" spans="13:13" ht="15" customHeight="1" x14ac:dyDescent="0.3">
      <c r="M13328" s="5"/>
    </row>
    <row r="13329" spans="13:13" ht="15" customHeight="1" x14ac:dyDescent="0.3">
      <c r="M13329" s="5"/>
    </row>
    <row r="13330" spans="13:13" ht="15" customHeight="1" x14ac:dyDescent="0.3">
      <c r="M13330" s="5"/>
    </row>
    <row r="13331" spans="13:13" ht="15" customHeight="1" x14ac:dyDescent="0.3">
      <c r="M13331" s="5"/>
    </row>
    <row r="13332" spans="13:13" ht="15" customHeight="1" x14ac:dyDescent="0.3">
      <c r="M13332" s="5"/>
    </row>
    <row r="13333" spans="13:13" ht="15" customHeight="1" x14ac:dyDescent="0.3">
      <c r="M13333" s="5"/>
    </row>
    <row r="13334" spans="13:13" ht="15" customHeight="1" x14ac:dyDescent="0.3">
      <c r="M13334" s="5"/>
    </row>
    <row r="13335" spans="13:13" ht="15" customHeight="1" x14ac:dyDescent="0.3">
      <c r="M13335" s="5"/>
    </row>
    <row r="13336" spans="13:13" ht="15" customHeight="1" x14ac:dyDescent="0.3">
      <c r="M13336" s="5"/>
    </row>
    <row r="13337" spans="13:13" ht="15" customHeight="1" x14ac:dyDescent="0.3">
      <c r="M13337" s="5"/>
    </row>
    <row r="13338" spans="13:13" ht="15" customHeight="1" x14ac:dyDescent="0.3">
      <c r="M13338" s="5"/>
    </row>
    <row r="13339" spans="13:13" ht="15" customHeight="1" x14ac:dyDescent="0.3">
      <c r="M13339" s="5"/>
    </row>
    <row r="13340" spans="13:13" ht="15" customHeight="1" x14ac:dyDescent="0.3">
      <c r="M13340" s="5"/>
    </row>
    <row r="13341" spans="13:13" ht="15" customHeight="1" x14ac:dyDescent="0.3">
      <c r="M13341" s="5"/>
    </row>
    <row r="13342" spans="13:13" ht="15" customHeight="1" x14ac:dyDescent="0.3">
      <c r="M13342" s="5"/>
    </row>
    <row r="13343" spans="13:13" ht="15" customHeight="1" x14ac:dyDescent="0.3">
      <c r="M13343" s="5"/>
    </row>
    <row r="13344" spans="13:13" ht="15" customHeight="1" x14ac:dyDescent="0.3">
      <c r="M13344" s="5"/>
    </row>
    <row r="13345" spans="13:13" ht="15" customHeight="1" x14ac:dyDescent="0.3">
      <c r="M13345" s="5"/>
    </row>
    <row r="13346" spans="13:13" ht="15" customHeight="1" x14ac:dyDescent="0.3">
      <c r="M13346" s="5"/>
    </row>
    <row r="13347" spans="13:13" ht="15" customHeight="1" x14ac:dyDescent="0.3">
      <c r="M13347" s="5"/>
    </row>
    <row r="13348" spans="13:13" ht="15" customHeight="1" x14ac:dyDescent="0.3">
      <c r="M13348" s="5"/>
    </row>
    <row r="13349" spans="13:13" ht="15" customHeight="1" x14ac:dyDescent="0.3">
      <c r="M13349" s="5"/>
    </row>
    <row r="13350" spans="13:13" ht="15" customHeight="1" x14ac:dyDescent="0.3">
      <c r="M13350" s="5"/>
    </row>
    <row r="13351" spans="13:13" ht="15" customHeight="1" x14ac:dyDescent="0.3">
      <c r="M13351" s="5"/>
    </row>
    <row r="13352" spans="13:13" ht="15" customHeight="1" x14ac:dyDescent="0.3">
      <c r="M13352" s="5"/>
    </row>
    <row r="13353" spans="13:13" ht="15" customHeight="1" x14ac:dyDescent="0.3">
      <c r="M13353" s="5"/>
    </row>
    <row r="13354" spans="13:13" ht="15" customHeight="1" x14ac:dyDescent="0.3">
      <c r="M13354" s="5"/>
    </row>
    <row r="13355" spans="13:13" ht="15" customHeight="1" x14ac:dyDescent="0.3">
      <c r="M13355" s="5"/>
    </row>
    <row r="13356" spans="13:13" ht="15" customHeight="1" x14ac:dyDescent="0.3">
      <c r="M13356" s="5"/>
    </row>
    <row r="13357" spans="13:13" ht="15" customHeight="1" x14ac:dyDescent="0.3">
      <c r="M13357" s="5"/>
    </row>
    <row r="13358" spans="13:13" ht="15" customHeight="1" x14ac:dyDescent="0.3">
      <c r="M13358" s="5"/>
    </row>
    <row r="13359" spans="13:13" ht="15" customHeight="1" x14ac:dyDescent="0.3">
      <c r="M13359" s="5"/>
    </row>
    <row r="13360" spans="13:13" ht="15" customHeight="1" x14ac:dyDescent="0.3">
      <c r="M13360" s="5"/>
    </row>
    <row r="13361" spans="13:13" ht="15" customHeight="1" x14ac:dyDescent="0.3">
      <c r="M13361" s="5"/>
    </row>
    <row r="13362" spans="13:13" ht="15" customHeight="1" x14ac:dyDescent="0.3">
      <c r="M13362" s="5"/>
    </row>
    <row r="13363" spans="13:13" ht="15" customHeight="1" x14ac:dyDescent="0.3">
      <c r="M13363" s="5"/>
    </row>
    <row r="13364" spans="13:13" ht="15" customHeight="1" x14ac:dyDescent="0.3">
      <c r="M13364" s="5"/>
    </row>
    <row r="13365" spans="13:13" ht="15" customHeight="1" x14ac:dyDescent="0.3">
      <c r="M13365" s="5"/>
    </row>
    <row r="13366" spans="13:13" ht="15" customHeight="1" x14ac:dyDescent="0.3">
      <c r="M13366" s="5"/>
    </row>
    <row r="13367" spans="13:13" ht="15" customHeight="1" x14ac:dyDescent="0.3">
      <c r="M13367" s="5"/>
    </row>
    <row r="13368" spans="13:13" ht="15" customHeight="1" x14ac:dyDescent="0.3">
      <c r="M13368" s="5"/>
    </row>
    <row r="13369" spans="13:13" ht="15" customHeight="1" x14ac:dyDescent="0.3">
      <c r="M13369" s="5"/>
    </row>
    <row r="13370" spans="13:13" ht="15" customHeight="1" x14ac:dyDescent="0.3">
      <c r="M13370" s="5"/>
    </row>
    <row r="13371" spans="13:13" ht="15" customHeight="1" x14ac:dyDescent="0.3">
      <c r="M13371" s="5"/>
    </row>
    <row r="13372" spans="13:13" ht="15" customHeight="1" x14ac:dyDescent="0.3">
      <c r="M13372" s="5"/>
    </row>
    <row r="13373" spans="13:13" ht="15" customHeight="1" x14ac:dyDescent="0.3">
      <c r="M13373" s="5"/>
    </row>
    <row r="13374" spans="13:13" ht="15" customHeight="1" x14ac:dyDescent="0.3">
      <c r="M13374" s="5"/>
    </row>
    <row r="13375" spans="13:13" ht="15" customHeight="1" x14ac:dyDescent="0.3">
      <c r="M13375" s="5"/>
    </row>
    <row r="13376" spans="13:13" ht="15" customHeight="1" x14ac:dyDescent="0.3">
      <c r="M13376" s="5"/>
    </row>
    <row r="13377" spans="13:13" ht="15" customHeight="1" x14ac:dyDescent="0.3">
      <c r="M13377" s="5"/>
    </row>
    <row r="13378" spans="13:13" ht="15" customHeight="1" x14ac:dyDescent="0.3">
      <c r="M13378" s="5"/>
    </row>
    <row r="13379" spans="13:13" ht="15" customHeight="1" x14ac:dyDescent="0.3">
      <c r="M13379" s="5"/>
    </row>
    <row r="13380" spans="13:13" ht="15" customHeight="1" x14ac:dyDescent="0.3">
      <c r="M13380" s="5"/>
    </row>
    <row r="13381" spans="13:13" ht="15" customHeight="1" x14ac:dyDescent="0.3">
      <c r="M13381" s="5"/>
    </row>
    <row r="13382" spans="13:13" ht="15" customHeight="1" x14ac:dyDescent="0.3">
      <c r="M13382" s="5"/>
    </row>
    <row r="13383" spans="13:13" ht="15" customHeight="1" x14ac:dyDescent="0.3">
      <c r="M13383" s="5"/>
    </row>
    <row r="13384" spans="13:13" ht="15" customHeight="1" x14ac:dyDescent="0.3">
      <c r="M13384" s="5"/>
    </row>
    <row r="13385" spans="13:13" ht="15" customHeight="1" x14ac:dyDescent="0.3">
      <c r="M13385" s="5"/>
    </row>
    <row r="13386" spans="13:13" ht="15" customHeight="1" x14ac:dyDescent="0.3">
      <c r="M13386" s="5"/>
    </row>
    <row r="13387" spans="13:13" ht="15" customHeight="1" x14ac:dyDescent="0.3">
      <c r="M13387" s="5"/>
    </row>
    <row r="13388" spans="13:13" ht="15" customHeight="1" x14ac:dyDescent="0.3">
      <c r="M13388" s="5"/>
    </row>
    <row r="13389" spans="13:13" ht="15" customHeight="1" x14ac:dyDescent="0.3">
      <c r="M13389" s="5"/>
    </row>
    <row r="13390" spans="13:13" ht="15" customHeight="1" x14ac:dyDescent="0.3">
      <c r="M13390" s="5"/>
    </row>
    <row r="13391" spans="13:13" ht="15" customHeight="1" x14ac:dyDescent="0.3">
      <c r="M13391" s="5"/>
    </row>
    <row r="13392" spans="13:13" ht="15" customHeight="1" x14ac:dyDescent="0.3">
      <c r="M13392" s="5"/>
    </row>
    <row r="13393" spans="13:13" ht="15" customHeight="1" x14ac:dyDescent="0.3">
      <c r="M13393" s="5"/>
    </row>
    <row r="13394" spans="13:13" ht="15" customHeight="1" x14ac:dyDescent="0.3">
      <c r="M13394" s="5"/>
    </row>
    <row r="13395" spans="13:13" ht="15" customHeight="1" x14ac:dyDescent="0.3">
      <c r="M13395" s="5"/>
    </row>
    <row r="13396" spans="13:13" ht="15" customHeight="1" x14ac:dyDescent="0.3">
      <c r="M13396" s="5"/>
    </row>
    <row r="13397" spans="13:13" ht="15" customHeight="1" x14ac:dyDescent="0.3">
      <c r="M13397" s="5"/>
    </row>
    <row r="13398" spans="13:13" ht="15" customHeight="1" x14ac:dyDescent="0.3">
      <c r="M13398" s="5"/>
    </row>
    <row r="13399" spans="13:13" ht="15" customHeight="1" x14ac:dyDescent="0.3">
      <c r="M13399" s="5"/>
    </row>
    <row r="13400" spans="13:13" ht="15" customHeight="1" x14ac:dyDescent="0.3">
      <c r="M13400" s="5"/>
    </row>
    <row r="13401" spans="13:13" ht="15" customHeight="1" x14ac:dyDescent="0.3">
      <c r="M13401" s="5"/>
    </row>
    <row r="13402" spans="13:13" ht="15" customHeight="1" x14ac:dyDescent="0.3">
      <c r="M13402" s="5"/>
    </row>
    <row r="13403" spans="13:13" ht="15" customHeight="1" x14ac:dyDescent="0.3">
      <c r="M13403" s="5"/>
    </row>
    <row r="13404" spans="13:13" ht="15" customHeight="1" x14ac:dyDescent="0.3">
      <c r="M13404" s="5"/>
    </row>
    <row r="13405" spans="13:13" ht="15" customHeight="1" x14ac:dyDescent="0.3">
      <c r="M13405" s="5"/>
    </row>
    <row r="13406" spans="13:13" ht="15" customHeight="1" x14ac:dyDescent="0.3">
      <c r="M13406" s="5"/>
    </row>
    <row r="13407" spans="13:13" ht="15" customHeight="1" x14ac:dyDescent="0.3">
      <c r="M13407" s="5"/>
    </row>
    <row r="13408" spans="13:13" ht="15" customHeight="1" x14ac:dyDescent="0.3">
      <c r="M13408" s="5"/>
    </row>
    <row r="13409" spans="13:13" ht="15" customHeight="1" x14ac:dyDescent="0.3">
      <c r="M13409" s="5"/>
    </row>
    <row r="13410" spans="13:13" ht="15" customHeight="1" x14ac:dyDescent="0.3">
      <c r="M13410" s="5"/>
    </row>
    <row r="13411" spans="13:13" ht="15" customHeight="1" x14ac:dyDescent="0.3">
      <c r="M13411" s="5"/>
    </row>
    <row r="13412" spans="13:13" ht="15" customHeight="1" x14ac:dyDescent="0.3">
      <c r="M13412" s="5"/>
    </row>
    <row r="13413" spans="13:13" ht="15" customHeight="1" x14ac:dyDescent="0.3">
      <c r="M13413" s="5"/>
    </row>
    <row r="13414" spans="13:13" ht="15" customHeight="1" x14ac:dyDescent="0.3">
      <c r="M13414" s="5"/>
    </row>
    <row r="13415" spans="13:13" ht="15" customHeight="1" x14ac:dyDescent="0.3">
      <c r="M13415" s="5"/>
    </row>
    <row r="13416" spans="13:13" ht="15" customHeight="1" x14ac:dyDescent="0.3">
      <c r="M13416" s="5"/>
    </row>
    <row r="13417" spans="13:13" ht="15" customHeight="1" x14ac:dyDescent="0.3">
      <c r="M13417" s="5"/>
    </row>
    <row r="13418" spans="13:13" ht="15" customHeight="1" x14ac:dyDescent="0.3">
      <c r="M13418" s="5"/>
    </row>
    <row r="13419" spans="13:13" ht="15" customHeight="1" x14ac:dyDescent="0.3">
      <c r="M13419" s="5"/>
    </row>
    <row r="13420" spans="13:13" ht="15" customHeight="1" x14ac:dyDescent="0.3">
      <c r="M13420" s="5"/>
    </row>
    <row r="13421" spans="13:13" ht="15" customHeight="1" x14ac:dyDescent="0.3">
      <c r="M13421" s="5"/>
    </row>
    <row r="13422" spans="13:13" ht="15" customHeight="1" x14ac:dyDescent="0.3">
      <c r="M13422" s="5"/>
    </row>
    <row r="13423" spans="13:13" ht="15" customHeight="1" x14ac:dyDescent="0.3">
      <c r="M13423" s="5"/>
    </row>
    <row r="13424" spans="13:13" ht="15" customHeight="1" x14ac:dyDescent="0.3">
      <c r="M13424" s="5"/>
    </row>
    <row r="13425" spans="13:13" ht="15" customHeight="1" x14ac:dyDescent="0.3">
      <c r="M13425" s="5"/>
    </row>
    <row r="13426" spans="13:13" ht="15" customHeight="1" x14ac:dyDescent="0.3">
      <c r="M13426" s="5"/>
    </row>
    <row r="13427" spans="13:13" ht="15" customHeight="1" x14ac:dyDescent="0.3">
      <c r="M13427" s="5"/>
    </row>
    <row r="13428" spans="13:13" ht="15" customHeight="1" x14ac:dyDescent="0.3">
      <c r="M13428" s="5"/>
    </row>
    <row r="13429" spans="13:13" ht="15" customHeight="1" x14ac:dyDescent="0.3">
      <c r="M13429" s="5"/>
    </row>
    <row r="13430" spans="13:13" ht="15" customHeight="1" x14ac:dyDescent="0.3">
      <c r="M13430" s="5"/>
    </row>
    <row r="13431" spans="13:13" ht="15" customHeight="1" x14ac:dyDescent="0.3">
      <c r="M13431" s="5"/>
    </row>
    <row r="13432" spans="13:13" ht="15" customHeight="1" x14ac:dyDescent="0.3">
      <c r="M13432" s="5"/>
    </row>
    <row r="13433" spans="13:13" ht="15" customHeight="1" x14ac:dyDescent="0.3">
      <c r="M13433" s="5"/>
    </row>
    <row r="13434" spans="13:13" ht="15" customHeight="1" x14ac:dyDescent="0.3">
      <c r="M13434" s="5"/>
    </row>
    <row r="13435" spans="13:13" ht="15" customHeight="1" x14ac:dyDescent="0.3">
      <c r="M13435" s="5"/>
    </row>
    <row r="13436" spans="13:13" ht="15" customHeight="1" x14ac:dyDescent="0.3">
      <c r="M13436" s="5"/>
    </row>
    <row r="13437" spans="13:13" ht="15" customHeight="1" x14ac:dyDescent="0.3">
      <c r="M13437" s="5"/>
    </row>
    <row r="13438" spans="13:13" ht="15" customHeight="1" x14ac:dyDescent="0.3">
      <c r="M13438" s="5"/>
    </row>
    <row r="13439" spans="13:13" ht="15" customHeight="1" x14ac:dyDescent="0.3">
      <c r="M13439" s="5"/>
    </row>
    <row r="13440" spans="13:13" ht="15" customHeight="1" x14ac:dyDescent="0.3">
      <c r="M13440" s="5"/>
    </row>
    <row r="13441" spans="13:13" ht="15" customHeight="1" x14ac:dyDescent="0.3">
      <c r="M13441" s="5"/>
    </row>
    <row r="13442" spans="13:13" ht="15" customHeight="1" x14ac:dyDescent="0.3">
      <c r="M13442" s="5"/>
    </row>
    <row r="13443" spans="13:13" ht="15" customHeight="1" x14ac:dyDescent="0.3">
      <c r="M13443" s="5"/>
    </row>
    <row r="13444" spans="13:13" ht="15" customHeight="1" x14ac:dyDescent="0.3">
      <c r="M13444" s="5"/>
    </row>
    <row r="13445" spans="13:13" ht="15" customHeight="1" x14ac:dyDescent="0.3">
      <c r="M13445" s="5"/>
    </row>
    <row r="13446" spans="13:13" ht="15" customHeight="1" x14ac:dyDescent="0.3">
      <c r="M13446" s="5"/>
    </row>
    <row r="13447" spans="13:13" ht="15" customHeight="1" x14ac:dyDescent="0.3">
      <c r="M13447" s="5"/>
    </row>
    <row r="13448" spans="13:13" ht="15" customHeight="1" x14ac:dyDescent="0.3">
      <c r="M13448" s="5"/>
    </row>
    <row r="13449" spans="13:13" ht="15" customHeight="1" x14ac:dyDescent="0.3">
      <c r="M13449" s="5"/>
    </row>
    <row r="13450" spans="13:13" ht="15" customHeight="1" x14ac:dyDescent="0.3">
      <c r="M13450" s="5"/>
    </row>
    <row r="13451" spans="13:13" ht="15" customHeight="1" x14ac:dyDescent="0.3">
      <c r="M13451" s="5"/>
    </row>
    <row r="13452" spans="13:13" ht="15" customHeight="1" x14ac:dyDescent="0.3">
      <c r="M13452" s="5"/>
    </row>
    <row r="13453" spans="13:13" ht="15" customHeight="1" x14ac:dyDescent="0.3">
      <c r="M13453" s="5"/>
    </row>
    <row r="13454" spans="13:13" ht="15" customHeight="1" x14ac:dyDescent="0.3">
      <c r="M13454" s="5"/>
    </row>
    <row r="13455" spans="13:13" ht="15" customHeight="1" x14ac:dyDescent="0.3">
      <c r="M13455" s="5"/>
    </row>
    <row r="13456" spans="13:13" ht="15" customHeight="1" x14ac:dyDescent="0.3">
      <c r="M13456" s="5"/>
    </row>
    <row r="13457" spans="13:13" ht="15" customHeight="1" x14ac:dyDescent="0.3">
      <c r="M13457" s="5"/>
    </row>
    <row r="13458" spans="13:13" ht="15" customHeight="1" x14ac:dyDescent="0.3">
      <c r="M13458" s="5"/>
    </row>
    <row r="13459" spans="13:13" ht="15" customHeight="1" x14ac:dyDescent="0.3">
      <c r="M13459" s="5"/>
    </row>
    <row r="13460" spans="13:13" ht="15" customHeight="1" x14ac:dyDescent="0.3">
      <c r="M13460" s="5"/>
    </row>
    <row r="13461" spans="13:13" ht="15" customHeight="1" x14ac:dyDescent="0.3">
      <c r="M13461" s="5"/>
    </row>
    <row r="13462" spans="13:13" ht="15" customHeight="1" x14ac:dyDescent="0.3">
      <c r="M13462" s="5"/>
    </row>
    <row r="13463" spans="13:13" ht="15" customHeight="1" x14ac:dyDescent="0.3">
      <c r="M13463" s="5"/>
    </row>
    <row r="13464" spans="13:13" ht="15" customHeight="1" x14ac:dyDescent="0.3">
      <c r="M13464" s="5"/>
    </row>
    <row r="13465" spans="13:13" ht="15" customHeight="1" x14ac:dyDescent="0.3">
      <c r="M13465" s="5"/>
    </row>
    <row r="13466" spans="13:13" ht="15" customHeight="1" x14ac:dyDescent="0.3">
      <c r="M13466" s="5"/>
    </row>
    <row r="13467" spans="13:13" ht="15" customHeight="1" x14ac:dyDescent="0.3">
      <c r="M13467" s="5"/>
    </row>
    <row r="13468" spans="13:13" ht="15" customHeight="1" x14ac:dyDescent="0.3">
      <c r="M13468" s="5"/>
    </row>
    <row r="13469" spans="13:13" ht="15" customHeight="1" x14ac:dyDescent="0.3">
      <c r="M13469" s="5"/>
    </row>
    <row r="13470" spans="13:13" ht="15" customHeight="1" x14ac:dyDescent="0.3">
      <c r="M13470" s="5"/>
    </row>
    <row r="13471" spans="13:13" ht="15" customHeight="1" x14ac:dyDescent="0.3">
      <c r="M13471" s="5"/>
    </row>
    <row r="13472" spans="13:13" ht="15" customHeight="1" x14ac:dyDescent="0.3">
      <c r="M13472" s="5"/>
    </row>
    <row r="13473" spans="13:13" ht="15" customHeight="1" x14ac:dyDescent="0.3">
      <c r="M13473" s="5"/>
    </row>
    <row r="13474" spans="13:13" ht="15" customHeight="1" x14ac:dyDescent="0.3">
      <c r="M13474" s="5"/>
    </row>
    <row r="13475" spans="13:13" ht="15" customHeight="1" x14ac:dyDescent="0.3">
      <c r="M13475" s="5"/>
    </row>
    <row r="13476" spans="13:13" ht="15" customHeight="1" x14ac:dyDescent="0.3">
      <c r="M13476" s="5"/>
    </row>
    <row r="13477" spans="13:13" ht="15" customHeight="1" x14ac:dyDescent="0.3">
      <c r="M13477" s="5"/>
    </row>
    <row r="13478" spans="13:13" ht="15" customHeight="1" x14ac:dyDescent="0.3">
      <c r="M13478" s="5"/>
    </row>
    <row r="13479" spans="13:13" ht="15" customHeight="1" x14ac:dyDescent="0.3">
      <c r="M13479" s="5"/>
    </row>
    <row r="13480" spans="13:13" ht="15" customHeight="1" x14ac:dyDescent="0.3">
      <c r="M13480" s="5"/>
    </row>
    <row r="13481" spans="13:13" ht="15" customHeight="1" x14ac:dyDescent="0.3">
      <c r="M13481" s="5"/>
    </row>
    <row r="13482" spans="13:13" ht="15" customHeight="1" x14ac:dyDescent="0.3">
      <c r="M13482" s="5"/>
    </row>
    <row r="13483" spans="13:13" ht="15" customHeight="1" x14ac:dyDescent="0.3">
      <c r="M13483" s="5"/>
    </row>
    <row r="13484" spans="13:13" ht="15" customHeight="1" x14ac:dyDescent="0.3">
      <c r="M13484" s="5"/>
    </row>
    <row r="13485" spans="13:13" ht="15" customHeight="1" x14ac:dyDescent="0.3">
      <c r="M13485" s="5"/>
    </row>
    <row r="13486" spans="13:13" ht="15" customHeight="1" x14ac:dyDescent="0.3">
      <c r="M13486" s="5"/>
    </row>
    <row r="13487" spans="13:13" ht="15" customHeight="1" x14ac:dyDescent="0.3">
      <c r="M13487" s="5"/>
    </row>
    <row r="13488" spans="13:13" ht="15" customHeight="1" x14ac:dyDescent="0.3">
      <c r="M13488" s="5"/>
    </row>
    <row r="13489" spans="13:13" ht="15" customHeight="1" x14ac:dyDescent="0.3">
      <c r="M13489" s="5"/>
    </row>
    <row r="13490" spans="13:13" ht="15" customHeight="1" x14ac:dyDescent="0.3">
      <c r="M13490" s="5"/>
    </row>
    <row r="13491" spans="13:13" ht="15" customHeight="1" x14ac:dyDescent="0.3">
      <c r="M13491" s="5"/>
    </row>
    <row r="13492" spans="13:13" ht="15" customHeight="1" x14ac:dyDescent="0.3">
      <c r="M13492" s="5"/>
    </row>
    <row r="13493" spans="13:13" ht="15" customHeight="1" x14ac:dyDescent="0.3">
      <c r="M13493" s="5"/>
    </row>
    <row r="13494" spans="13:13" ht="15" customHeight="1" x14ac:dyDescent="0.3">
      <c r="M13494" s="5"/>
    </row>
    <row r="13495" spans="13:13" ht="15" customHeight="1" x14ac:dyDescent="0.3">
      <c r="M13495" s="5"/>
    </row>
    <row r="13496" spans="13:13" ht="15" customHeight="1" x14ac:dyDescent="0.3">
      <c r="M13496" s="5"/>
    </row>
    <row r="13497" spans="13:13" ht="15" customHeight="1" x14ac:dyDescent="0.3">
      <c r="M13497" s="5"/>
    </row>
    <row r="13498" spans="13:13" ht="15" customHeight="1" x14ac:dyDescent="0.3">
      <c r="M13498" s="5"/>
    </row>
    <row r="13499" spans="13:13" ht="15" customHeight="1" x14ac:dyDescent="0.3">
      <c r="M13499" s="5"/>
    </row>
    <row r="13500" spans="13:13" ht="15" customHeight="1" x14ac:dyDescent="0.3">
      <c r="M13500" s="5"/>
    </row>
    <row r="13501" spans="13:13" ht="15" customHeight="1" x14ac:dyDescent="0.3">
      <c r="M13501" s="5"/>
    </row>
    <row r="13502" spans="13:13" ht="15" customHeight="1" x14ac:dyDescent="0.3">
      <c r="M13502" s="5"/>
    </row>
    <row r="13503" spans="13:13" ht="15" customHeight="1" x14ac:dyDescent="0.3">
      <c r="M13503" s="5"/>
    </row>
    <row r="13504" spans="13:13" ht="15" customHeight="1" x14ac:dyDescent="0.3">
      <c r="M13504" s="5"/>
    </row>
    <row r="13505" spans="13:13" ht="15" customHeight="1" x14ac:dyDescent="0.3">
      <c r="M13505" s="5"/>
    </row>
    <row r="13506" spans="13:13" ht="15" customHeight="1" x14ac:dyDescent="0.3">
      <c r="M13506" s="5"/>
    </row>
    <row r="13507" spans="13:13" ht="15" customHeight="1" x14ac:dyDescent="0.3">
      <c r="M13507" s="5"/>
    </row>
    <row r="13508" spans="13:13" ht="15" customHeight="1" x14ac:dyDescent="0.3">
      <c r="M13508" s="5"/>
    </row>
    <row r="13509" spans="13:13" ht="15" customHeight="1" x14ac:dyDescent="0.3">
      <c r="M13509" s="5"/>
    </row>
    <row r="13510" spans="13:13" ht="15" customHeight="1" x14ac:dyDescent="0.3">
      <c r="M13510" s="5"/>
    </row>
    <row r="13511" spans="13:13" ht="15" customHeight="1" x14ac:dyDescent="0.3">
      <c r="M13511" s="5"/>
    </row>
    <row r="13512" spans="13:13" ht="15" customHeight="1" x14ac:dyDescent="0.3">
      <c r="M13512" s="5"/>
    </row>
    <row r="13513" spans="13:13" ht="15" customHeight="1" x14ac:dyDescent="0.3">
      <c r="M13513" s="5"/>
    </row>
    <row r="13514" spans="13:13" ht="15" customHeight="1" x14ac:dyDescent="0.3">
      <c r="M13514" s="5"/>
    </row>
    <row r="13515" spans="13:13" ht="15" customHeight="1" x14ac:dyDescent="0.3">
      <c r="M13515" s="5"/>
    </row>
    <row r="13516" spans="13:13" ht="15" customHeight="1" x14ac:dyDescent="0.3">
      <c r="M13516" s="5"/>
    </row>
    <row r="13517" spans="13:13" ht="15" customHeight="1" x14ac:dyDescent="0.3">
      <c r="M13517" s="5"/>
    </row>
    <row r="13518" spans="13:13" ht="15" customHeight="1" x14ac:dyDescent="0.3">
      <c r="M13518" s="5"/>
    </row>
    <row r="13519" spans="13:13" ht="15" customHeight="1" x14ac:dyDescent="0.3">
      <c r="M13519" s="5"/>
    </row>
    <row r="13520" spans="13:13" ht="15" customHeight="1" x14ac:dyDescent="0.3">
      <c r="M13520" s="5"/>
    </row>
    <row r="13521" spans="13:13" ht="15" customHeight="1" x14ac:dyDescent="0.3">
      <c r="M13521" s="5"/>
    </row>
    <row r="13522" spans="13:13" ht="15" customHeight="1" x14ac:dyDescent="0.3">
      <c r="M13522" s="5"/>
    </row>
    <row r="13523" spans="13:13" ht="15" customHeight="1" x14ac:dyDescent="0.3">
      <c r="M13523" s="5"/>
    </row>
    <row r="13524" spans="13:13" ht="15" customHeight="1" x14ac:dyDescent="0.3">
      <c r="M13524" s="5"/>
    </row>
    <row r="13525" spans="13:13" ht="15" customHeight="1" x14ac:dyDescent="0.3">
      <c r="M13525" s="5"/>
    </row>
    <row r="13526" spans="13:13" ht="15" customHeight="1" x14ac:dyDescent="0.3">
      <c r="M13526" s="5"/>
    </row>
    <row r="13527" spans="13:13" ht="15" customHeight="1" x14ac:dyDescent="0.3">
      <c r="M13527" s="5"/>
    </row>
    <row r="13528" spans="13:13" ht="15" customHeight="1" x14ac:dyDescent="0.3">
      <c r="M13528" s="5"/>
    </row>
    <row r="13529" spans="13:13" ht="15" customHeight="1" x14ac:dyDescent="0.3">
      <c r="M13529" s="5"/>
    </row>
    <row r="13530" spans="13:13" ht="15" customHeight="1" x14ac:dyDescent="0.3">
      <c r="M13530" s="5"/>
    </row>
    <row r="13531" spans="13:13" ht="15" customHeight="1" x14ac:dyDescent="0.3">
      <c r="M13531" s="5"/>
    </row>
    <row r="13532" spans="13:13" ht="15" customHeight="1" x14ac:dyDescent="0.3">
      <c r="M13532" s="5"/>
    </row>
    <row r="13533" spans="13:13" ht="15" customHeight="1" x14ac:dyDescent="0.3">
      <c r="M13533" s="5"/>
    </row>
    <row r="13534" spans="13:13" ht="15" customHeight="1" x14ac:dyDescent="0.3">
      <c r="M13534" s="5"/>
    </row>
    <row r="13535" spans="13:13" ht="15" customHeight="1" x14ac:dyDescent="0.3">
      <c r="M13535" s="5"/>
    </row>
    <row r="13536" spans="13:13" ht="15" customHeight="1" x14ac:dyDescent="0.3">
      <c r="M13536" s="5"/>
    </row>
    <row r="13537" spans="13:13" ht="15" customHeight="1" x14ac:dyDescent="0.3">
      <c r="M13537" s="5"/>
    </row>
    <row r="13538" spans="13:13" ht="15" customHeight="1" x14ac:dyDescent="0.3">
      <c r="M13538" s="5"/>
    </row>
    <row r="13539" spans="13:13" ht="15" customHeight="1" x14ac:dyDescent="0.3">
      <c r="M13539" s="5"/>
    </row>
    <row r="13540" spans="13:13" ht="15" customHeight="1" x14ac:dyDescent="0.3">
      <c r="M13540" s="5"/>
    </row>
    <row r="13541" spans="13:13" ht="15" customHeight="1" x14ac:dyDescent="0.3">
      <c r="M13541" s="5"/>
    </row>
    <row r="13542" spans="13:13" ht="15" customHeight="1" x14ac:dyDescent="0.3">
      <c r="M13542" s="5"/>
    </row>
    <row r="13543" spans="13:13" ht="15" customHeight="1" x14ac:dyDescent="0.3">
      <c r="M13543" s="5"/>
    </row>
    <row r="13544" spans="13:13" ht="15" customHeight="1" x14ac:dyDescent="0.3">
      <c r="M13544" s="5"/>
    </row>
    <row r="13545" spans="13:13" ht="15" customHeight="1" x14ac:dyDescent="0.3">
      <c r="M13545" s="5"/>
    </row>
    <row r="13546" spans="13:13" ht="15" customHeight="1" x14ac:dyDescent="0.3">
      <c r="M13546" s="5"/>
    </row>
    <row r="13547" spans="13:13" ht="15" customHeight="1" x14ac:dyDescent="0.3">
      <c r="M13547" s="5"/>
    </row>
    <row r="13548" spans="13:13" ht="15" customHeight="1" x14ac:dyDescent="0.3">
      <c r="M13548" s="5"/>
    </row>
    <row r="13549" spans="13:13" ht="15" customHeight="1" x14ac:dyDescent="0.3">
      <c r="M13549" s="5"/>
    </row>
    <row r="13550" spans="13:13" ht="15" customHeight="1" x14ac:dyDescent="0.3">
      <c r="M13550" s="5"/>
    </row>
    <row r="13551" spans="13:13" ht="15" customHeight="1" x14ac:dyDescent="0.3">
      <c r="M13551" s="5"/>
    </row>
    <row r="13552" spans="13:13" ht="15" customHeight="1" x14ac:dyDescent="0.3">
      <c r="M13552" s="5"/>
    </row>
    <row r="13553" spans="13:13" ht="15" customHeight="1" x14ac:dyDescent="0.3">
      <c r="M13553" s="5"/>
    </row>
    <row r="13554" spans="13:13" ht="15" customHeight="1" x14ac:dyDescent="0.3">
      <c r="M13554" s="5"/>
    </row>
    <row r="13555" spans="13:13" ht="15" customHeight="1" x14ac:dyDescent="0.3">
      <c r="M13555" s="5"/>
    </row>
    <row r="13556" spans="13:13" ht="15" customHeight="1" x14ac:dyDescent="0.3">
      <c r="M13556" s="5"/>
    </row>
    <row r="13557" spans="13:13" ht="15" customHeight="1" x14ac:dyDescent="0.3">
      <c r="M13557" s="5"/>
    </row>
    <row r="13558" spans="13:13" ht="15" customHeight="1" x14ac:dyDescent="0.3">
      <c r="M13558" s="5"/>
    </row>
    <row r="13559" spans="13:13" ht="15" customHeight="1" x14ac:dyDescent="0.3">
      <c r="M13559" s="5"/>
    </row>
    <row r="13560" spans="13:13" ht="15" customHeight="1" x14ac:dyDescent="0.3">
      <c r="M13560" s="5"/>
    </row>
    <row r="13561" spans="13:13" ht="15" customHeight="1" x14ac:dyDescent="0.3">
      <c r="M13561" s="5"/>
    </row>
    <row r="13562" spans="13:13" ht="15" customHeight="1" x14ac:dyDescent="0.3">
      <c r="M13562" s="5"/>
    </row>
    <row r="13563" spans="13:13" ht="15" customHeight="1" x14ac:dyDescent="0.3">
      <c r="M13563" s="5"/>
    </row>
    <row r="13564" spans="13:13" ht="15" customHeight="1" x14ac:dyDescent="0.3">
      <c r="M13564" s="5"/>
    </row>
    <row r="13565" spans="13:13" ht="15" customHeight="1" x14ac:dyDescent="0.3">
      <c r="M13565" s="5"/>
    </row>
    <row r="13566" spans="13:13" ht="15" customHeight="1" x14ac:dyDescent="0.3">
      <c r="M13566" s="5"/>
    </row>
    <row r="13567" spans="13:13" ht="15" customHeight="1" x14ac:dyDescent="0.3">
      <c r="M13567" s="5"/>
    </row>
    <row r="13568" spans="13:13" ht="15" customHeight="1" x14ac:dyDescent="0.3">
      <c r="M13568" s="5"/>
    </row>
    <row r="13569" spans="13:13" ht="15" customHeight="1" x14ac:dyDescent="0.3">
      <c r="M13569" s="5"/>
    </row>
    <row r="13570" spans="13:13" ht="15" customHeight="1" x14ac:dyDescent="0.3">
      <c r="M13570" s="5"/>
    </row>
    <row r="13571" spans="13:13" ht="15" customHeight="1" x14ac:dyDescent="0.3">
      <c r="M13571" s="5"/>
    </row>
    <row r="13572" spans="13:13" ht="15" customHeight="1" x14ac:dyDescent="0.3">
      <c r="M13572" s="5"/>
    </row>
    <row r="13573" spans="13:13" ht="15" customHeight="1" x14ac:dyDescent="0.3">
      <c r="M13573" s="5"/>
    </row>
    <row r="13574" spans="13:13" ht="15" customHeight="1" x14ac:dyDescent="0.3">
      <c r="M13574" s="5"/>
    </row>
    <row r="13575" spans="13:13" ht="15" customHeight="1" x14ac:dyDescent="0.3">
      <c r="M13575" s="5"/>
    </row>
    <row r="13576" spans="13:13" ht="15" customHeight="1" x14ac:dyDescent="0.3">
      <c r="M13576" s="5"/>
    </row>
    <row r="13577" spans="13:13" ht="15" customHeight="1" x14ac:dyDescent="0.3">
      <c r="M13577" s="5"/>
    </row>
    <row r="13578" spans="13:13" ht="15" customHeight="1" x14ac:dyDescent="0.3">
      <c r="M13578" s="5"/>
    </row>
    <row r="13579" spans="13:13" ht="15" customHeight="1" x14ac:dyDescent="0.3">
      <c r="M13579" s="5"/>
    </row>
    <row r="13580" spans="13:13" ht="15" customHeight="1" x14ac:dyDescent="0.3">
      <c r="M13580" s="5"/>
    </row>
    <row r="13581" spans="13:13" ht="15" customHeight="1" x14ac:dyDescent="0.3">
      <c r="M13581" s="5"/>
    </row>
    <row r="13582" spans="13:13" ht="15" customHeight="1" x14ac:dyDescent="0.3">
      <c r="M13582" s="5"/>
    </row>
    <row r="13583" spans="13:13" ht="15" customHeight="1" x14ac:dyDescent="0.3">
      <c r="M13583" s="5"/>
    </row>
    <row r="13584" spans="13:13" ht="15" customHeight="1" x14ac:dyDescent="0.3">
      <c r="M13584" s="5"/>
    </row>
    <row r="13585" spans="13:13" ht="15" customHeight="1" x14ac:dyDescent="0.3">
      <c r="M13585" s="5"/>
    </row>
    <row r="13586" spans="13:13" ht="15" customHeight="1" x14ac:dyDescent="0.3">
      <c r="M13586" s="5"/>
    </row>
    <row r="13587" spans="13:13" ht="15" customHeight="1" x14ac:dyDescent="0.3">
      <c r="M13587" s="5"/>
    </row>
    <row r="13588" spans="13:13" ht="15" customHeight="1" x14ac:dyDescent="0.3">
      <c r="M13588" s="5"/>
    </row>
    <row r="13589" spans="13:13" ht="15" customHeight="1" x14ac:dyDescent="0.3">
      <c r="M13589" s="5"/>
    </row>
    <row r="13590" spans="13:13" ht="15" customHeight="1" x14ac:dyDescent="0.3">
      <c r="M13590" s="5"/>
    </row>
    <row r="13591" spans="13:13" ht="15" customHeight="1" x14ac:dyDescent="0.3">
      <c r="M13591" s="5"/>
    </row>
    <row r="13592" spans="13:13" ht="15" customHeight="1" x14ac:dyDescent="0.3">
      <c r="M13592" s="5"/>
    </row>
    <row r="13593" spans="13:13" ht="15" customHeight="1" x14ac:dyDescent="0.3">
      <c r="M13593" s="5"/>
    </row>
    <row r="13594" spans="13:13" ht="15" customHeight="1" x14ac:dyDescent="0.3">
      <c r="M13594" s="5"/>
    </row>
    <row r="13595" spans="13:13" ht="15" customHeight="1" x14ac:dyDescent="0.3">
      <c r="M13595" s="5"/>
    </row>
    <row r="13596" spans="13:13" ht="15" customHeight="1" x14ac:dyDescent="0.3">
      <c r="M13596" s="5"/>
    </row>
    <row r="13597" spans="13:13" ht="15" customHeight="1" x14ac:dyDescent="0.3">
      <c r="M13597" s="5"/>
    </row>
    <row r="13598" spans="13:13" ht="15" customHeight="1" x14ac:dyDescent="0.3">
      <c r="M13598" s="5"/>
    </row>
    <row r="13599" spans="13:13" ht="15" customHeight="1" x14ac:dyDescent="0.3">
      <c r="M13599" s="5"/>
    </row>
    <row r="13600" spans="13:13" ht="15" customHeight="1" x14ac:dyDescent="0.3">
      <c r="M13600" s="5"/>
    </row>
    <row r="13601" spans="13:13" ht="15" customHeight="1" x14ac:dyDescent="0.3">
      <c r="M13601" s="5"/>
    </row>
    <row r="13602" spans="13:13" ht="15" customHeight="1" x14ac:dyDescent="0.3">
      <c r="M13602" s="5"/>
    </row>
    <row r="13603" spans="13:13" ht="15" customHeight="1" x14ac:dyDescent="0.3">
      <c r="M13603" s="5"/>
    </row>
    <row r="13604" spans="13:13" ht="15" customHeight="1" x14ac:dyDescent="0.3">
      <c r="M13604" s="5"/>
    </row>
    <row r="13605" spans="13:13" ht="15" customHeight="1" x14ac:dyDescent="0.3">
      <c r="M13605" s="5"/>
    </row>
    <row r="13606" spans="13:13" ht="15" customHeight="1" x14ac:dyDescent="0.3">
      <c r="M13606" s="5"/>
    </row>
    <row r="13607" spans="13:13" ht="15" customHeight="1" x14ac:dyDescent="0.3">
      <c r="M13607" s="5"/>
    </row>
    <row r="13608" spans="13:13" ht="15" customHeight="1" x14ac:dyDescent="0.3">
      <c r="M13608" s="5"/>
    </row>
    <row r="13609" spans="13:13" ht="15" customHeight="1" x14ac:dyDescent="0.3">
      <c r="M13609" s="5"/>
    </row>
    <row r="13610" spans="13:13" ht="15" customHeight="1" x14ac:dyDescent="0.3">
      <c r="M13610" s="5"/>
    </row>
    <row r="13611" spans="13:13" ht="15" customHeight="1" x14ac:dyDescent="0.3">
      <c r="M13611" s="5"/>
    </row>
    <row r="13612" spans="13:13" ht="15" customHeight="1" x14ac:dyDescent="0.3">
      <c r="M13612" s="5"/>
    </row>
    <row r="13613" spans="13:13" ht="15" customHeight="1" x14ac:dyDescent="0.3">
      <c r="M13613" s="5"/>
    </row>
    <row r="13614" spans="13:13" ht="15" customHeight="1" x14ac:dyDescent="0.3">
      <c r="M13614" s="5"/>
    </row>
    <row r="13615" spans="13:13" ht="15" customHeight="1" x14ac:dyDescent="0.3">
      <c r="M13615" s="5"/>
    </row>
    <row r="13616" spans="13:13" ht="15" customHeight="1" x14ac:dyDescent="0.3">
      <c r="M13616" s="5"/>
    </row>
    <row r="13617" spans="13:13" ht="15" customHeight="1" x14ac:dyDescent="0.3">
      <c r="M13617" s="5"/>
    </row>
    <row r="13618" spans="13:13" ht="15" customHeight="1" x14ac:dyDescent="0.3">
      <c r="M13618" s="5"/>
    </row>
    <row r="13619" spans="13:13" ht="15" customHeight="1" x14ac:dyDescent="0.3">
      <c r="M13619" s="5"/>
    </row>
    <row r="13620" spans="13:13" ht="15" customHeight="1" x14ac:dyDescent="0.3">
      <c r="M13620" s="5"/>
    </row>
    <row r="13621" spans="13:13" ht="15" customHeight="1" x14ac:dyDescent="0.3">
      <c r="M13621" s="5"/>
    </row>
    <row r="13622" spans="13:13" ht="15" customHeight="1" x14ac:dyDescent="0.3">
      <c r="M13622" s="5"/>
    </row>
    <row r="13623" spans="13:13" ht="15" customHeight="1" x14ac:dyDescent="0.3">
      <c r="M13623" s="5"/>
    </row>
    <row r="13624" spans="13:13" ht="15" customHeight="1" x14ac:dyDescent="0.3">
      <c r="M13624" s="5"/>
    </row>
    <row r="13625" spans="13:13" ht="15" customHeight="1" x14ac:dyDescent="0.3">
      <c r="M13625" s="5"/>
    </row>
    <row r="13626" spans="13:13" ht="15" customHeight="1" x14ac:dyDescent="0.3">
      <c r="M13626" s="5"/>
    </row>
    <row r="13627" spans="13:13" ht="15" customHeight="1" x14ac:dyDescent="0.3">
      <c r="M13627" s="5"/>
    </row>
    <row r="13628" spans="13:13" ht="15" customHeight="1" x14ac:dyDescent="0.3">
      <c r="M13628" s="5"/>
    </row>
    <row r="13629" spans="13:13" ht="15" customHeight="1" x14ac:dyDescent="0.3">
      <c r="M13629" s="5"/>
    </row>
    <row r="13630" spans="13:13" ht="15" customHeight="1" x14ac:dyDescent="0.3">
      <c r="M13630" s="5"/>
    </row>
    <row r="13631" spans="13:13" ht="15" customHeight="1" x14ac:dyDescent="0.3">
      <c r="M13631" s="5"/>
    </row>
    <row r="13632" spans="13:13" ht="15" customHeight="1" x14ac:dyDescent="0.3">
      <c r="M13632" s="5"/>
    </row>
    <row r="13633" spans="13:13" ht="15" customHeight="1" x14ac:dyDescent="0.3">
      <c r="M13633" s="5"/>
    </row>
    <row r="13634" spans="13:13" ht="15" customHeight="1" x14ac:dyDescent="0.3">
      <c r="M13634" s="5"/>
    </row>
    <row r="13635" spans="13:13" ht="15" customHeight="1" x14ac:dyDescent="0.3">
      <c r="M13635" s="5"/>
    </row>
    <row r="13636" spans="13:13" ht="15" customHeight="1" x14ac:dyDescent="0.3">
      <c r="M13636" s="5"/>
    </row>
    <row r="13637" spans="13:13" ht="15" customHeight="1" x14ac:dyDescent="0.3">
      <c r="M13637" s="5"/>
    </row>
    <row r="13638" spans="13:13" ht="15" customHeight="1" x14ac:dyDescent="0.3">
      <c r="M13638" s="5"/>
    </row>
    <row r="13639" spans="13:13" ht="15" customHeight="1" x14ac:dyDescent="0.3">
      <c r="M13639" s="5"/>
    </row>
    <row r="13640" spans="13:13" ht="15" customHeight="1" x14ac:dyDescent="0.3">
      <c r="M13640" s="5"/>
    </row>
    <row r="13641" spans="13:13" ht="15" customHeight="1" x14ac:dyDescent="0.3">
      <c r="M13641" s="5"/>
    </row>
    <row r="13642" spans="13:13" ht="15" customHeight="1" x14ac:dyDescent="0.3">
      <c r="M13642" s="5"/>
    </row>
    <row r="13643" spans="13:13" ht="15" customHeight="1" x14ac:dyDescent="0.3">
      <c r="M13643" s="5"/>
    </row>
    <row r="13644" spans="13:13" ht="15" customHeight="1" x14ac:dyDescent="0.3">
      <c r="M13644" s="5"/>
    </row>
    <row r="13645" spans="13:13" ht="15" customHeight="1" x14ac:dyDescent="0.3">
      <c r="M13645" s="5"/>
    </row>
    <row r="13646" spans="13:13" ht="15" customHeight="1" x14ac:dyDescent="0.3">
      <c r="M13646" s="5"/>
    </row>
    <row r="13647" spans="13:13" ht="15" customHeight="1" x14ac:dyDescent="0.3">
      <c r="M13647" s="5"/>
    </row>
    <row r="13648" spans="13:13" ht="15" customHeight="1" x14ac:dyDescent="0.3">
      <c r="M13648" s="5"/>
    </row>
    <row r="13649" spans="13:13" ht="15" customHeight="1" x14ac:dyDescent="0.3">
      <c r="M13649" s="5"/>
    </row>
    <row r="13650" spans="13:13" ht="15" customHeight="1" x14ac:dyDescent="0.3">
      <c r="M13650" s="5"/>
    </row>
    <row r="13651" spans="13:13" ht="15" customHeight="1" x14ac:dyDescent="0.3">
      <c r="M13651" s="5"/>
    </row>
    <row r="13652" spans="13:13" ht="15" customHeight="1" x14ac:dyDescent="0.3">
      <c r="M13652" s="5"/>
    </row>
    <row r="13653" spans="13:13" ht="15" customHeight="1" x14ac:dyDescent="0.3">
      <c r="M13653" s="5"/>
    </row>
    <row r="13654" spans="13:13" ht="15" customHeight="1" x14ac:dyDescent="0.3">
      <c r="M13654" s="5"/>
    </row>
    <row r="13655" spans="13:13" ht="15" customHeight="1" x14ac:dyDescent="0.3">
      <c r="M13655" s="5"/>
    </row>
    <row r="13656" spans="13:13" ht="15" customHeight="1" x14ac:dyDescent="0.3">
      <c r="M13656" s="5"/>
    </row>
    <row r="13657" spans="13:13" ht="15" customHeight="1" x14ac:dyDescent="0.3">
      <c r="M13657" s="5"/>
    </row>
    <row r="13658" spans="13:13" ht="15" customHeight="1" x14ac:dyDescent="0.3">
      <c r="M13658" s="5"/>
    </row>
    <row r="13659" spans="13:13" ht="15" customHeight="1" x14ac:dyDescent="0.3">
      <c r="M13659" s="5"/>
    </row>
    <row r="13660" spans="13:13" ht="15" customHeight="1" x14ac:dyDescent="0.3">
      <c r="M13660" s="5"/>
    </row>
    <row r="13661" spans="13:13" ht="15" customHeight="1" x14ac:dyDescent="0.3">
      <c r="M13661" s="5"/>
    </row>
    <row r="13662" spans="13:13" ht="15" customHeight="1" x14ac:dyDescent="0.3">
      <c r="M13662" s="5"/>
    </row>
    <row r="13663" spans="13:13" ht="15" customHeight="1" x14ac:dyDescent="0.3">
      <c r="M13663" s="5"/>
    </row>
    <row r="13664" spans="13:13" ht="15" customHeight="1" x14ac:dyDescent="0.3">
      <c r="M13664" s="5"/>
    </row>
    <row r="13665" spans="13:13" ht="15" customHeight="1" x14ac:dyDescent="0.3">
      <c r="M13665" s="5"/>
    </row>
    <row r="13666" spans="13:13" ht="15" customHeight="1" x14ac:dyDescent="0.3">
      <c r="M13666" s="5"/>
    </row>
    <row r="13667" spans="13:13" ht="15" customHeight="1" x14ac:dyDescent="0.3">
      <c r="M13667" s="5"/>
    </row>
    <row r="13668" spans="13:13" ht="15" customHeight="1" x14ac:dyDescent="0.3">
      <c r="M13668" s="5"/>
    </row>
    <row r="13669" spans="13:13" ht="15" customHeight="1" x14ac:dyDescent="0.3">
      <c r="M13669" s="5"/>
    </row>
    <row r="13670" spans="13:13" ht="15" customHeight="1" x14ac:dyDescent="0.3">
      <c r="M13670" s="5"/>
    </row>
    <row r="13671" spans="13:13" ht="15" customHeight="1" x14ac:dyDescent="0.3">
      <c r="M13671" s="5"/>
    </row>
    <row r="13672" spans="13:13" ht="15" customHeight="1" x14ac:dyDescent="0.3">
      <c r="M13672" s="5"/>
    </row>
    <row r="13673" spans="13:13" ht="15" customHeight="1" x14ac:dyDescent="0.3">
      <c r="M13673" s="5"/>
    </row>
    <row r="13674" spans="13:13" ht="15" customHeight="1" x14ac:dyDescent="0.3">
      <c r="M13674" s="5"/>
    </row>
    <row r="13675" spans="13:13" ht="15" customHeight="1" x14ac:dyDescent="0.3">
      <c r="M13675" s="5"/>
    </row>
    <row r="13676" spans="13:13" ht="15" customHeight="1" x14ac:dyDescent="0.3">
      <c r="M13676" s="5"/>
    </row>
    <row r="13677" spans="13:13" ht="15" customHeight="1" x14ac:dyDescent="0.3">
      <c r="M13677" s="5"/>
    </row>
    <row r="13678" spans="13:13" ht="15" customHeight="1" x14ac:dyDescent="0.3">
      <c r="M13678" s="5"/>
    </row>
    <row r="13679" spans="13:13" ht="15" customHeight="1" x14ac:dyDescent="0.3">
      <c r="M13679" s="5"/>
    </row>
    <row r="13680" spans="13:13" ht="15" customHeight="1" x14ac:dyDescent="0.3">
      <c r="M13680" s="5"/>
    </row>
    <row r="13681" spans="13:13" ht="15" customHeight="1" x14ac:dyDescent="0.3">
      <c r="M13681" s="5"/>
    </row>
    <row r="13682" spans="13:13" ht="15" customHeight="1" x14ac:dyDescent="0.3">
      <c r="M13682" s="5"/>
    </row>
    <row r="13683" spans="13:13" ht="15" customHeight="1" x14ac:dyDescent="0.3">
      <c r="M13683" s="5"/>
    </row>
    <row r="13684" spans="13:13" ht="15" customHeight="1" x14ac:dyDescent="0.3">
      <c r="M13684" s="5"/>
    </row>
    <row r="13685" spans="13:13" ht="15" customHeight="1" x14ac:dyDescent="0.3">
      <c r="M13685" s="5"/>
    </row>
    <row r="13686" spans="13:13" ht="15" customHeight="1" x14ac:dyDescent="0.3">
      <c r="M13686" s="5"/>
    </row>
    <row r="13687" spans="13:13" ht="15" customHeight="1" x14ac:dyDescent="0.3">
      <c r="M13687" s="5"/>
    </row>
    <row r="13688" spans="13:13" ht="15" customHeight="1" x14ac:dyDescent="0.3">
      <c r="M13688" s="5"/>
    </row>
    <row r="13689" spans="13:13" ht="15" customHeight="1" x14ac:dyDescent="0.3">
      <c r="M13689" s="5"/>
    </row>
    <row r="13690" spans="13:13" ht="15" customHeight="1" x14ac:dyDescent="0.3">
      <c r="M13690" s="5"/>
    </row>
    <row r="13691" spans="13:13" ht="15" customHeight="1" x14ac:dyDescent="0.3">
      <c r="M13691" s="5"/>
    </row>
    <row r="13692" spans="13:13" ht="15" customHeight="1" x14ac:dyDescent="0.3">
      <c r="M13692" s="5"/>
    </row>
    <row r="13693" spans="13:13" ht="15" customHeight="1" x14ac:dyDescent="0.3">
      <c r="M13693" s="5"/>
    </row>
    <row r="13694" spans="13:13" ht="15" customHeight="1" x14ac:dyDescent="0.3">
      <c r="M13694" s="5"/>
    </row>
    <row r="13695" spans="13:13" ht="15" customHeight="1" x14ac:dyDescent="0.3">
      <c r="M13695" s="5"/>
    </row>
    <row r="13696" spans="13:13" ht="15" customHeight="1" x14ac:dyDescent="0.3">
      <c r="M13696" s="5"/>
    </row>
    <row r="13697" spans="13:13" ht="15" customHeight="1" x14ac:dyDescent="0.3">
      <c r="M13697" s="5"/>
    </row>
    <row r="13698" spans="13:13" ht="15" customHeight="1" x14ac:dyDescent="0.3">
      <c r="M13698" s="5"/>
    </row>
    <row r="13699" spans="13:13" ht="15" customHeight="1" x14ac:dyDescent="0.3">
      <c r="M13699" s="5"/>
    </row>
    <row r="13700" spans="13:13" ht="15" customHeight="1" x14ac:dyDescent="0.3">
      <c r="M13700" s="5"/>
    </row>
    <row r="13701" spans="13:13" ht="15" customHeight="1" x14ac:dyDescent="0.3">
      <c r="M13701" s="5"/>
    </row>
    <row r="13702" spans="13:13" ht="15" customHeight="1" x14ac:dyDescent="0.3">
      <c r="M13702" s="5"/>
    </row>
    <row r="13703" spans="13:13" ht="15" customHeight="1" x14ac:dyDescent="0.3">
      <c r="M13703" s="5"/>
    </row>
    <row r="13704" spans="13:13" ht="15" customHeight="1" x14ac:dyDescent="0.3">
      <c r="M13704" s="5"/>
    </row>
    <row r="13705" spans="13:13" ht="15" customHeight="1" x14ac:dyDescent="0.3">
      <c r="M13705" s="5"/>
    </row>
    <row r="13706" spans="13:13" ht="15" customHeight="1" x14ac:dyDescent="0.3">
      <c r="M13706" s="5"/>
    </row>
    <row r="13707" spans="13:13" ht="15" customHeight="1" x14ac:dyDescent="0.3">
      <c r="M13707" s="5"/>
    </row>
    <row r="13708" spans="13:13" ht="15" customHeight="1" x14ac:dyDescent="0.3">
      <c r="M13708" s="5"/>
    </row>
    <row r="13709" spans="13:13" ht="15" customHeight="1" x14ac:dyDescent="0.3">
      <c r="M13709" s="5"/>
    </row>
    <row r="13710" spans="13:13" ht="15" customHeight="1" x14ac:dyDescent="0.3">
      <c r="M13710" s="5"/>
    </row>
    <row r="13711" spans="13:13" ht="15" customHeight="1" x14ac:dyDescent="0.3">
      <c r="M13711" s="5"/>
    </row>
    <row r="13712" spans="13:13" ht="15" customHeight="1" x14ac:dyDescent="0.3">
      <c r="M13712" s="5"/>
    </row>
    <row r="13713" spans="13:13" ht="15" customHeight="1" x14ac:dyDescent="0.3">
      <c r="M13713" s="5"/>
    </row>
    <row r="13714" spans="13:13" ht="15" customHeight="1" x14ac:dyDescent="0.3">
      <c r="M13714" s="5"/>
    </row>
    <row r="13715" spans="13:13" ht="15" customHeight="1" x14ac:dyDescent="0.3">
      <c r="M13715" s="5"/>
    </row>
    <row r="13716" spans="13:13" ht="15" customHeight="1" x14ac:dyDescent="0.3">
      <c r="M13716" s="5"/>
    </row>
    <row r="13717" spans="13:13" ht="15" customHeight="1" x14ac:dyDescent="0.3">
      <c r="M13717" s="5"/>
    </row>
    <row r="13718" spans="13:13" ht="15" customHeight="1" x14ac:dyDescent="0.3">
      <c r="M13718" s="5"/>
    </row>
    <row r="13719" spans="13:13" ht="15" customHeight="1" x14ac:dyDescent="0.3">
      <c r="M13719" s="5"/>
    </row>
    <row r="13720" spans="13:13" ht="15" customHeight="1" x14ac:dyDescent="0.3">
      <c r="M13720" s="5"/>
    </row>
    <row r="13721" spans="13:13" ht="15" customHeight="1" x14ac:dyDescent="0.3">
      <c r="M13721" s="5"/>
    </row>
    <row r="13722" spans="13:13" ht="15" customHeight="1" x14ac:dyDescent="0.3">
      <c r="M13722" s="5"/>
    </row>
    <row r="13723" spans="13:13" ht="15" customHeight="1" x14ac:dyDescent="0.3">
      <c r="M13723" s="5"/>
    </row>
    <row r="13724" spans="13:13" ht="15" customHeight="1" x14ac:dyDescent="0.3">
      <c r="M13724" s="5"/>
    </row>
    <row r="13725" spans="13:13" ht="15" customHeight="1" x14ac:dyDescent="0.3">
      <c r="M13725" s="5"/>
    </row>
    <row r="13726" spans="13:13" ht="15" customHeight="1" x14ac:dyDescent="0.3">
      <c r="M13726" s="5"/>
    </row>
    <row r="13727" spans="13:13" ht="15" customHeight="1" x14ac:dyDescent="0.3">
      <c r="M13727" s="5"/>
    </row>
    <row r="13728" spans="13:13" ht="15" customHeight="1" x14ac:dyDescent="0.3">
      <c r="M13728" s="5"/>
    </row>
    <row r="13729" spans="13:13" ht="15" customHeight="1" x14ac:dyDescent="0.3">
      <c r="M13729" s="5"/>
    </row>
    <row r="13730" spans="13:13" ht="15" customHeight="1" x14ac:dyDescent="0.3">
      <c r="M13730" s="5"/>
    </row>
    <row r="13731" spans="13:13" ht="15" customHeight="1" x14ac:dyDescent="0.3">
      <c r="M13731" s="5"/>
    </row>
    <row r="13732" spans="13:13" ht="15" customHeight="1" x14ac:dyDescent="0.3">
      <c r="M13732" s="5"/>
    </row>
    <row r="13733" spans="13:13" ht="15" customHeight="1" x14ac:dyDescent="0.3">
      <c r="M13733" s="5"/>
    </row>
    <row r="13734" spans="13:13" ht="15" customHeight="1" x14ac:dyDescent="0.3">
      <c r="M13734" s="5"/>
    </row>
    <row r="13735" spans="13:13" ht="15" customHeight="1" x14ac:dyDescent="0.3">
      <c r="M13735" s="5"/>
    </row>
    <row r="13736" spans="13:13" ht="15" customHeight="1" x14ac:dyDescent="0.3">
      <c r="M13736" s="5"/>
    </row>
    <row r="13737" spans="13:13" ht="15" customHeight="1" x14ac:dyDescent="0.3">
      <c r="M13737" s="5"/>
    </row>
    <row r="13738" spans="13:13" ht="15" customHeight="1" x14ac:dyDescent="0.3">
      <c r="M13738" s="5"/>
    </row>
    <row r="13739" spans="13:13" ht="15" customHeight="1" x14ac:dyDescent="0.3">
      <c r="M13739" s="5"/>
    </row>
    <row r="13740" spans="13:13" ht="15" customHeight="1" x14ac:dyDescent="0.3">
      <c r="M13740" s="5"/>
    </row>
    <row r="13741" spans="13:13" ht="15" customHeight="1" x14ac:dyDescent="0.3">
      <c r="M13741" s="5"/>
    </row>
    <row r="13742" spans="13:13" ht="15" customHeight="1" x14ac:dyDescent="0.3">
      <c r="M13742" s="5"/>
    </row>
    <row r="13743" spans="13:13" ht="15" customHeight="1" x14ac:dyDescent="0.3">
      <c r="M13743" s="5"/>
    </row>
    <row r="13744" spans="13:13" ht="15" customHeight="1" x14ac:dyDescent="0.3">
      <c r="M13744" s="5"/>
    </row>
    <row r="13745" spans="13:13" ht="15" customHeight="1" x14ac:dyDescent="0.3">
      <c r="M13745" s="5"/>
    </row>
    <row r="13746" spans="13:13" ht="15" customHeight="1" x14ac:dyDescent="0.3">
      <c r="M13746" s="5"/>
    </row>
    <row r="13747" spans="13:13" ht="15" customHeight="1" x14ac:dyDescent="0.3">
      <c r="M13747" s="5"/>
    </row>
    <row r="13748" spans="13:13" ht="15" customHeight="1" x14ac:dyDescent="0.3">
      <c r="M13748" s="5"/>
    </row>
    <row r="13749" spans="13:13" ht="15" customHeight="1" x14ac:dyDescent="0.3">
      <c r="M13749" s="5"/>
    </row>
    <row r="13750" spans="13:13" ht="15" customHeight="1" x14ac:dyDescent="0.3">
      <c r="M13750" s="5"/>
    </row>
    <row r="13751" spans="13:13" ht="15" customHeight="1" x14ac:dyDescent="0.3">
      <c r="M13751" s="5"/>
    </row>
    <row r="13752" spans="13:13" ht="15" customHeight="1" x14ac:dyDescent="0.3">
      <c r="M13752" s="5"/>
    </row>
    <row r="13753" spans="13:13" ht="15" customHeight="1" x14ac:dyDescent="0.3">
      <c r="M13753" s="5"/>
    </row>
    <row r="13754" spans="13:13" ht="15" customHeight="1" x14ac:dyDescent="0.3">
      <c r="M13754" s="5"/>
    </row>
    <row r="13755" spans="13:13" ht="15" customHeight="1" x14ac:dyDescent="0.3">
      <c r="M13755" s="5"/>
    </row>
    <row r="13756" spans="13:13" ht="15" customHeight="1" x14ac:dyDescent="0.3">
      <c r="M13756" s="5"/>
    </row>
    <row r="13757" spans="13:13" ht="15" customHeight="1" x14ac:dyDescent="0.3">
      <c r="M13757" s="5"/>
    </row>
    <row r="13758" spans="13:13" ht="15" customHeight="1" x14ac:dyDescent="0.3">
      <c r="M13758" s="5"/>
    </row>
    <row r="13759" spans="13:13" ht="15" customHeight="1" x14ac:dyDescent="0.3">
      <c r="M13759" s="5"/>
    </row>
    <row r="13760" spans="13:13" ht="15" customHeight="1" x14ac:dyDescent="0.3">
      <c r="M13760" s="5"/>
    </row>
    <row r="13761" spans="13:13" ht="15" customHeight="1" x14ac:dyDescent="0.3">
      <c r="M13761" s="5"/>
    </row>
    <row r="13762" spans="13:13" ht="15" customHeight="1" x14ac:dyDescent="0.3">
      <c r="M13762" s="5"/>
    </row>
    <row r="13763" spans="13:13" ht="15" customHeight="1" x14ac:dyDescent="0.3">
      <c r="M13763" s="5"/>
    </row>
    <row r="13764" spans="13:13" ht="15" customHeight="1" x14ac:dyDescent="0.3">
      <c r="M13764" s="5"/>
    </row>
    <row r="13765" spans="13:13" ht="15" customHeight="1" x14ac:dyDescent="0.3">
      <c r="M13765" s="5"/>
    </row>
    <row r="13766" spans="13:13" ht="15" customHeight="1" x14ac:dyDescent="0.3">
      <c r="M13766" s="5"/>
    </row>
    <row r="13767" spans="13:13" ht="15" customHeight="1" x14ac:dyDescent="0.3">
      <c r="M13767" s="5"/>
    </row>
    <row r="13768" spans="13:13" ht="15" customHeight="1" x14ac:dyDescent="0.3">
      <c r="M13768" s="5"/>
    </row>
    <row r="13769" spans="13:13" ht="15" customHeight="1" x14ac:dyDescent="0.3">
      <c r="M13769" s="5"/>
    </row>
    <row r="13770" spans="13:13" ht="15" customHeight="1" x14ac:dyDescent="0.3">
      <c r="M13770" s="5"/>
    </row>
    <row r="13771" spans="13:13" ht="15" customHeight="1" x14ac:dyDescent="0.3">
      <c r="M13771" s="5"/>
    </row>
    <row r="13772" spans="13:13" ht="15" customHeight="1" x14ac:dyDescent="0.3">
      <c r="M13772" s="5"/>
    </row>
    <row r="13773" spans="13:13" ht="15" customHeight="1" x14ac:dyDescent="0.3">
      <c r="M13773" s="5"/>
    </row>
    <row r="13774" spans="13:13" ht="15" customHeight="1" x14ac:dyDescent="0.3">
      <c r="M13774" s="5"/>
    </row>
    <row r="13775" spans="13:13" ht="15" customHeight="1" x14ac:dyDescent="0.3">
      <c r="M13775" s="5"/>
    </row>
    <row r="13776" spans="13:13" ht="15" customHeight="1" x14ac:dyDescent="0.3">
      <c r="M13776" s="5"/>
    </row>
    <row r="13777" spans="13:13" ht="15" customHeight="1" x14ac:dyDescent="0.3">
      <c r="M13777" s="5"/>
    </row>
    <row r="13778" spans="13:13" ht="15" customHeight="1" x14ac:dyDescent="0.3">
      <c r="M13778" s="5"/>
    </row>
    <row r="13779" spans="13:13" ht="15" customHeight="1" x14ac:dyDescent="0.3">
      <c r="M13779" s="5"/>
    </row>
    <row r="13780" spans="13:13" ht="15" customHeight="1" x14ac:dyDescent="0.3">
      <c r="M13780" s="5"/>
    </row>
    <row r="13781" spans="13:13" ht="15" customHeight="1" x14ac:dyDescent="0.3">
      <c r="M13781" s="5"/>
    </row>
    <row r="13782" spans="13:13" ht="15" customHeight="1" x14ac:dyDescent="0.3">
      <c r="M13782" s="5"/>
    </row>
    <row r="13783" spans="13:13" ht="15" customHeight="1" x14ac:dyDescent="0.3">
      <c r="M13783" s="5"/>
    </row>
    <row r="13784" spans="13:13" ht="15" customHeight="1" x14ac:dyDescent="0.3">
      <c r="M13784" s="5"/>
    </row>
    <row r="13785" spans="13:13" ht="15" customHeight="1" x14ac:dyDescent="0.3">
      <c r="M13785" s="5"/>
    </row>
    <row r="13786" spans="13:13" ht="15" customHeight="1" x14ac:dyDescent="0.3">
      <c r="M13786" s="5"/>
    </row>
    <row r="13787" spans="13:13" ht="15" customHeight="1" x14ac:dyDescent="0.3">
      <c r="M13787" s="5"/>
    </row>
    <row r="13788" spans="13:13" ht="15" customHeight="1" x14ac:dyDescent="0.3">
      <c r="M13788" s="5"/>
    </row>
    <row r="13789" spans="13:13" ht="15" customHeight="1" x14ac:dyDescent="0.3">
      <c r="M13789" s="5"/>
    </row>
    <row r="13790" spans="13:13" ht="15" customHeight="1" x14ac:dyDescent="0.3">
      <c r="M13790" s="5"/>
    </row>
    <row r="13791" spans="13:13" ht="15" customHeight="1" x14ac:dyDescent="0.3">
      <c r="M13791" s="5"/>
    </row>
    <row r="13792" spans="13:13" ht="15" customHeight="1" x14ac:dyDescent="0.3">
      <c r="M13792" s="5"/>
    </row>
    <row r="13793" spans="13:13" ht="15" customHeight="1" x14ac:dyDescent="0.3">
      <c r="M13793" s="5"/>
    </row>
    <row r="13794" spans="13:13" ht="15" customHeight="1" x14ac:dyDescent="0.3">
      <c r="M13794" s="5"/>
    </row>
    <row r="13795" spans="13:13" ht="15" customHeight="1" x14ac:dyDescent="0.3">
      <c r="M13795" s="5"/>
    </row>
    <row r="13796" spans="13:13" ht="15" customHeight="1" x14ac:dyDescent="0.3">
      <c r="M13796" s="5"/>
    </row>
    <row r="13797" spans="13:13" ht="15" customHeight="1" x14ac:dyDescent="0.3">
      <c r="M13797" s="5"/>
    </row>
    <row r="13798" spans="13:13" ht="15" customHeight="1" x14ac:dyDescent="0.3">
      <c r="M13798" s="5"/>
    </row>
    <row r="13799" spans="13:13" ht="15" customHeight="1" x14ac:dyDescent="0.3">
      <c r="M13799" s="5"/>
    </row>
    <row r="13800" spans="13:13" ht="15" customHeight="1" x14ac:dyDescent="0.3">
      <c r="M13800" s="5"/>
    </row>
    <row r="13801" spans="13:13" ht="15" customHeight="1" x14ac:dyDescent="0.3">
      <c r="M13801" s="5"/>
    </row>
    <row r="13802" spans="13:13" ht="15" customHeight="1" x14ac:dyDescent="0.3">
      <c r="M13802" s="5"/>
    </row>
    <row r="13803" spans="13:13" ht="15" customHeight="1" x14ac:dyDescent="0.3">
      <c r="M13803" s="5"/>
    </row>
    <row r="13804" spans="13:13" ht="15" customHeight="1" x14ac:dyDescent="0.3">
      <c r="M13804" s="5"/>
    </row>
    <row r="13805" spans="13:13" ht="15" customHeight="1" x14ac:dyDescent="0.3">
      <c r="M13805" s="5"/>
    </row>
    <row r="13806" spans="13:13" ht="15" customHeight="1" x14ac:dyDescent="0.3">
      <c r="M13806" s="5"/>
    </row>
    <row r="13807" spans="13:13" ht="15" customHeight="1" x14ac:dyDescent="0.3">
      <c r="M13807" s="5"/>
    </row>
    <row r="13808" spans="13:13" ht="15" customHeight="1" x14ac:dyDescent="0.3">
      <c r="M13808" s="5"/>
    </row>
    <row r="13809" spans="13:13" ht="15" customHeight="1" x14ac:dyDescent="0.3">
      <c r="M13809" s="5"/>
    </row>
    <row r="13810" spans="13:13" ht="15" customHeight="1" x14ac:dyDescent="0.3">
      <c r="M13810" s="5"/>
    </row>
    <row r="13811" spans="13:13" ht="15" customHeight="1" x14ac:dyDescent="0.3">
      <c r="M13811" s="5"/>
    </row>
    <row r="13812" spans="13:13" ht="15" customHeight="1" x14ac:dyDescent="0.3">
      <c r="M13812" s="5"/>
    </row>
    <row r="13813" spans="13:13" ht="15" customHeight="1" x14ac:dyDescent="0.3">
      <c r="M13813" s="5"/>
    </row>
    <row r="13814" spans="13:13" ht="15" customHeight="1" x14ac:dyDescent="0.3">
      <c r="M13814" s="5"/>
    </row>
    <row r="13815" spans="13:13" ht="15" customHeight="1" x14ac:dyDescent="0.3">
      <c r="M13815" s="5"/>
    </row>
    <row r="13816" spans="13:13" ht="15" customHeight="1" x14ac:dyDescent="0.3">
      <c r="M13816" s="5"/>
    </row>
    <row r="13817" spans="13:13" ht="15" customHeight="1" x14ac:dyDescent="0.3">
      <c r="M13817" s="5"/>
    </row>
    <row r="13818" spans="13:13" ht="15" customHeight="1" x14ac:dyDescent="0.3">
      <c r="M13818" s="5"/>
    </row>
    <row r="13819" spans="13:13" ht="15" customHeight="1" x14ac:dyDescent="0.3">
      <c r="M13819" s="5"/>
    </row>
    <row r="13820" spans="13:13" ht="15" customHeight="1" x14ac:dyDescent="0.3">
      <c r="M13820" s="5"/>
    </row>
    <row r="13821" spans="13:13" ht="15" customHeight="1" x14ac:dyDescent="0.3">
      <c r="M13821" s="5"/>
    </row>
    <row r="13822" spans="13:13" ht="15" customHeight="1" x14ac:dyDescent="0.3">
      <c r="M13822" s="5"/>
    </row>
    <row r="13823" spans="13:13" ht="15" customHeight="1" x14ac:dyDescent="0.3">
      <c r="M13823" s="5"/>
    </row>
    <row r="13824" spans="13:13" ht="15" customHeight="1" x14ac:dyDescent="0.3">
      <c r="M13824" s="5"/>
    </row>
    <row r="13825" spans="13:13" ht="15" customHeight="1" x14ac:dyDescent="0.3">
      <c r="M13825" s="5"/>
    </row>
    <row r="13826" spans="13:13" ht="15" customHeight="1" x14ac:dyDescent="0.3">
      <c r="M13826" s="5"/>
    </row>
    <row r="13827" spans="13:13" ht="15" customHeight="1" x14ac:dyDescent="0.3">
      <c r="M13827" s="5"/>
    </row>
    <row r="13828" spans="13:13" ht="15" customHeight="1" x14ac:dyDescent="0.3">
      <c r="M13828" s="5"/>
    </row>
    <row r="13829" spans="13:13" ht="15" customHeight="1" x14ac:dyDescent="0.3">
      <c r="M13829" s="5"/>
    </row>
    <row r="13830" spans="13:13" ht="15" customHeight="1" x14ac:dyDescent="0.3">
      <c r="M13830" s="5"/>
    </row>
    <row r="13831" spans="13:13" ht="15" customHeight="1" x14ac:dyDescent="0.3">
      <c r="M13831" s="5"/>
    </row>
    <row r="13832" spans="13:13" ht="15" customHeight="1" x14ac:dyDescent="0.3">
      <c r="M13832" s="5"/>
    </row>
    <row r="13833" spans="13:13" ht="15" customHeight="1" x14ac:dyDescent="0.3">
      <c r="M13833" s="5"/>
    </row>
    <row r="13834" spans="13:13" ht="15" customHeight="1" x14ac:dyDescent="0.3">
      <c r="M13834" s="5"/>
    </row>
    <row r="13835" spans="13:13" ht="15" customHeight="1" x14ac:dyDescent="0.3">
      <c r="M13835" s="5"/>
    </row>
    <row r="13836" spans="13:13" ht="15" customHeight="1" x14ac:dyDescent="0.3">
      <c r="M13836" s="5"/>
    </row>
    <row r="13837" spans="13:13" ht="15" customHeight="1" x14ac:dyDescent="0.3">
      <c r="M13837" s="5"/>
    </row>
    <row r="13838" spans="13:13" ht="15" customHeight="1" x14ac:dyDescent="0.3">
      <c r="M13838" s="5"/>
    </row>
    <row r="13839" spans="13:13" ht="15" customHeight="1" x14ac:dyDescent="0.3">
      <c r="M13839" s="5"/>
    </row>
    <row r="13840" spans="13:13" ht="15" customHeight="1" x14ac:dyDescent="0.3">
      <c r="M13840" s="5"/>
    </row>
    <row r="13841" spans="13:13" ht="15" customHeight="1" x14ac:dyDescent="0.3">
      <c r="M13841" s="5"/>
    </row>
    <row r="13842" spans="13:13" ht="15" customHeight="1" x14ac:dyDescent="0.3">
      <c r="M13842" s="5"/>
    </row>
    <row r="13843" spans="13:13" ht="15" customHeight="1" x14ac:dyDescent="0.3">
      <c r="M13843" s="5"/>
    </row>
    <row r="13844" spans="13:13" ht="15" customHeight="1" x14ac:dyDescent="0.3">
      <c r="M13844" s="5"/>
    </row>
    <row r="13845" spans="13:13" ht="15" customHeight="1" x14ac:dyDescent="0.3">
      <c r="M13845" s="5"/>
    </row>
    <row r="13846" spans="13:13" ht="15" customHeight="1" x14ac:dyDescent="0.3">
      <c r="M13846" s="5"/>
    </row>
    <row r="13847" spans="13:13" ht="15" customHeight="1" x14ac:dyDescent="0.3">
      <c r="M13847" s="5"/>
    </row>
    <row r="13848" spans="13:13" ht="15" customHeight="1" x14ac:dyDescent="0.3">
      <c r="M13848" s="5"/>
    </row>
    <row r="13849" spans="13:13" ht="15" customHeight="1" x14ac:dyDescent="0.3">
      <c r="M13849" s="5"/>
    </row>
    <row r="13850" spans="13:13" ht="15" customHeight="1" x14ac:dyDescent="0.3">
      <c r="M13850" s="5"/>
    </row>
    <row r="13851" spans="13:13" ht="15" customHeight="1" x14ac:dyDescent="0.3">
      <c r="M13851" s="5"/>
    </row>
    <row r="13852" spans="13:13" ht="15" customHeight="1" x14ac:dyDescent="0.3">
      <c r="M13852" s="5"/>
    </row>
    <row r="13853" spans="13:13" ht="15" customHeight="1" x14ac:dyDescent="0.3">
      <c r="M13853" s="5"/>
    </row>
    <row r="13854" spans="13:13" ht="15" customHeight="1" x14ac:dyDescent="0.3">
      <c r="M13854" s="5"/>
    </row>
    <row r="13855" spans="13:13" ht="15" customHeight="1" x14ac:dyDescent="0.3">
      <c r="M13855" s="5"/>
    </row>
    <row r="13856" spans="13:13" ht="15" customHeight="1" x14ac:dyDescent="0.3">
      <c r="M13856" s="5"/>
    </row>
    <row r="13857" spans="13:13" ht="15" customHeight="1" x14ac:dyDescent="0.3">
      <c r="M13857" s="5"/>
    </row>
    <row r="13858" spans="13:13" ht="15" customHeight="1" x14ac:dyDescent="0.3">
      <c r="M13858" s="5"/>
    </row>
    <row r="13859" spans="13:13" ht="15" customHeight="1" x14ac:dyDescent="0.3">
      <c r="M13859" s="5"/>
    </row>
    <row r="13860" spans="13:13" ht="15" customHeight="1" x14ac:dyDescent="0.3">
      <c r="M13860" s="5"/>
    </row>
    <row r="13861" spans="13:13" ht="15" customHeight="1" x14ac:dyDescent="0.3">
      <c r="M13861" s="5"/>
    </row>
    <row r="13862" spans="13:13" ht="15" customHeight="1" x14ac:dyDescent="0.3">
      <c r="M13862" s="5"/>
    </row>
    <row r="13863" spans="13:13" ht="15" customHeight="1" x14ac:dyDescent="0.3">
      <c r="M13863" s="5"/>
    </row>
    <row r="13864" spans="13:13" ht="15" customHeight="1" x14ac:dyDescent="0.3">
      <c r="M13864" s="5"/>
    </row>
    <row r="13865" spans="13:13" ht="15" customHeight="1" x14ac:dyDescent="0.3">
      <c r="M13865" s="5"/>
    </row>
    <row r="13866" spans="13:13" ht="15" customHeight="1" x14ac:dyDescent="0.3">
      <c r="M13866" s="5"/>
    </row>
    <row r="13867" spans="13:13" ht="15" customHeight="1" x14ac:dyDescent="0.3">
      <c r="M13867" s="5"/>
    </row>
    <row r="13868" spans="13:13" ht="15" customHeight="1" x14ac:dyDescent="0.3">
      <c r="M13868" s="5"/>
    </row>
    <row r="13869" spans="13:13" ht="15" customHeight="1" x14ac:dyDescent="0.3">
      <c r="M13869" s="5"/>
    </row>
    <row r="13870" spans="13:13" ht="15" customHeight="1" x14ac:dyDescent="0.3">
      <c r="M13870" s="5"/>
    </row>
    <row r="13871" spans="13:13" ht="15" customHeight="1" x14ac:dyDescent="0.3">
      <c r="M13871" s="5"/>
    </row>
    <row r="13872" spans="13:13" ht="15" customHeight="1" x14ac:dyDescent="0.3">
      <c r="M13872" s="5"/>
    </row>
    <row r="13873" spans="13:13" ht="15" customHeight="1" x14ac:dyDescent="0.3">
      <c r="M13873" s="5"/>
    </row>
    <row r="13874" spans="13:13" ht="15" customHeight="1" x14ac:dyDescent="0.3">
      <c r="M13874" s="5"/>
    </row>
    <row r="13875" spans="13:13" ht="15" customHeight="1" x14ac:dyDescent="0.3">
      <c r="M13875" s="5"/>
    </row>
    <row r="13876" spans="13:13" ht="15" customHeight="1" x14ac:dyDescent="0.3">
      <c r="M13876" s="5"/>
    </row>
    <row r="13877" spans="13:13" ht="15" customHeight="1" x14ac:dyDescent="0.3">
      <c r="M13877" s="5"/>
    </row>
    <row r="13878" spans="13:13" ht="15" customHeight="1" x14ac:dyDescent="0.3">
      <c r="M13878" s="5"/>
    </row>
    <row r="13879" spans="13:13" ht="15" customHeight="1" x14ac:dyDescent="0.3">
      <c r="M13879" s="5"/>
    </row>
    <row r="13880" spans="13:13" ht="15" customHeight="1" x14ac:dyDescent="0.3">
      <c r="M13880" s="5"/>
    </row>
    <row r="13881" spans="13:13" ht="15" customHeight="1" x14ac:dyDescent="0.3">
      <c r="M13881" s="5"/>
    </row>
    <row r="13882" spans="13:13" ht="15" customHeight="1" x14ac:dyDescent="0.3">
      <c r="M13882" s="5"/>
    </row>
    <row r="13883" spans="13:13" ht="15" customHeight="1" x14ac:dyDescent="0.3">
      <c r="M13883" s="5"/>
    </row>
    <row r="13884" spans="13:13" ht="15" customHeight="1" x14ac:dyDescent="0.3">
      <c r="M13884" s="5"/>
    </row>
    <row r="13885" spans="13:13" ht="15" customHeight="1" x14ac:dyDescent="0.3">
      <c r="M13885" s="5"/>
    </row>
    <row r="13886" spans="13:13" ht="15" customHeight="1" x14ac:dyDescent="0.3">
      <c r="M13886" s="5"/>
    </row>
    <row r="13887" spans="13:13" ht="15" customHeight="1" x14ac:dyDescent="0.3">
      <c r="M13887" s="5"/>
    </row>
    <row r="13888" spans="13:13" ht="15" customHeight="1" x14ac:dyDescent="0.3">
      <c r="M13888" s="5"/>
    </row>
    <row r="13889" spans="13:13" ht="15" customHeight="1" x14ac:dyDescent="0.3">
      <c r="M13889" s="5"/>
    </row>
    <row r="13890" spans="13:13" ht="15" customHeight="1" x14ac:dyDescent="0.3">
      <c r="M13890" s="5"/>
    </row>
    <row r="13891" spans="13:13" ht="15" customHeight="1" x14ac:dyDescent="0.3">
      <c r="M13891" s="5"/>
    </row>
    <row r="13892" spans="13:13" ht="15" customHeight="1" x14ac:dyDescent="0.3">
      <c r="M13892" s="5"/>
    </row>
    <row r="13893" spans="13:13" ht="15" customHeight="1" x14ac:dyDescent="0.3">
      <c r="M13893" s="5"/>
    </row>
    <row r="13894" spans="13:13" ht="15" customHeight="1" x14ac:dyDescent="0.3">
      <c r="M13894" s="5"/>
    </row>
    <row r="13895" spans="13:13" ht="15" customHeight="1" x14ac:dyDescent="0.3">
      <c r="M13895" s="5"/>
    </row>
    <row r="13896" spans="13:13" ht="15" customHeight="1" x14ac:dyDescent="0.3">
      <c r="M13896" s="5"/>
    </row>
    <row r="13897" spans="13:13" ht="15" customHeight="1" x14ac:dyDescent="0.3">
      <c r="M13897" s="5"/>
    </row>
    <row r="13898" spans="13:13" ht="15" customHeight="1" x14ac:dyDescent="0.3">
      <c r="M13898" s="5"/>
    </row>
    <row r="13899" spans="13:13" ht="15" customHeight="1" x14ac:dyDescent="0.3">
      <c r="M13899" s="5"/>
    </row>
    <row r="13900" spans="13:13" ht="15" customHeight="1" x14ac:dyDescent="0.3">
      <c r="M13900" s="5"/>
    </row>
    <row r="13901" spans="13:13" ht="15" customHeight="1" x14ac:dyDescent="0.3">
      <c r="M13901" s="5"/>
    </row>
    <row r="13902" spans="13:13" ht="15" customHeight="1" x14ac:dyDescent="0.3">
      <c r="M13902" s="5"/>
    </row>
    <row r="13903" spans="13:13" ht="15" customHeight="1" x14ac:dyDescent="0.3">
      <c r="M13903" s="5"/>
    </row>
    <row r="13904" spans="13:13" ht="15" customHeight="1" x14ac:dyDescent="0.3">
      <c r="M13904" s="5"/>
    </row>
    <row r="13905" spans="13:13" ht="15" customHeight="1" x14ac:dyDescent="0.3">
      <c r="M13905" s="5"/>
    </row>
    <row r="13906" spans="13:13" ht="15" customHeight="1" x14ac:dyDescent="0.3">
      <c r="M13906" s="5"/>
    </row>
    <row r="13907" spans="13:13" ht="15" customHeight="1" x14ac:dyDescent="0.3">
      <c r="M13907" s="5"/>
    </row>
    <row r="13908" spans="13:13" ht="15" customHeight="1" x14ac:dyDescent="0.3">
      <c r="M13908" s="5"/>
    </row>
    <row r="13909" spans="13:13" ht="15" customHeight="1" x14ac:dyDescent="0.3">
      <c r="M13909" s="5"/>
    </row>
    <row r="13910" spans="13:13" ht="15" customHeight="1" x14ac:dyDescent="0.3">
      <c r="M13910" s="5"/>
    </row>
    <row r="13911" spans="13:13" ht="15" customHeight="1" x14ac:dyDescent="0.3">
      <c r="M13911" s="5"/>
    </row>
    <row r="13912" spans="13:13" ht="15" customHeight="1" x14ac:dyDescent="0.3">
      <c r="M13912" s="5"/>
    </row>
    <row r="13913" spans="13:13" ht="15" customHeight="1" x14ac:dyDescent="0.3">
      <c r="M13913" s="5"/>
    </row>
    <row r="13914" spans="13:13" ht="15" customHeight="1" x14ac:dyDescent="0.3">
      <c r="M13914" s="5"/>
    </row>
    <row r="13915" spans="13:13" ht="15" customHeight="1" x14ac:dyDescent="0.3">
      <c r="M13915" s="5"/>
    </row>
    <row r="13916" spans="13:13" ht="15" customHeight="1" x14ac:dyDescent="0.3">
      <c r="M13916" s="5"/>
    </row>
    <row r="13917" spans="13:13" ht="15" customHeight="1" x14ac:dyDescent="0.3">
      <c r="M13917" s="5"/>
    </row>
    <row r="13918" spans="13:13" ht="15" customHeight="1" x14ac:dyDescent="0.3">
      <c r="M13918" s="5"/>
    </row>
    <row r="13919" spans="13:13" ht="15" customHeight="1" x14ac:dyDescent="0.3">
      <c r="M13919" s="5"/>
    </row>
    <row r="13920" spans="13:13" ht="15" customHeight="1" x14ac:dyDescent="0.3">
      <c r="M13920" s="5"/>
    </row>
    <row r="13921" spans="13:13" ht="15" customHeight="1" x14ac:dyDescent="0.3">
      <c r="M13921" s="5"/>
    </row>
    <row r="13922" spans="13:13" ht="15" customHeight="1" x14ac:dyDescent="0.3">
      <c r="M13922" s="5"/>
    </row>
    <row r="13923" spans="13:13" ht="15" customHeight="1" x14ac:dyDescent="0.3">
      <c r="M13923" s="5"/>
    </row>
    <row r="13924" spans="13:13" ht="15" customHeight="1" x14ac:dyDescent="0.3">
      <c r="M13924" s="5"/>
    </row>
    <row r="13925" spans="13:13" ht="15" customHeight="1" x14ac:dyDescent="0.3">
      <c r="M13925" s="5"/>
    </row>
    <row r="13926" spans="13:13" ht="15" customHeight="1" x14ac:dyDescent="0.3">
      <c r="M13926" s="5"/>
    </row>
    <row r="13927" spans="13:13" ht="15" customHeight="1" x14ac:dyDescent="0.3">
      <c r="M13927" s="5"/>
    </row>
    <row r="13928" spans="13:13" ht="15" customHeight="1" x14ac:dyDescent="0.3">
      <c r="M13928" s="5"/>
    </row>
    <row r="13929" spans="13:13" ht="15" customHeight="1" x14ac:dyDescent="0.3">
      <c r="M13929" s="5"/>
    </row>
    <row r="13930" spans="13:13" ht="15" customHeight="1" x14ac:dyDescent="0.3">
      <c r="M13930" s="5"/>
    </row>
    <row r="13931" spans="13:13" ht="15" customHeight="1" x14ac:dyDescent="0.3">
      <c r="M13931" s="5"/>
    </row>
    <row r="13932" spans="13:13" ht="15" customHeight="1" x14ac:dyDescent="0.3">
      <c r="M13932" s="5"/>
    </row>
    <row r="13933" spans="13:13" ht="15" customHeight="1" x14ac:dyDescent="0.3">
      <c r="M13933" s="5"/>
    </row>
    <row r="13934" spans="13:13" ht="15" customHeight="1" x14ac:dyDescent="0.3">
      <c r="M13934" s="5"/>
    </row>
    <row r="13935" spans="13:13" ht="15" customHeight="1" x14ac:dyDescent="0.3">
      <c r="M13935" s="5"/>
    </row>
    <row r="13936" spans="13:13" ht="15" customHeight="1" x14ac:dyDescent="0.3">
      <c r="M13936" s="5"/>
    </row>
    <row r="13937" spans="13:13" ht="15" customHeight="1" x14ac:dyDescent="0.3">
      <c r="M13937" s="5"/>
    </row>
    <row r="13938" spans="13:13" ht="15" customHeight="1" x14ac:dyDescent="0.3">
      <c r="M13938" s="5"/>
    </row>
    <row r="13939" spans="13:13" ht="15" customHeight="1" x14ac:dyDescent="0.3">
      <c r="M13939" s="5"/>
    </row>
    <row r="13940" spans="13:13" ht="15" customHeight="1" x14ac:dyDescent="0.3">
      <c r="M13940" s="5"/>
    </row>
    <row r="13941" spans="13:13" ht="15" customHeight="1" x14ac:dyDescent="0.3">
      <c r="M13941" s="5"/>
    </row>
    <row r="13942" spans="13:13" ht="15" customHeight="1" x14ac:dyDescent="0.3">
      <c r="M13942" s="5"/>
    </row>
    <row r="13943" spans="13:13" ht="15" customHeight="1" x14ac:dyDescent="0.3">
      <c r="M13943" s="5"/>
    </row>
    <row r="13944" spans="13:13" ht="15" customHeight="1" x14ac:dyDescent="0.3">
      <c r="M13944" s="5"/>
    </row>
    <row r="13945" spans="13:13" ht="15" customHeight="1" x14ac:dyDescent="0.3">
      <c r="M13945" s="5"/>
    </row>
    <row r="13946" spans="13:13" ht="15" customHeight="1" x14ac:dyDescent="0.3">
      <c r="M13946" s="5"/>
    </row>
    <row r="13947" spans="13:13" ht="15" customHeight="1" x14ac:dyDescent="0.3">
      <c r="M13947" s="5"/>
    </row>
    <row r="13948" spans="13:13" ht="15" customHeight="1" x14ac:dyDescent="0.3">
      <c r="M13948" s="5"/>
    </row>
    <row r="13949" spans="13:13" ht="15" customHeight="1" x14ac:dyDescent="0.3">
      <c r="M13949" s="5"/>
    </row>
    <row r="13950" spans="13:13" ht="15" customHeight="1" x14ac:dyDescent="0.3">
      <c r="M13950" s="5"/>
    </row>
    <row r="13951" spans="13:13" ht="15" customHeight="1" x14ac:dyDescent="0.3">
      <c r="M13951" s="5"/>
    </row>
    <row r="13952" spans="13:13" ht="15" customHeight="1" x14ac:dyDescent="0.3">
      <c r="M13952" s="5"/>
    </row>
    <row r="13953" spans="13:13" ht="15" customHeight="1" x14ac:dyDescent="0.3">
      <c r="M13953" s="5"/>
    </row>
    <row r="13954" spans="13:13" ht="15" customHeight="1" x14ac:dyDescent="0.3">
      <c r="M13954" s="5"/>
    </row>
    <row r="13955" spans="13:13" ht="15" customHeight="1" x14ac:dyDescent="0.3">
      <c r="M13955" s="5"/>
    </row>
    <row r="13956" spans="13:13" ht="15" customHeight="1" x14ac:dyDescent="0.3">
      <c r="M13956" s="5"/>
    </row>
    <row r="13957" spans="13:13" ht="15" customHeight="1" x14ac:dyDescent="0.3">
      <c r="M13957" s="5"/>
    </row>
    <row r="13958" spans="13:13" ht="15" customHeight="1" x14ac:dyDescent="0.3">
      <c r="M13958" s="5"/>
    </row>
    <row r="13959" spans="13:13" ht="15" customHeight="1" x14ac:dyDescent="0.3">
      <c r="M13959" s="5"/>
    </row>
    <row r="13960" spans="13:13" ht="15" customHeight="1" x14ac:dyDescent="0.3">
      <c r="M13960" s="5"/>
    </row>
    <row r="13961" spans="13:13" ht="15" customHeight="1" x14ac:dyDescent="0.3">
      <c r="M13961" s="5"/>
    </row>
    <row r="13962" spans="13:13" ht="15" customHeight="1" x14ac:dyDescent="0.3">
      <c r="M13962" s="5"/>
    </row>
    <row r="13963" spans="13:13" ht="15" customHeight="1" x14ac:dyDescent="0.3">
      <c r="M13963" s="5"/>
    </row>
    <row r="13964" spans="13:13" ht="15" customHeight="1" x14ac:dyDescent="0.3">
      <c r="M13964" s="5"/>
    </row>
    <row r="13965" spans="13:13" ht="15" customHeight="1" x14ac:dyDescent="0.3">
      <c r="M13965" s="5"/>
    </row>
    <row r="13966" spans="13:13" ht="15" customHeight="1" x14ac:dyDescent="0.3">
      <c r="M13966" s="5"/>
    </row>
    <row r="13967" spans="13:13" ht="15" customHeight="1" x14ac:dyDescent="0.3">
      <c r="M13967" s="5"/>
    </row>
    <row r="13968" spans="13:13" ht="15" customHeight="1" x14ac:dyDescent="0.3">
      <c r="M13968" s="5"/>
    </row>
    <row r="13969" spans="13:13" ht="15" customHeight="1" x14ac:dyDescent="0.3">
      <c r="M13969" s="5"/>
    </row>
    <row r="13970" spans="13:13" ht="15" customHeight="1" x14ac:dyDescent="0.3">
      <c r="M13970" s="5"/>
    </row>
    <row r="13971" spans="13:13" ht="15" customHeight="1" x14ac:dyDescent="0.3">
      <c r="M13971" s="5"/>
    </row>
    <row r="13972" spans="13:13" ht="15" customHeight="1" x14ac:dyDescent="0.3">
      <c r="M13972" s="5"/>
    </row>
    <row r="13973" spans="13:13" ht="15" customHeight="1" x14ac:dyDescent="0.3">
      <c r="M13973" s="5"/>
    </row>
    <row r="13974" spans="13:13" ht="15" customHeight="1" x14ac:dyDescent="0.3">
      <c r="M13974" s="5"/>
    </row>
    <row r="13975" spans="13:13" ht="15" customHeight="1" x14ac:dyDescent="0.3">
      <c r="M13975" s="5"/>
    </row>
    <row r="13976" spans="13:13" ht="15" customHeight="1" x14ac:dyDescent="0.3">
      <c r="M13976" s="5"/>
    </row>
    <row r="13977" spans="13:13" ht="15" customHeight="1" x14ac:dyDescent="0.3">
      <c r="M13977" s="5"/>
    </row>
    <row r="13978" spans="13:13" ht="15" customHeight="1" x14ac:dyDescent="0.3">
      <c r="M13978" s="5"/>
    </row>
    <row r="13979" spans="13:13" ht="15" customHeight="1" x14ac:dyDescent="0.3">
      <c r="M13979" s="5"/>
    </row>
    <row r="13980" spans="13:13" ht="15" customHeight="1" x14ac:dyDescent="0.3">
      <c r="M13980" s="5"/>
    </row>
    <row r="13981" spans="13:13" ht="15" customHeight="1" x14ac:dyDescent="0.3">
      <c r="M13981" s="5"/>
    </row>
    <row r="13982" spans="13:13" ht="15" customHeight="1" x14ac:dyDescent="0.3">
      <c r="M13982" s="5"/>
    </row>
    <row r="13983" spans="13:13" ht="15" customHeight="1" x14ac:dyDescent="0.3">
      <c r="M13983" s="5"/>
    </row>
    <row r="13984" spans="13:13" ht="15" customHeight="1" x14ac:dyDescent="0.3">
      <c r="M13984" s="5"/>
    </row>
    <row r="13985" spans="13:13" ht="15" customHeight="1" x14ac:dyDescent="0.3">
      <c r="M13985" s="5"/>
    </row>
    <row r="13986" spans="13:13" ht="15" customHeight="1" x14ac:dyDescent="0.3">
      <c r="M13986" s="5"/>
    </row>
    <row r="13987" spans="13:13" ht="15" customHeight="1" x14ac:dyDescent="0.3">
      <c r="M13987" s="5"/>
    </row>
    <row r="13988" spans="13:13" ht="15" customHeight="1" x14ac:dyDescent="0.3">
      <c r="M13988" s="5"/>
    </row>
    <row r="13989" spans="13:13" ht="15" customHeight="1" x14ac:dyDescent="0.3">
      <c r="M13989" s="5"/>
    </row>
    <row r="13990" spans="13:13" ht="15" customHeight="1" x14ac:dyDescent="0.3">
      <c r="M13990" s="5"/>
    </row>
    <row r="13991" spans="13:13" ht="15" customHeight="1" x14ac:dyDescent="0.3">
      <c r="M13991" s="5"/>
    </row>
    <row r="13992" spans="13:13" ht="15" customHeight="1" x14ac:dyDescent="0.3">
      <c r="M13992" s="5"/>
    </row>
    <row r="13993" spans="13:13" ht="15" customHeight="1" x14ac:dyDescent="0.3">
      <c r="M13993" s="5"/>
    </row>
    <row r="13994" spans="13:13" ht="15" customHeight="1" x14ac:dyDescent="0.3">
      <c r="M13994" s="5"/>
    </row>
    <row r="13995" spans="13:13" ht="15" customHeight="1" x14ac:dyDescent="0.3">
      <c r="M13995" s="5"/>
    </row>
    <row r="13996" spans="13:13" ht="15" customHeight="1" x14ac:dyDescent="0.3">
      <c r="M13996" s="5"/>
    </row>
    <row r="13997" spans="13:13" ht="15" customHeight="1" x14ac:dyDescent="0.3">
      <c r="M13997" s="5"/>
    </row>
    <row r="13998" spans="13:13" ht="15" customHeight="1" x14ac:dyDescent="0.3">
      <c r="M13998" s="5"/>
    </row>
    <row r="13999" spans="13:13" ht="15" customHeight="1" x14ac:dyDescent="0.3">
      <c r="M13999" s="5"/>
    </row>
    <row r="14000" spans="13:13" ht="15" customHeight="1" x14ac:dyDescent="0.3">
      <c r="M14000" s="5"/>
    </row>
    <row r="14001" spans="13:13" ht="15" customHeight="1" x14ac:dyDescent="0.3">
      <c r="M14001" s="5"/>
    </row>
    <row r="14002" spans="13:13" ht="15" customHeight="1" x14ac:dyDescent="0.3">
      <c r="M14002" s="5"/>
    </row>
    <row r="14003" spans="13:13" ht="15" customHeight="1" x14ac:dyDescent="0.3">
      <c r="M14003" s="5"/>
    </row>
    <row r="14004" spans="13:13" ht="15" customHeight="1" x14ac:dyDescent="0.3">
      <c r="M14004" s="5"/>
    </row>
    <row r="14005" spans="13:13" ht="15" customHeight="1" x14ac:dyDescent="0.3">
      <c r="M14005" s="5"/>
    </row>
    <row r="14006" spans="13:13" ht="15" customHeight="1" x14ac:dyDescent="0.3">
      <c r="M14006" s="5"/>
    </row>
    <row r="14007" spans="13:13" ht="15" customHeight="1" x14ac:dyDescent="0.3">
      <c r="M14007" s="5"/>
    </row>
    <row r="14008" spans="13:13" ht="15" customHeight="1" x14ac:dyDescent="0.3">
      <c r="M14008" s="5"/>
    </row>
    <row r="14009" spans="13:13" ht="15" customHeight="1" x14ac:dyDescent="0.3">
      <c r="M14009" s="5"/>
    </row>
    <row r="14010" spans="13:13" ht="15" customHeight="1" x14ac:dyDescent="0.3">
      <c r="M14010" s="5"/>
    </row>
    <row r="14011" spans="13:13" ht="15" customHeight="1" x14ac:dyDescent="0.3">
      <c r="M14011" s="5"/>
    </row>
    <row r="14012" spans="13:13" ht="15" customHeight="1" x14ac:dyDescent="0.3">
      <c r="M14012" s="5"/>
    </row>
    <row r="14013" spans="13:13" ht="15" customHeight="1" x14ac:dyDescent="0.3">
      <c r="M14013" s="5"/>
    </row>
    <row r="14014" spans="13:13" ht="15" customHeight="1" x14ac:dyDescent="0.3">
      <c r="M14014" s="5"/>
    </row>
    <row r="14015" spans="13:13" ht="15" customHeight="1" x14ac:dyDescent="0.3">
      <c r="M14015" s="5"/>
    </row>
    <row r="14016" spans="13:13" ht="15" customHeight="1" x14ac:dyDescent="0.3">
      <c r="M14016" s="5"/>
    </row>
    <row r="14017" spans="13:13" ht="15" customHeight="1" x14ac:dyDescent="0.3">
      <c r="M14017" s="5"/>
    </row>
    <row r="14018" spans="13:13" ht="15" customHeight="1" x14ac:dyDescent="0.3">
      <c r="M14018" s="5"/>
    </row>
    <row r="14019" spans="13:13" ht="15" customHeight="1" x14ac:dyDescent="0.3">
      <c r="M14019" s="5"/>
    </row>
    <row r="14020" spans="13:13" ht="15" customHeight="1" x14ac:dyDescent="0.3">
      <c r="M14020" s="5"/>
    </row>
    <row r="14021" spans="13:13" ht="15" customHeight="1" x14ac:dyDescent="0.3">
      <c r="M14021" s="5"/>
    </row>
    <row r="14022" spans="13:13" ht="15" customHeight="1" x14ac:dyDescent="0.3">
      <c r="M14022" s="5"/>
    </row>
    <row r="14023" spans="13:13" ht="15" customHeight="1" x14ac:dyDescent="0.3">
      <c r="M14023" s="5"/>
    </row>
    <row r="14024" spans="13:13" ht="15" customHeight="1" x14ac:dyDescent="0.3">
      <c r="M14024" s="5"/>
    </row>
    <row r="14025" spans="13:13" ht="15" customHeight="1" x14ac:dyDescent="0.3">
      <c r="M14025" s="5"/>
    </row>
    <row r="14026" spans="13:13" ht="15" customHeight="1" x14ac:dyDescent="0.3">
      <c r="M14026" s="5"/>
    </row>
    <row r="14027" spans="13:13" ht="15" customHeight="1" x14ac:dyDescent="0.3">
      <c r="M14027" s="5"/>
    </row>
    <row r="14028" spans="13:13" ht="15" customHeight="1" x14ac:dyDescent="0.3">
      <c r="M14028" s="5"/>
    </row>
    <row r="14029" spans="13:13" ht="15" customHeight="1" x14ac:dyDescent="0.3">
      <c r="M14029" s="5"/>
    </row>
    <row r="14030" spans="13:13" ht="15" customHeight="1" x14ac:dyDescent="0.3">
      <c r="M14030" s="5"/>
    </row>
    <row r="14031" spans="13:13" ht="15" customHeight="1" x14ac:dyDescent="0.3">
      <c r="M14031" s="5"/>
    </row>
    <row r="14032" spans="13:13" ht="15" customHeight="1" x14ac:dyDescent="0.3">
      <c r="M14032" s="5"/>
    </row>
    <row r="14033" spans="13:13" ht="15" customHeight="1" x14ac:dyDescent="0.3">
      <c r="M14033" s="5"/>
    </row>
    <row r="14034" spans="13:13" ht="15" customHeight="1" x14ac:dyDescent="0.3">
      <c r="M14034" s="5"/>
    </row>
    <row r="14035" spans="13:13" ht="15" customHeight="1" x14ac:dyDescent="0.3">
      <c r="M14035" s="5"/>
    </row>
    <row r="14036" spans="13:13" ht="15" customHeight="1" x14ac:dyDescent="0.3">
      <c r="M14036" s="5"/>
    </row>
    <row r="14037" spans="13:13" ht="15" customHeight="1" x14ac:dyDescent="0.3">
      <c r="M14037" s="5"/>
    </row>
    <row r="14038" spans="13:13" ht="15" customHeight="1" x14ac:dyDescent="0.3">
      <c r="M14038" s="5"/>
    </row>
    <row r="14039" spans="13:13" ht="15" customHeight="1" x14ac:dyDescent="0.3">
      <c r="M14039" s="5"/>
    </row>
    <row r="14040" spans="13:13" ht="15" customHeight="1" x14ac:dyDescent="0.3">
      <c r="M14040" s="5"/>
    </row>
    <row r="14041" spans="13:13" ht="15" customHeight="1" x14ac:dyDescent="0.3">
      <c r="M14041" s="5"/>
    </row>
    <row r="14042" spans="13:13" ht="15" customHeight="1" x14ac:dyDescent="0.3">
      <c r="M14042" s="5"/>
    </row>
    <row r="14043" spans="13:13" ht="15" customHeight="1" x14ac:dyDescent="0.3">
      <c r="M14043" s="5"/>
    </row>
    <row r="14044" spans="13:13" ht="15" customHeight="1" x14ac:dyDescent="0.3">
      <c r="M14044" s="5"/>
    </row>
    <row r="14045" spans="13:13" ht="15" customHeight="1" x14ac:dyDescent="0.3">
      <c r="M14045" s="5"/>
    </row>
    <row r="14046" spans="13:13" ht="15" customHeight="1" x14ac:dyDescent="0.3">
      <c r="M14046" s="5"/>
    </row>
    <row r="14047" spans="13:13" ht="15" customHeight="1" x14ac:dyDescent="0.3">
      <c r="M14047" s="5"/>
    </row>
    <row r="14048" spans="13:13" ht="15" customHeight="1" x14ac:dyDescent="0.3">
      <c r="M14048" s="5"/>
    </row>
    <row r="14049" spans="13:13" ht="15" customHeight="1" x14ac:dyDescent="0.3">
      <c r="M14049" s="5"/>
    </row>
    <row r="14050" spans="13:13" ht="15" customHeight="1" x14ac:dyDescent="0.3">
      <c r="M14050" s="5"/>
    </row>
    <row r="14051" spans="13:13" ht="15" customHeight="1" x14ac:dyDescent="0.3">
      <c r="M14051" s="5"/>
    </row>
    <row r="14052" spans="13:13" ht="15" customHeight="1" x14ac:dyDescent="0.3">
      <c r="M14052" s="5"/>
    </row>
    <row r="14053" spans="13:13" ht="15" customHeight="1" x14ac:dyDescent="0.3">
      <c r="M14053" s="5"/>
    </row>
    <row r="14054" spans="13:13" ht="15" customHeight="1" x14ac:dyDescent="0.3">
      <c r="M14054" s="5"/>
    </row>
    <row r="14055" spans="13:13" ht="15" customHeight="1" x14ac:dyDescent="0.3">
      <c r="M14055" s="5"/>
    </row>
    <row r="14056" spans="13:13" ht="15" customHeight="1" x14ac:dyDescent="0.3">
      <c r="M14056" s="5"/>
    </row>
    <row r="14057" spans="13:13" ht="15" customHeight="1" x14ac:dyDescent="0.3">
      <c r="M14057" s="5"/>
    </row>
    <row r="14058" spans="13:13" ht="15" customHeight="1" x14ac:dyDescent="0.3">
      <c r="M14058" s="5"/>
    </row>
    <row r="14059" spans="13:13" ht="15" customHeight="1" x14ac:dyDescent="0.3">
      <c r="M14059" s="5"/>
    </row>
    <row r="14060" spans="13:13" ht="15" customHeight="1" x14ac:dyDescent="0.3">
      <c r="M14060" s="5"/>
    </row>
    <row r="14061" spans="13:13" ht="15" customHeight="1" x14ac:dyDescent="0.3">
      <c r="M14061" s="5"/>
    </row>
    <row r="14062" spans="13:13" ht="15" customHeight="1" x14ac:dyDescent="0.3">
      <c r="M14062" s="5"/>
    </row>
    <row r="14063" spans="13:13" ht="15" customHeight="1" x14ac:dyDescent="0.3">
      <c r="M14063" s="5"/>
    </row>
    <row r="14064" spans="13:13" ht="15" customHeight="1" x14ac:dyDescent="0.3">
      <c r="M14064" s="5"/>
    </row>
    <row r="14065" spans="13:13" ht="15" customHeight="1" x14ac:dyDescent="0.3">
      <c r="M14065" s="5"/>
    </row>
    <row r="14066" spans="13:13" ht="15" customHeight="1" x14ac:dyDescent="0.3">
      <c r="M14066" s="5"/>
    </row>
    <row r="14067" spans="13:13" ht="15" customHeight="1" x14ac:dyDescent="0.3">
      <c r="M14067" s="5"/>
    </row>
    <row r="14068" spans="13:13" ht="15" customHeight="1" x14ac:dyDescent="0.3">
      <c r="M14068" s="5"/>
    </row>
    <row r="14069" spans="13:13" ht="15" customHeight="1" x14ac:dyDescent="0.3">
      <c r="M14069" s="5"/>
    </row>
    <row r="14070" spans="13:13" ht="15" customHeight="1" x14ac:dyDescent="0.3">
      <c r="M14070" s="5"/>
    </row>
    <row r="14071" spans="13:13" ht="15" customHeight="1" x14ac:dyDescent="0.3">
      <c r="M14071" s="5"/>
    </row>
    <row r="14072" spans="13:13" ht="15" customHeight="1" x14ac:dyDescent="0.3">
      <c r="M14072" s="5"/>
    </row>
    <row r="14073" spans="13:13" ht="15" customHeight="1" x14ac:dyDescent="0.3">
      <c r="M14073" s="5"/>
    </row>
    <row r="14074" spans="13:13" ht="15" customHeight="1" x14ac:dyDescent="0.3">
      <c r="M14074" s="5"/>
    </row>
    <row r="14075" spans="13:13" ht="15" customHeight="1" x14ac:dyDescent="0.3">
      <c r="M14075" s="5"/>
    </row>
    <row r="14076" spans="13:13" ht="15" customHeight="1" x14ac:dyDescent="0.3">
      <c r="M14076" s="5"/>
    </row>
    <row r="14077" spans="13:13" ht="15" customHeight="1" x14ac:dyDescent="0.3">
      <c r="M14077" s="5"/>
    </row>
    <row r="14078" spans="13:13" ht="15" customHeight="1" x14ac:dyDescent="0.3">
      <c r="M14078" s="5"/>
    </row>
    <row r="14079" spans="13:13" ht="15" customHeight="1" x14ac:dyDescent="0.3">
      <c r="M14079" s="5"/>
    </row>
    <row r="14080" spans="13:13" ht="15" customHeight="1" x14ac:dyDescent="0.3">
      <c r="M14080" s="5"/>
    </row>
    <row r="14081" spans="13:13" ht="15" customHeight="1" x14ac:dyDescent="0.3">
      <c r="M14081" s="5"/>
    </row>
    <row r="14082" spans="13:13" ht="15" customHeight="1" x14ac:dyDescent="0.3">
      <c r="M14082" s="5"/>
    </row>
    <row r="14083" spans="13:13" ht="15" customHeight="1" x14ac:dyDescent="0.3">
      <c r="M14083" s="5"/>
    </row>
    <row r="14084" spans="13:13" ht="15" customHeight="1" x14ac:dyDescent="0.3">
      <c r="M14084" s="5"/>
    </row>
    <row r="14085" spans="13:13" ht="15" customHeight="1" x14ac:dyDescent="0.3">
      <c r="M14085" s="5"/>
    </row>
    <row r="14086" spans="13:13" ht="15" customHeight="1" x14ac:dyDescent="0.3">
      <c r="M14086" s="5"/>
    </row>
    <row r="14087" spans="13:13" ht="15" customHeight="1" x14ac:dyDescent="0.3">
      <c r="M14087" s="5"/>
    </row>
    <row r="14088" spans="13:13" ht="15" customHeight="1" x14ac:dyDescent="0.3">
      <c r="M14088" s="5"/>
    </row>
    <row r="14089" spans="13:13" ht="15" customHeight="1" x14ac:dyDescent="0.3">
      <c r="M14089" s="5"/>
    </row>
    <row r="14090" spans="13:13" ht="15" customHeight="1" x14ac:dyDescent="0.3">
      <c r="M14090" s="5"/>
    </row>
    <row r="14091" spans="13:13" ht="15" customHeight="1" x14ac:dyDescent="0.3">
      <c r="M14091" s="5"/>
    </row>
    <row r="14092" spans="13:13" ht="15" customHeight="1" x14ac:dyDescent="0.3">
      <c r="M14092" s="5"/>
    </row>
    <row r="14093" spans="13:13" ht="15" customHeight="1" x14ac:dyDescent="0.3">
      <c r="M14093" s="5"/>
    </row>
    <row r="14094" spans="13:13" ht="15" customHeight="1" x14ac:dyDescent="0.3">
      <c r="M14094" s="5"/>
    </row>
    <row r="14095" spans="13:13" ht="15" customHeight="1" x14ac:dyDescent="0.3">
      <c r="M14095" s="5"/>
    </row>
    <row r="14096" spans="13:13" ht="15" customHeight="1" x14ac:dyDescent="0.3">
      <c r="M14096" s="5"/>
    </row>
    <row r="14097" spans="13:13" ht="15" customHeight="1" x14ac:dyDescent="0.3">
      <c r="M14097" s="5"/>
    </row>
    <row r="14098" spans="13:13" ht="15" customHeight="1" x14ac:dyDescent="0.3">
      <c r="M14098" s="5"/>
    </row>
    <row r="14099" spans="13:13" ht="15" customHeight="1" x14ac:dyDescent="0.3">
      <c r="M14099" s="5"/>
    </row>
    <row r="14100" spans="13:13" ht="15" customHeight="1" x14ac:dyDescent="0.3">
      <c r="M14100" s="5"/>
    </row>
    <row r="14101" spans="13:13" ht="15" customHeight="1" x14ac:dyDescent="0.3">
      <c r="M14101" s="5"/>
    </row>
    <row r="14102" spans="13:13" ht="15" customHeight="1" x14ac:dyDescent="0.3">
      <c r="M14102" s="5"/>
    </row>
    <row r="14103" spans="13:13" ht="15" customHeight="1" x14ac:dyDescent="0.3">
      <c r="M14103" s="5"/>
    </row>
    <row r="14104" spans="13:13" ht="15" customHeight="1" x14ac:dyDescent="0.3">
      <c r="M14104" s="5"/>
    </row>
    <row r="14105" spans="13:13" ht="15" customHeight="1" x14ac:dyDescent="0.3">
      <c r="M14105" s="5"/>
    </row>
    <row r="14106" spans="13:13" ht="15" customHeight="1" x14ac:dyDescent="0.3">
      <c r="M14106" s="5"/>
    </row>
    <row r="14107" spans="13:13" ht="15" customHeight="1" x14ac:dyDescent="0.3">
      <c r="M14107" s="5"/>
    </row>
    <row r="14108" spans="13:13" ht="15" customHeight="1" x14ac:dyDescent="0.3">
      <c r="M14108" s="5"/>
    </row>
    <row r="14109" spans="13:13" ht="15" customHeight="1" x14ac:dyDescent="0.3">
      <c r="M14109" s="5"/>
    </row>
    <row r="14110" spans="13:13" ht="15" customHeight="1" x14ac:dyDescent="0.3">
      <c r="M14110" s="5"/>
    </row>
    <row r="14111" spans="13:13" ht="15" customHeight="1" x14ac:dyDescent="0.3">
      <c r="M14111" s="5"/>
    </row>
    <row r="14112" spans="13:13" ht="15" customHeight="1" x14ac:dyDescent="0.3">
      <c r="M14112" s="5"/>
    </row>
    <row r="14113" spans="13:13" ht="15" customHeight="1" x14ac:dyDescent="0.3">
      <c r="M14113" s="5"/>
    </row>
    <row r="14114" spans="13:13" ht="15" customHeight="1" x14ac:dyDescent="0.3">
      <c r="M14114" s="5"/>
    </row>
    <row r="14115" spans="13:13" ht="15" customHeight="1" x14ac:dyDescent="0.3">
      <c r="M14115" s="5"/>
    </row>
    <row r="14116" spans="13:13" ht="15" customHeight="1" x14ac:dyDescent="0.3">
      <c r="M14116" s="5"/>
    </row>
    <row r="14117" spans="13:13" ht="15" customHeight="1" x14ac:dyDescent="0.3">
      <c r="M14117" s="5"/>
    </row>
    <row r="14118" spans="13:13" ht="15" customHeight="1" x14ac:dyDescent="0.3">
      <c r="M14118" s="5"/>
    </row>
    <row r="14119" spans="13:13" ht="15" customHeight="1" x14ac:dyDescent="0.3">
      <c r="M14119" s="5"/>
    </row>
    <row r="14120" spans="13:13" ht="15" customHeight="1" x14ac:dyDescent="0.3">
      <c r="M14120" s="5"/>
    </row>
    <row r="14121" spans="13:13" ht="15" customHeight="1" x14ac:dyDescent="0.3">
      <c r="M14121" s="5"/>
    </row>
    <row r="14122" spans="13:13" ht="15" customHeight="1" x14ac:dyDescent="0.3">
      <c r="M14122" s="5"/>
    </row>
    <row r="14123" spans="13:13" ht="15" customHeight="1" x14ac:dyDescent="0.3">
      <c r="M14123" s="5"/>
    </row>
    <row r="14124" spans="13:13" ht="15" customHeight="1" x14ac:dyDescent="0.3">
      <c r="M14124" s="5"/>
    </row>
    <row r="14125" spans="13:13" ht="15" customHeight="1" x14ac:dyDescent="0.3">
      <c r="M14125" s="5"/>
    </row>
    <row r="14126" spans="13:13" ht="15" customHeight="1" x14ac:dyDescent="0.3">
      <c r="M14126" s="5"/>
    </row>
    <row r="14127" spans="13:13" ht="15" customHeight="1" x14ac:dyDescent="0.3">
      <c r="M14127" s="5"/>
    </row>
    <row r="14128" spans="13:13" ht="15" customHeight="1" x14ac:dyDescent="0.3">
      <c r="M14128" s="5"/>
    </row>
    <row r="14129" spans="13:13" ht="15" customHeight="1" x14ac:dyDescent="0.3">
      <c r="M14129" s="5"/>
    </row>
    <row r="14130" spans="13:13" ht="15" customHeight="1" x14ac:dyDescent="0.3">
      <c r="M14130" s="5"/>
    </row>
    <row r="14131" spans="13:13" ht="15" customHeight="1" x14ac:dyDescent="0.3">
      <c r="M14131" s="5"/>
    </row>
    <row r="14132" spans="13:13" ht="15" customHeight="1" x14ac:dyDescent="0.3">
      <c r="M14132" s="5"/>
    </row>
    <row r="14133" spans="13:13" ht="15" customHeight="1" x14ac:dyDescent="0.3">
      <c r="M14133" s="5"/>
    </row>
    <row r="14134" spans="13:13" ht="15" customHeight="1" x14ac:dyDescent="0.3">
      <c r="M14134" s="5"/>
    </row>
    <row r="14135" spans="13:13" ht="15" customHeight="1" x14ac:dyDescent="0.3">
      <c r="M14135" s="5"/>
    </row>
    <row r="14136" spans="13:13" ht="15" customHeight="1" x14ac:dyDescent="0.3">
      <c r="M14136" s="5"/>
    </row>
    <row r="14137" spans="13:13" ht="15" customHeight="1" x14ac:dyDescent="0.3">
      <c r="M14137" s="5"/>
    </row>
    <row r="14138" spans="13:13" ht="15" customHeight="1" x14ac:dyDescent="0.3">
      <c r="M14138" s="5"/>
    </row>
    <row r="14139" spans="13:13" ht="15" customHeight="1" x14ac:dyDescent="0.3">
      <c r="M14139" s="5"/>
    </row>
    <row r="14140" spans="13:13" ht="15" customHeight="1" x14ac:dyDescent="0.3">
      <c r="M14140" s="5"/>
    </row>
    <row r="14141" spans="13:13" ht="15" customHeight="1" x14ac:dyDescent="0.3">
      <c r="M14141" s="5"/>
    </row>
    <row r="14142" spans="13:13" ht="15" customHeight="1" x14ac:dyDescent="0.3">
      <c r="M14142" s="5"/>
    </row>
    <row r="14143" spans="13:13" ht="15" customHeight="1" x14ac:dyDescent="0.3">
      <c r="M14143" s="5"/>
    </row>
    <row r="14144" spans="13:13" ht="15" customHeight="1" x14ac:dyDescent="0.3">
      <c r="M14144" s="5"/>
    </row>
    <row r="14145" spans="13:13" ht="15" customHeight="1" x14ac:dyDescent="0.3">
      <c r="M14145" s="5"/>
    </row>
    <row r="14146" spans="13:13" ht="15" customHeight="1" x14ac:dyDescent="0.3">
      <c r="M14146" s="5"/>
    </row>
    <row r="14147" spans="13:13" ht="15" customHeight="1" x14ac:dyDescent="0.3">
      <c r="M14147" s="5"/>
    </row>
    <row r="14148" spans="13:13" ht="15" customHeight="1" x14ac:dyDescent="0.3">
      <c r="M14148" s="5"/>
    </row>
    <row r="14149" spans="13:13" ht="15" customHeight="1" x14ac:dyDescent="0.3">
      <c r="M14149" s="5"/>
    </row>
    <row r="14150" spans="13:13" ht="15" customHeight="1" x14ac:dyDescent="0.3">
      <c r="M14150" s="5"/>
    </row>
    <row r="14151" spans="13:13" ht="15" customHeight="1" x14ac:dyDescent="0.3">
      <c r="M14151" s="5"/>
    </row>
    <row r="14152" spans="13:13" ht="15" customHeight="1" x14ac:dyDescent="0.3">
      <c r="M14152" s="5"/>
    </row>
    <row r="14153" spans="13:13" ht="15" customHeight="1" x14ac:dyDescent="0.3">
      <c r="M14153" s="5"/>
    </row>
    <row r="14154" spans="13:13" ht="15" customHeight="1" x14ac:dyDescent="0.3">
      <c r="M14154" s="5"/>
    </row>
    <row r="14155" spans="13:13" ht="15" customHeight="1" x14ac:dyDescent="0.3">
      <c r="M14155" s="5"/>
    </row>
    <row r="14156" spans="13:13" ht="15" customHeight="1" x14ac:dyDescent="0.3">
      <c r="M14156" s="5"/>
    </row>
    <row r="14157" spans="13:13" ht="15" customHeight="1" x14ac:dyDescent="0.3">
      <c r="M14157" s="5"/>
    </row>
    <row r="14158" spans="13:13" ht="15" customHeight="1" x14ac:dyDescent="0.3">
      <c r="M14158" s="5"/>
    </row>
    <row r="14159" spans="13:13" ht="15" customHeight="1" x14ac:dyDescent="0.3">
      <c r="M14159" s="5"/>
    </row>
    <row r="14160" spans="13:13" ht="15" customHeight="1" x14ac:dyDescent="0.3">
      <c r="M14160" s="5"/>
    </row>
    <row r="14161" spans="13:13" ht="15" customHeight="1" x14ac:dyDescent="0.3">
      <c r="M14161" s="5"/>
    </row>
    <row r="14162" spans="13:13" ht="15" customHeight="1" x14ac:dyDescent="0.3">
      <c r="M14162" s="5"/>
    </row>
    <row r="14163" spans="13:13" ht="15" customHeight="1" x14ac:dyDescent="0.3">
      <c r="M14163" s="5"/>
    </row>
    <row r="14164" spans="13:13" ht="15" customHeight="1" x14ac:dyDescent="0.3">
      <c r="M14164" s="5"/>
    </row>
    <row r="14165" spans="13:13" ht="15" customHeight="1" x14ac:dyDescent="0.3">
      <c r="M14165" s="5"/>
    </row>
    <row r="14166" spans="13:13" ht="15" customHeight="1" x14ac:dyDescent="0.3">
      <c r="M14166" s="5"/>
    </row>
    <row r="14167" spans="13:13" ht="15" customHeight="1" x14ac:dyDescent="0.3">
      <c r="M14167" s="5"/>
    </row>
    <row r="14168" spans="13:13" ht="15" customHeight="1" x14ac:dyDescent="0.3">
      <c r="M14168" s="5"/>
    </row>
    <row r="14169" spans="13:13" ht="15" customHeight="1" x14ac:dyDescent="0.3">
      <c r="M14169" s="5"/>
    </row>
    <row r="14170" spans="13:13" ht="15" customHeight="1" x14ac:dyDescent="0.3">
      <c r="M14170" s="5"/>
    </row>
    <row r="14171" spans="13:13" ht="15" customHeight="1" x14ac:dyDescent="0.3">
      <c r="M14171" s="5"/>
    </row>
    <row r="14172" spans="13:13" ht="15" customHeight="1" x14ac:dyDescent="0.3">
      <c r="M14172" s="5"/>
    </row>
    <row r="14173" spans="13:13" ht="15" customHeight="1" x14ac:dyDescent="0.3">
      <c r="M14173" s="5"/>
    </row>
    <row r="14174" spans="13:13" ht="15" customHeight="1" x14ac:dyDescent="0.3">
      <c r="M14174" s="5"/>
    </row>
    <row r="14175" spans="13:13" ht="15" customHeight="1" x14ac:dyDescent="0.3">
      <c r="M14175" s="5"/>
    </row>
    <row r="14176" spans="13:13" ht="15" customHeight="1" x14ac:dyDescent="0.3">
      <c r="M14176" s="5"/>
    </row>
    <row r="14177" spans="13:13" ht="15" customHeight="1" x14ac:dyDescent="0.3">
      <c r="M14177" s="5"/>
    </row>
    <row r="14178" spans="13:13" ht="15" customHeight="1" x14ac:dyDescent="0.3">
      <c r="M14178" s="5"/>
    </row>
    <row r="14179" spans="13:13" ht="15" customHeight="1" x14ac:dyDescent="0.3">
      <c r="M14179" s="5"/>
    </row>
    <row r="14180" spans="13:13" ht="15" customHeight="1" x14ac:dyDescent="0.3">
      <c r="M14180" s="5"/>
    </row>
    <row r="14181" spans="13:13" ht="15" customHeight="1" x14ac:dyDescent="0.3">
      <c r="M14181" s="5"/>
    </row>
    <row r="14182" spans="13:13" ht="15" customHeight="1" x14ac:dyDescent="0.3">
      <c r="M14182" s="5"/>
    </row>
    <row r="14183" spans="13:13" ht="15" customHeight="1" x14ac:dyDescent="0.3">
      <c r="M14183" s="5"/>
    </row>
    <row r="14184" spans="13:13" ht="15" customHeight="1" x14ac:dyDescent="0.3">
      <c r="M14184" s="5"/>
    </row>
    <row r="14185" spans="13:13" ht="15" customHeight="1" x14ac:dyDescent="0.3">
      <c r="M14185" s="5"/>
    </row>
    <row r="14186" spans="13:13" ht="15" customHeight="1" x14ac:dyDescent="0.3">
      <c r="M14186" s="5"/>
    </row>
    <row r="14187" spans="13:13" ht="15" customHeight="1" x14ac:dyDescent="0.3">
      <c r="M14187" s="5"/>
    </row>
    <row r="14188" spans="13:13" ht="15" customHeight="1" x14ac:dyDescent="0.3">
      <c r="M14188" s="5"/>
    </row>
    <row r="14189" spans="13:13" ht="15" customHeight="1" x14ac:dyDescent="0.3">
      <c r="M14189" s="5"/>
    </row>
    <row r="14190" spans="13:13" ht="15" customHeight="1" x14ac:dyDescent="0.3">
      <c r="M14190" s="5"/>
    </row>
    <row r="14191" spans="13:13" ht="15" customHeight="1" x14ac:dyDescent="0.3">
      <c r="M14191" s="5"/>
    </row>
    <row r="14192" spans="13:13" ht="15" customHeight="1" x14ac:dyDescent="0.3">
      <c r="M14192" s="5"/>
    </row>
    <row r="14193" spans="13:13" ht="15" customHeight="1" x14ac:dyDescent="0.3">
      <c r="M14193" s="5"/>
    </row>
    <row r="14194" spans="13:13" ht="15" customHeight="1" x14ac:dyDescent="0.3">
      <c r="M14194" s="5"/>
    </row>
    <row r="14195" spans="13:13" ht="15" customHeight="1" x14ac:dyDescent="0.3">
      <c r="M14195" s="5"/>
    </row>
    <row r="14196" spans="13:13" ht="15" customHeight="1" x14ac:dyDescent="0.3">
      <c r="M14196" s="5"/>
    </row>
    <row r="14197" spans="13:13" ht="15" customHeight="1" x14ac:dyDescent="0.3">
      <c r="M14197" s="5"/>
    </row>
    <row r="14198" spans="13:13" ht="15" customHeight="1" x14ac:dyDescent="0.3">
      <c r="M14198" s="5"/>
    </row>
    <row r="14199" spans="13:13" ht="15" customHeight="1" x14ac:dyDescent="0.3">
      <c r="M14199" s="5"/>
    </row>
    <row r="14200" spans="13:13" ht="15" customHeight="1" x14ac:dyDescent="0.3">
      <c r="M14200" s="5"/>
    </row>
    <row r="14201" spans="13:13" ht="15" customHeight="1" x14ac:dyDescent="0.3">
      <c r="M14201" s="5"/>
    </row>
    <row r="14202" spans="13:13" ht="15" customHeight="1" x14ac:dyDescent="0.3">
      <c r="M14202" s="5"/>
    </row>
    <row r="14203" spans="13:13" ht="15" customHeight="1" x14ac:dyDescent="0.3">
      <c r="M14203" s="5"/>
    </row>
    <row r="14204" spans="13:13" ht="15" customHeight="1" x14ac:dyDescent="0.3">
      <c r="M14204" s="5"/>
    </row>
    <row r="14205" spans="13:13" ht="15" customHeight="1" x14ac:dyDescent="0.3">
      <c r="M14205" s="5"/>
    </row>
    <row r="14206" spans="13:13" ht="15" customHeight="1" x14ac:dyDescent="0.3">
      <c r="M14206" s="5"/>
    </row>
    <row r="14207" spans="13:13" ht="15" customHeight="1" x14ac:dyDescent="0.3">
      <c r="M14207" s="5"/>
    </row>
    <row r="14208" spans="13:13" ht="15" customHeight="1" x14ac:dyDescent="0.3">
      <c r="M14208" s="5"/>
    </row>
    <row r="14209" spans="13:13" ht="15" customHeight="1" x14ac:dyDescent="0.3">
      <c r="M14209" s="5"/>
    </row>
    <row r="14210" spans="13:13" ht="15" customHeight="1" x14ac:dyDescent="0.3">
      <c r="M14210" s="5"/>
    </row>
    <row r="14211" spans="13:13" ht="15" customHeight="1" x14ac:dyDescent="0.3">
      <c r="M14211" s="5"/>
    </row>
    <row r="14212" spans="13:13" ht="15" customHeight="1" x14ac:dyDescent="0.3">
      <c r="M14212" s="5"/>
    </row>
    <row r="14213" spans="13:13" ht="15" customHeight="1" x14ac:dyDescent="0.3">
      <c r="M14213" s="5"/>
    </row>
    <row r="14214" spans="13:13" ht="15" customHeight="1" x14ac:dyDescent="0.3">
      <c r="M14214" s="5"/>
    </row>
    <row r="14215" spans="13:13" ht="15" customHeight="1" x14ac:dyDescent="0.3">
      <c r="M14215" s="5"/>
    </row>
    <row r="14216" spans="13:13" ht="15" customHeight="1" x14ac:dyDescent="0.3">
      <c r="M14216" s="5"/>
    </row>
    <row r="14217" spans="13:13" ht="15" customHeight="1" x14ac:dyDescent="0.3">
      <c r="M14217" s="5"/>
    </row>
    <row r="14218" spans="13:13" ht="15" customHeight="1" x14ac:dyDescent="0.3">
      <c r="M14218" s="5"/>
    </row>
    <row r="14219" spans="13:13" ht="15" customHeight="1" x14ac:dyDescent="0.3">
      <c r="M14219" s="5"/>
    </row>
    <row r="14220" spans="13:13" ht="15" customHeight="1" x14ac:dyDescent="0.3">
      <c r="M14220" s="5"/>
    </row>
    <row r="14221" spans="13:13" ht="15" customHeight="1" x14ac:dyDescent="0.3">
      <c r="M14221" s="5"/>
    </row>
    <row r="14222" spans="13:13" ht="15" customHeight="1" x14ac:dyDescent="0.3">
      <c r="M14222" s="5"/>
    </row>
    <row r="14223" spans="13:13" ht="15" customHeight="1" x14ac:dyDescent="0.3">
      <c r="M14223" s="5"/>
    </row>
    <row r="14224" spans="13:13" ht="15" customHeight="1" x14ac:dyDescent="0.3">
      <c r="M14224" s="5"/>
    </row>
    <row r="14225" spans="13:13" ht="15" customHeight="1" x14ac:dyDescent="0.3">
      <c r="M14225" s="5"/>
    </row>
    <row r="14226" spans="13:13" ht="15" customHeight="1" x14ac:dyDescent="0.3">
      <c r="M14226" s="5"/>
    </row>
    <row r="14227" spans="13:13" ht="15" customHeight="1" x14ac:dyDescent="0.3">
      <c r="M14227" s="5"/>
    </row>
    <row r="14228" spans="13:13" ht="15" customHeight="1" x14ac:dyDescent="0.3">
      <c r="M14228" s="5"/>
    </row>
    <row r="14229" spans="13:13" ht="15" customHeight="1" x14ac:dyDescent="0.3">
      <c r="M14229" s="5"/>
    </row>
    <row r="14230" spans="13:13" ht="15" customHeight="1" x14ac:dyDescent="0.3">
      <c r="M14230" s="5"/>
    </row>
    <row r="14231" spans="13:13" ht="15" customHeight="1" x14ac:dyDescent="0.3">
      <c r="M14231" s="5"/>
    </row>
    <row r="14232" spans="13:13" ht="15" customHeight="1" x14ac:dyDescent="0.3">
      <c r="M14232" s="5"/>
    </row>
    <row r="14233" spans="13:13" ht="15" customHeight="1" x14ac:dyDescent="0.3">
      <c r="M14233" s="5"/>
    </row>
    <row r="14234" spans="13:13" ht="15" customHeight="1" x14ac:dyDescent="0.3">
      <c r="M14234" s="5"/>
    </row>
    <row r="14235" spans="13:13" ht="15" customHeight="1" x14ac:dyDescent="0.3">
      <c r="M14235" s="5"/>
    </row>
    <row r="14236" spans="13:13" ht="15" customHeight="1" x14ac:dyDescent="0.3">
      <c r="M14236" s="5"/>
    </row>
    <row r="14237" spans="13:13" ht="15" customHeight="1" x14ac:dyDescent="0.3">
      <c r="M14237" s="5"/>
    </row>
    <row r="14238" spans="13:13" ht="15" customHeight="1" x14ac:dyDescent="0.3">
      <c r="M14238" s="5"/>
    </row>
    <row r="14239" spans="13:13" ht="15" customHeight="1" x14ac:dyDescent="0.3">
      <c r="M14239" s="5"/>
    </row>
    <row r="14240" spans="13:13" ht="15" customHeight="1" x14ac:dyDescent="0.3">
      <c r="M14240" s="5"/>
    </row>
    <row r="14241" spans="13:13" ht="15" customHeight="1" x14ac:dyDescent="0.3">
      <c r="M14241" s="5"/>
    </row>
    <row r="14242" spans="13:13" ht="15" customHeight="1" x14ac:dyDescent="0.3">
      <c r="M14242" s="5"/>
    </row>
    <row r="14243" spans="13:13" ht="15" customHeight="1" x14ac:dyDescent="0.3">
      <c r="M14243" s="5"/>
    </row>
    <row r="14244" spans="13:13" ht="15" customHeight="1" x14ac:dyDescent="0.3">
      <c r="M14244" s="5"/>
    </row>
    <row r="14245" spans="13:13" ht="15" customHeight="1" x14ac:dyDescent="0.3">
      <c r="M14245" s="5"/>
    </row>
    <row r="14246" spans="13:13" ht="15" customHeight="1" x14ac:dyDescent="0.3">
      <c r="M14246" s="5"/>
    </row>
    <row r="14247" spans="13:13" ht="15" customHeight="1" x14ac:dyDescent="0.3">
      <c r="M14247" s="5"/>
    </row>
    <row r="14248" spans="13:13" ht="15" customHeight="1" x14ac:dyDescent="0.3">
      <c r="M14248" s="5"/>
    </row>
    <row r="14249" spans="13:13" ht="15" customHeight="1" x14ac:dyDescent="0.3">
      <c r="M14249" s="5"/>
    </row>
    <row r="14250" spans="13:13" ht="15" customHeight="1" x14ac:dyDescent="0.3">
      <c r="M14250" s="5"/>
    </row>
    <row r="14251" spans="13:13" ht="15" customHeight="1" x14ac:dyDescent="0.3">
      <c r="M14251" s="5"/>
    </row>
    <row r="14252" spans="13:13" ht="15" customHeight="1" x14ac:dyDescent="0.3">
      <c r="M14252" s="5"/>
    </row>
    <row r="14253" spans="13:13" ht="15" customHeight="1" x14ac:dyDescent="0.3">
      <c r="M14253" s="5"/>
    </row>
    <row r="14254" spans="13:13" ht="15" customHeight="1" x14ac:dyDescent="0.3">
      <c r="M14254" s="5"/>
    </row>
    <row r="14255" spans="13:13" ht="15" customHeight="1" x14ac:dyDescent="0.3">
      <c r="M14255" s="5"/>
    </row>
    <row r="14256" spans="13:13" ht="15" customHeight="1" x14ac:dyDescent="0.3">
      <c r="M14256" s="5"/>
    </row>
    <row r="14257" spans="13:13" ht="15" customHeight="1" x14ac:dyDescent="0.3">
      <c r="M14257" s="5"/>
    </row>
    <row r="14258" spans="13:13" ht="15" customHeight="1" x14ac:dyDescent="0.3">
      <c r="M14258" s="5"/>
    </row>
    <row r="14259" spans="13:13" ht="15" customHeight="1" x14ac:dyDescent="0.3">
      <c r="M14259" s="5"/>
    </row>
    <row r="14260" spans="13:13" ht="15" customHeight="1" x14ac:dyDescent="0.3">
      <c r="M14260" s="5"/>
    </row>
    <row r="14261" spans="13:13" ht="15" customHeight="1" x14ac:dyDescent="0.3">
      <c r="M14261" s="5"/>
    </row>
    <row r="14262" spans="13:13" ht="15" customHeight="1" x14ac:dyDescent="0.3">
      <c r="M14262" s="5"/>
    </row>
    <row r="14263" spans="13:13" ht="15" customHeight="1" x14ac:dyDescent="0.3">
      <c r="M14263" s="5"/>
    </row>
    <row r="14264" spans="13:13" ht="15" customHeight="1" x14ac:dyDescent="0.3">
      <c r="M14264" s="5"/>
    </row>
    <row r="14265" spans="13:13" ht="15" customHeight="1" x14ac:dyDescent="0.3">
      <c r="M14265" s="5"/>
    </row>
    <row r="14266" spans="13:13" ht="15" customHeight="1" x14ac:dyDescent="0.3">
      <c r="M14266" s="5"/>
    </row>
    <row r="14267" spans="13:13" ht="15" customHeight="1" x14ac:dyDescent="0.3">
      <c r="M14267" s="5"/>
    </row>
    <row r="14268" spans="13:13" ht="15" customHeight="1" x14ac:dyDescent="0.3">
      <c r="M14268" s="5"/>
    </row>
    <row r="14269" spans="13:13" ht="15" customHeight="1" x14ac:dyDescent="0.3">
      <c r="M14269" s="5"/>
    </row>
    <row r="14270" spans="13:13" ht="15" customHeight="1" x14ac:dyDescent="0.3">
      <c r="M14270" s="5"/>
    </row>
    <row r="14271" spans="13:13" ht="15" customHeight="1" x14ac:dyDescent="0.3">
      <c r="M14271" s="5"/>
    </row>
    <row r="14272" spans="13:13" ht="15" customHeight="1" x14ac:dyDescent="0.3">
      <c r="M14272" s="5"/>
    </row>
    <row r="14273" spans="13:13" ht="15" customHeight="1" x14ac:dyDescent="0.3">
      <c r="M14273" s="5"/>
    </row>
    <row r="14274" spans="13:13" ht="15" customHeight="1" x14ac:dyDescent="0.3">
      <c r="M14274" s="5"/>
    </row>
    <row r="14275" spans="13:13" ht="15" customHeight="1" x14ac:dyDescent="0.3">
      <c r="M14275" s="5"/>
    </row>
    <row r="14276" spans="13:13" ht="15" customHeight="1" x14ac:dyDescent="0.3">
      <c r="M14276" s="5"/>
    </row>
    <row r="14277" spans="13:13" ht="15" customHeight="1" x14ac:dyDescent="0.3">
      <c r="M14277" s="5"/>
    </row>
    <row r="14278" spans="13:13" ht="15" customHeight="1" x14ac:dyDescent="0.3">
      <c r="M14278" s="5"/>
    </row>
    <row r="14279" spans="13:13" ht="15" customHeight="1" x14ac:dyDescent="0.3">
      <c r="M14279" s="5"/>
    </row>
    <row r="14280" spans="13:13" ht="15" customHeight="1" x14ac:dyDescent="0.3">
      <c r="M14280" s="5"/>
    </row>
    <row r="14281" spans="13:13" ht="15" customHeight="1" x14ac:dyDescent="0.3">
      <c r="M14281" s="5"/>
    </row>
    <row r="14282" spans="13:13" ht="15" customHeight="1" x14ac:dyDescent="0.3">
      <c r="M14282" s="5"/>
    </row>
    <row r="14283" spans="13:13" ht="15" customHeight="1" x14ac:dyDescent="0.3">
      <c r="M14283" s="5"/>
    </row>
    <row r="14284" spans="13:13" ht="15" customHeight="1" x14ac:dyDescent="0.3">
      <c r="M14284" s="5"/>
    </row>
    <row r="14285" spans="13:13" ht="15" customHeight="1" x14ac:dyDescent="0.3">
      <c r="M14285" s="5"/>
    </row>
    <row r="14286" spans="13:13" ht="15" customHeight="1" x14ac:dyDescent="0.3">
      <c r="M14286" s="5"/>
    </row>
    <row r="14287" spans="13:13" ht="15" customHeight="1" x14ac:dyDescent="0.3">
      <c r="M14287" s="5"/>
    </row>
    <row r="14288" spans="13:13" ht="15" customHeight="1" x14ac:dyDescent="0.3">
      <c r="M14288" s="5"/>
    </row>
    <row r="14289" spans="13:13" ht="15" customHeight="1" x14ac:dyDescent="0.3">
      <c r="M14289" s="5"/>
    </row>
    <row r="14290" spans="13:13" ht="15" customHeight="1" x14ac:dyDescent="0.3">
      <c r="M14290" s="5"/>
    </row>
    <row r="14291" spans="13:13" ht="15" customHeight="1" x14ac:dyDescent="0.3">
      <c r="M14291" s="5"/>
    </row>
    <row r="14292" spans="13:13" ht="15" customHeight="1" x14ac:dyDescent="0.3">
      <c r="M14292" s="5"/>
    </row>
    <row r="14293" spans="13:13" ht="15" customHeight="1" x14ac:dyDescent="0.3">
      <c r="M14293" s="5"/>
    </row>
    <row r="14294" spans="13:13" ht="15" customHeight="1" x14ac:dyDescent="0.3">
      <c r="M14294" s="5"/>
    </row>
    <row r="14295" spans="13:13" ht="15" customHeight="1" x14ac:dyDescent="0.3">
      <c r="M14295" s="5"/>
    </row>
    <row r="14296" spans="13:13" ht="15" customHeight="1" x14ac:dyDescent="0.3">
      <c r="M14296" s="5"/>
    </row>
    <row r="14297" spans="13:13" ht="15" customHeight="1" x14ac:dyDescent="0.3">
      <c r="M14297" s="5"/>
    </row>
    <row r="14298" spans="13:13" ht="15" customHeight="1" x14ac:dyDescent="0.3">
      <c r="M14298" s="5"/>
    </row>
    <row r="14299" spans="13:13" ht="15" customHeight="1" x14ac:dyDescent="0.3">
      <c r="M14299" s="5"/>
    </row>
    <row r="14300" spans="13:13" ht="15" customHeight="1" x14ac:dyDescent="0.3">
      <c r="M14300" s="5"/>
    </row>
    <row r="14301" spans="13:13" ht="15" customHeight="1" x14ac:dyDescent="0.3">
      <c r="M14301" s="5"/>
    </row>
    <row r="14302" spans="13:13" ht="15" customHeight="1" x14ac:dyDescent="0.3">
      <c r="M14302" s="5"/>
    </row>
    <row r="14303" spans="13:13" ht="15" customHeight="1" x14ac:dyDescent="0.3">
      <c r="M14303" s="5"/>
    </row>
    <row r="14304" spans="13:13" ht="15" customHeight="1" x14ac:dyDescent="0.3">
      <c r="M14304" s="5"/>
    </row>
    <row r="14305" spans="13:13" ht="15" customHeight="1" x14ac:dyDescent="0.3">
      <c r="M14305" s="5"/>
    </row>
    <row r="14306" spans="13:13" ht="15" customHeight="1" x14ac:dyDescent="0.3">
      <c r="M14306" s="5"/>
    </row>
    <row r="14307" spans="13:13" ht="15" customHeight="1" x14ac:dyDescent="0.3">
      <c r="M14307" s="5"/>
    </row>
    <row r="14308" spans="13:13" ht="15" customHeight="1" x14ac:dyDescent="0.3">
      <c r="M14308" s="5"/>
    </row>
    <row r="14309" spans="13:13" ht="15" customHeight="1" x14ac:dyDescent="0.3">
      <c r="M14309" s="5"/>
    </row>
    <row r="14310" spans="13:13" ht="15" customHeight="1" x14ac:dyDescent="0.3">
      <c r="M14310" s="5"/>
    </row>
    <row r="14311" spans="13:13" ht="15" customHeight="1" x14ac:dyDescent="0.3">
      <c r="M14311" s="5"/>
    </row>
    <row r="14312" spans="13:13" ht="15" customHeight="1" x14ac:dyDescent="0.3">
      <c r="M14312" s="5"/>
    </row>
    <row r="14313" spans="13:13" ht="15" customHeight="1" x14ac:dyDescent="0.3">
      <c r="M14313" s="5"/>
    </row>
    <row r="14314" spans="13:13" ht="15" customHeight="1" x14ac:dyDescent="0.3">
      <c r="M14314" s="5"/>
    </row>
    <row r="14315" spans="13:13" ht="15" customHeight="1" x14ac:dyDescent="0.3">
      <c r="M14315" s="5"/>
    </row>
    <row r="14316" spans="13:13" ht="15" customHeight="1" x14ac:dyDescent="0.3">
      <c r="M14316" s="5"/>
    </row>
    <row r="14317" spans="13:13" ht="15" customHeight="1" x14ac:dyDescent="0.3">
      <c r="M14317" s="5"/>
    </row>
    <row r="14318" spans="13:13" ht="15" customHeight="1" x14ac:dyDescent="0.3">
      <c r="M14318" s="5"/>
    </row>
    <row r="14319" spans="13:13" ht="15" customHeight="1" x14ac:dyDescent="0.3">
      <c r="M14319" s="5"/>
    </row>
    <row r="14320" spans="13:13" ht="15" customHeight="1" x14ac:dyDescent="0.3">
      <c r="M14320" s="5"/>
    </row>
    <row r="14321" spans="13:13" ht="15" customHeight="1" x14ac:dyDescent="0.3">
      <c r="M14321" s="5"/>
    </row>
    <row r="14322" spans="13:13" ht="15" customHeight="1" x14ac:dyDescent="0.3">
      <c r="M14322" s="5"/>
    </row>
    <row r="14323" spans="13:13" ht="15" customHeight="1" x14ac:dyDescent="0.3">
      <c r="M14323" s="5"/>
    </row>
    <row r="14324" spans="13:13" ht="15" customHeight="1" x14ac:dyDescent="0.3">
      <c r="M14324" s="5"/>
    </row>
    <row r="14325" spans="13:13" ht="15" customHeight="1" x14ac:dyDescent="0.3">
      <c r="M14325" s="5"/>
    </row>
    <row r="14326" spans="13:13" ht="15" customHeight="1" x14ac:dyDescent="0.3">
      <c r="M14326" s="5"/>
    </row>
    <row r="14327" spans="13:13" ht="15" customHeight="1" x14ac:dyDescent="0.3">
      <c r="M14327" s="5"/>
    </row>
    <row r="14328" spans="13:13" ht="15" customHeight="1" x14ac:dyDescent="0.3">
      <c r="M14328" s="5"/>
    </row>
    <row r="14329" spans="13:13" ht="15" customHeight="1" x14ac:dyDescent="0.3">
      <c r="M14329" s="5"/>
    </row>
    <row r="14330" spans="13:13" ht="15" customHeight="1" x14ac:dyDescent="0.3">
      <c r="M14330" s="5"/>
    </row>
    <row r="14331" spans="13:13" ht="15" customHeight="1" x14ac:dyDescent="0.3">
      <c r="M14331" s="5"/>
    </row>
    <row r="14332" spans="13:13" ht="15" customHeight="1" x14ac:dyDescent="0.3">
      <c r="M14332" s="5"/>
    </row>
    <row r="14333" spans="13:13" ht="15" customHeight="1" x14ac:dyDescent="0.3">
      <c r="M14333" s="5"/>
    </row>
    <row r="14334" spans="13:13" ht="15" customHeight="1" x14ac:dyDescent="0.3">
      <c r="M14334" s="5"/>
    </row>
    <row r="14335" spans="13:13" ht="15" customHeight="1" x14ac:dyDescent="0.3">
      <c r="M14335" s="5"/>
    </row>
    <row r="14336" spans="13:13" ht="15" customHeight="1" x14ac:dyDescent="0.3">
      <c r="M14336" s="5"/>
    </row>
    <row r="14337" spans="13:13" ht="15" customHeight="1" x14ac:dyDescent="0.3">
      <c r="M14337" s="5"/>
    </row>
    <row r="14338" spans="13:13" ht="15" customHeight="1" x14ac:dyDescent="0.3">
      <c r="M14338" s="5"/>
    </row>
    <row r="14339" spans="13:13" ht="15" customHeight="1" x14ac:dyDescent="0.3">
      <c r="M14339" s="5"/>
    </row>
    <row r="14340" spans="13:13" ht="15" customHeight="1" x14ac:dyDescent="0.3">
      <c r="M14340" s="5"/>
    </row>
    <row r="14341" spans="13:13" ht="15" customHeight="1" x14ac:dyDescent="0.3">
      <c r="M14341" s="5"/>
    </row>
    <row r="14342" spans="13:13" ht="15" customHeight="1" x14ac:dyDescent="0.3">
      <c r="M14342" s="5"/>
    </row>
    <row r="14343" spans="13:13" ht="15" customHeight="1" x14ac:dyDescent="0.3">
      <c r="M14343" s="5"/>
    </row>
    <row r="14344" spans="13:13" ht="15" customHeight="1" x14ac:dyDescent="0.3">
      <c r="M14344" s="5"/>
    </row>
    <row r="14345" spans="13:13" ht="15" customHeight="1" x14ac:dyDescent="0.3">
      <c r="M14345" s="5"/>
    </row>
    <row r="14346" spans="13:13" ht="15" customHeight="1" x14ac:dyDescent="0.3">
      <c r="M14346" s="5"/>
    </row>
    <row r="14347" spans="13:13" ht="15" customHeight="1" x14ac:dyDescent="0.3">
      <c r="M14347" s="5"/>
    </row>
    <row r="14348" spans="13:13" ht="15" customHeight="1" x14ac:dyDescent="0.3">
      <c r="M14348" s="5"/>
    </row>
    <row r="14349" spans="13:13" ht="15" customHeight="1" x14ac:dyDescent="0.3">
      <c r="M14349" s="5"/>
    </row>
    <row r="14350" spans="13:13" ht="15" customHeight="1" x14ac:dyDescent="0.3">
      <c r="M14350" s="5"/>
    </row>
    <row r="14351" spans="13:13" ht="15" customHeight="1" x14ac:dyDescent="0.3">
      <c r="M14351" s="5"/>
    </row>
    <row r="14352" spans="13:13" ht="15" customHeight="1" x14ac:dyDescent="0.3">
      <c r="M14352" s="5"/>
    </row>
    <row r="14353" spans="13:13" ht="15" customHeight="1" x14ac:dyDescent="0.3">
      <c r="M14353" s="5"/>
    </row>
    <row r="14354" spans="13:13" ht="15" customHeight="1" x14ac:dyDescent="0.3">
      <c r="M14354" s="5"/>
    </row>
    <row r="14355" spans="13:13" ht="15" customHeight="1" x14ac:dyDescent="0.3">
      <c r="M14355" s="5"/>
    </row>
    <row r="14356" spans="13:13" ht="15" customHeight="1" x14ac:dyDescent="0.3">
      <c r="M14356" s="5"/>
    </row>
    <row r="14357" spans="13:13" ht="15" customHeight="1" x14ac:dyDescent="0.3">
      <c r="M14357" s="5"/>
    </row>
    <row r="14358" spans="13:13" ht="15" customHeight="1" x14ac:dyDescent="0.3">
      <c r="M14358" s="5"/>
    </row>
    <row r="14359" spans="13:13" ht="15" customHeight="1" x14ac:dyDescent="0.3">
      <c r="M14359" s="5"/>
    </row>
    <row r="14360" spans="13:13" ht="15" customHeight="1" x14ac:dyDescent="0.3">
      <c r="M14360" s="5"/>
    </row>
    <row r="14361" spans="13:13" ht="15" customHeight="1" x14ac:dyDescent="0.3">
      <c r="M14361" s="5"/>
    </row>
    <row r="14362" spans="13:13" ht="15" customHeight="1" x14ac:dyDescent="0.3">
      <c r="M14362" s="5"/>
    </row>
    <row r="14363" spans="13:13" ht="15" customHeight="1" x14ac:dyDescent="0.3">
      <c r="M14363" s="5"/>
    </row>
    <row r="14364" spans="13:13" ht="15" customHeight="1" x14ac:dyDescent="0.3">
      <c r="M14364" s="5"/>
    </row>
    <row r="14365" spans="13:13" ht="15" customHeight="1" x14ac:dyDescent="0.3">
      <c r="M14365" s="5"/>
    </row>
    <row r="14366" spans="13:13" ht="15" customHeight="1" x14ac:dyDescent="0.3">
      <c r="M14366" s="5"/>
    </row>
    <row r="14367" spans="13:13" ht="15" customHeight="1" x14ac:dyDescent="0.3">
      <c r="M14367" s="5"/>
    </row>
    <row r="14368" spans="13:13" ht="15" customHeight="1" x14ac:dyDescent="0.3">
      <c r="M14368" s="5"/>
    </row>
    <row r="14369" spans="13:13" ht="15" customHeight="1" x14ac:dyDescent="0.3">
      <c r="M14369" s="5"/>
    </row>
    <row r="14370" spans="13:13" ht="15" customHeight="1" x14ac:dyDescent="0.3">
      <c r="M14370" s="5"/>
    </row>
    <row r="14371" spans="13:13" ht="15" customHeight="1" x14ac:dyDescent="0.3">
      <c r="M14371" s="5"/>
    </row>
    <row r="14372" spans="13:13" ht="15" customHeight="1" x14ac:dyDescent="0.3">
      <c r="M14372" s="5"/>
    </row>
    <row r="14373" spans="13:13" ht="15" customHeight="1" x14ac:dyDescent="0.3">
      <c r="M14373" s="5"/>
    </row>
    <row r="14374" spans="13:13" ht="15" customHeight="1" x14ac:dyDescent="0.3">
      <c r="M14374" s="5"/>
    </row>
    <row r="14375" spans="13:13" ht="15" customHeight="1" x14ac:dyDescent="0.3">
      <c r="M14375" s="5"/>
    </row>
    <row r="14376" spans="13:13" ht="15" customHeight="1" x14ac:dyDescent="0.3">
      <c r="M14376" s="5"/>
    </row>
    <row r="14377" spans="13:13" ht="15" customHeight="1" x14ac:dyDescent="0.3">
      <c r="M14377" s="5"/>
    </row>
    <row r="14378" spans="13:13" ht="15" customHeight="1" x14ac:dyDescent="0.3">
      <c r="M14378" s="5"/>
    </row>
    <row r="14379" spans="13:13" ht="15" customHeight="1" x14ac:dyDescent="0.3">
      <c r="M14379" s="5"/>
    </row>
    <row r="14380" spans="13:13" ht="15" customHeight="1" x14ac:dyDescent="0.3">
      <c r="M14380" s="5"/>
    </row>
    <row r="14381" spans="13:13" ht="15" customHeight="1" x14ac:dyDescent="0.3">
      <c r="M14381" s="5"/>
    </row>
    <row r="14382" spans="13:13" ht="15" customHeight="1" x14ac:dyDescent="0.3">
      <c r="M14382" s="5"/>
    </row>
    <row r="14383" spans="13:13" ht="15" customHeight="1" x14ac:dyDescent="0.3">
      <c r="M14383" s="5"/>
    </row>
    <row r="14384" spans="13:13" ht="15" customHeight="1" x14ac:dyDescent="0.3">
      <c r="M14384" s="5"/>
    </row>
    <row r="14385" spans="13:13" ht="15" customHeight="1" x14ac:dyDescent="0.3">
      <c r="M14385" s="5"/>
    </row>
    <row r="14386" spans="13:13" ht="15" customHeight="1" x14ac:dyDescent="0.3">
      <c r="M14386" s="5"/>
    </row>
    <row r="14387" spans="13:13" ht="15" customHeight="1" x14ac:dyDescent="0.3">
      <c r="M14387" s="5"/>
    </row>
    <row r="14388" spans="13:13" ht="15" customHeight="1" x14ac:dyDescent="0.3">
      <c r="M14388" s="5"/>
    </row>
    <row r="14389" spans="13:13" ht="15" customHeight="1" x14ac:dyDescent="0.3">
      <c r="M14389" s="5"/>
    </row>
    <row r="14390" spans="13:13" ht="15" customHeight="1" x14ac:dyDescent="0.3">
      <c r="M14390" s="5"/>
    </row>
    <row r="14391" spans="13:13" ht="15" customHeight="1" x14ac:dyDescent="0.3">
      <c r="M14391" s="5"/>
    </row>
    <row r="14392" spans="13:13" ht="15" customHeight="1" x14ac:dyDescent="0.3">
      <c r="M14392" s="5"/>
    </row>
    <row r="14393" spans="13:13" ht="15" customHeight="1" x14ac:dyDescent="0.3">
      <c r="M14393" s="5"/>
    </row>
    <row r="14394" spans="13:13" ht="15" customHeight="1" x14ac:dyDescent="0.3">
      <c r="M14394" s="5"/>
    </row>
    <row r="14395" spans="13:13" ht="15" customHeight="1" x14ac:dyDescent="0.3">
      <c r="M14395" s="5"/>
    </row>
    <row r="14396" spans="13:13" ht="15" customHeight="1" x14ac:dyDescent="0.3">
      <c r="M14396" s="5"/>
    </row>
    <row r="14397" spans="13:13" ht="15" customHeight="1" x14ac:dyDescent="0.3">
      <c r="M14397" s="5"/>
    </row>
    <row r="14398" spans="13:13" ht="15" customHeight="1" x14ac:dyDescent="0.3">
      <c r="M14398" s="5"/>
    </row>
    <row r="14399" spans="13:13" ht="15" customHeight="1" x14ac:dyDescent="0.3">
      <c r="M14399" s="5"/>
    </row>
    <row r="14400" spans="13:13" ht="15" customHeight="1" x14ac:dyDescent="0.3">
      <c r="M14400" s="5"/>
    </row>
    <row r="14401" spans="13:13" ht="15" customHeight="1" x14ac:dyDescent="0.3">
      <c r="M14401" s="5"/>
    </row>
    <row r="14402" spans="13:13" ht="15" customHeight="1" x14ac:dyDescent="0.3">
      <c r="M14402" s="5"/>
    </row>
    <row r="14403" spans="13:13" ht="15" customHeight="1" x14ac:dyDescent="0.3">
      <c r="M14403" s="5"/>
    </row>
    <row r="14404" spans="13:13" ht="15" customHeight="1" x14ac:dyDescent="0.3">
      <c r="M14404" s="5"/>
    </row>
    <row r="14405" spans="13:13" ht="15" customHeight="1" x14ac:dyDescent="0.3">
      <c r="M14405" s="5"/>
    </row>
    <row r="14406" spans="13:13" ht="15" customHeight="1" x14ac:dyDescent="0.3">
      <c r="M14406" s="5"/>
    </row>
    <row r="14407" spans="13:13" ht="15" customHeight="1" x14ac:dyDescent="0.3">
      <c r="M14407" s="5"/>
    </row>
    <row r="14408" spans="13:13" ht="15" customHeight="1" x14ac:dyDescent="0.3">
      <c r="M14408" s="5"/>
    </row>
    <row r="14409" spans="13:13" ht="15" customHeight="1" x14ac:dyDescent="0.3">
      <c r="M14409" s="5"/>
    </row>
    <row r="14410" spans="13:13" ht="15" customHeight="1" x14ac:dyDescent="0.3">
      <c r="M14410" s="5"/>
    </row>
    <row r="14411" spans="13:13" ht="15" customHeight="1" x14ac:dyDescent="0.3">
      <c r="M14411" s="5"/>
    </row>
    <row r="14412" spans="13:13" ht="15" customHeight="1" x14ac:dyDescent="0.3">
      <c r="M14412" s="5"/>
    </row>
    <row r="14413" spans="13:13" ht="15" customHeight="1" x14ac:dyDescent="0.3">
      <c r="M14413" s="5"/>
    </row>
    <row r="14414" spans="13:13" ht="15" customHeight="1" x14ac:dyDescent="0.3">
      <c r="M14414" s="5"/>
    </row>
    <row r="14415" spans="13:13" ht="15" customHeight="1" x14ac:dyDescent="0.3">
      <c r="M14415" s="5"/>
    </row>
    <row r="14416" spans="13:13" ht="15" customHeight="1" x14ac:dyDescent="0.3">
      <c r="M14416" s="5"/>
    </row>
    <row r="14417" spans="13:13" ht="15" customHeight="1" x14ac:dyDescent="0.3">
      <c r="M14417" s="5"/>
    </row>
    <row r="14418" spans="13:13" ht="15" customHeight="1" x14ac:dyDescent="0.3">
      <c r="M14418" s="5"/>
    </row>
    <row r="14419" spans="13:13" ht="15" customHeight="1" x14ac:dyDescent="0.3">
      <c r="M14419" s="5"/>
    </row>
    <row r="14420" spans="13:13" ht="15" customHeight="1" x14ac:dyDescent="0.3">
      <c r="M14420" s="5"/>
    </row>
    <row r="14421" spans="13:13" ht="15" customHeight="1" x14ac:dyDescent="0.3">
      <c r="M14421" s="5"/>
    </row>
    <row r="14422" spans="13:13" ht="15" customHeight="1" x14ac:dyDescent="0.3">
      <c r="M14422" s="5"/>
    </row>
    <row r="14423" spans="13:13" ht="15" customHeight="1" x14ac:dyDescent="0.3">
      <c r="M14423" s="5"/>
    </row>
    <row r="14424" spans="13:13" ht="15" customHeight="1" x14ac:dyDescent="0.3">
      <c r="M14424" s="5"/>
    </row>
    <row r="14425" spans="13:13" ht="15" customHeight="1" x14ac:dyDescent="0.3">
      <c r="M14425" s="5"/>
    </row>
    <row r="14426" spans="13:13" ht="15" customHeight="1" x14ac:dyDescent="0.3">
      <c r="M14426" s="5"/>
    </row>
    <row r="14427" spans="13:13" ht="15" customHeight="1" x14ac:dyDescent="0.3">
      <c r="M14427" s="5"/>
    </row>
    <row r="14428" spans="13:13" ht="15" customHeight="1" x14ac:dyDescent="0.3">
      <c r="M14428" s="5"/>
    </row>
    <row r="14429" spans="13:13" ht="15" customHeight="1" x14ac:dyDescent="0.3">
      <c r="M14429" s="5"/>
    </row>
    <row r="14430" spans="13:13" ht="15" customHeight="1" x14ac:dyDescent="0.3">
      <c r="M14430" s="5"/>
    </row>
    <row r="14431" spans="13:13" ht="15" customHeight="1" x14ac:dyDescent="0.3">
      <c r="M14431" s="5"/>
    </row>
    <row r="14432" spans="13:13" ht="15" customHeight="1" x14ac:dyDescent="0.3">
      <c r="M14432" s="5"/>
    </row>
    <row r="14433" spans="13:13" ht="15" customHeight="1" x14ac:dyDescent="0.3">
      <c r="M14433" s="5"/>
    </row>
    <row r="14434" spans="13:13" ht="15" customHeight="1" x14ac:dyDescent="0.3">
      <c r="M14434" s="5"/>
    </row>
    <row r="14435" spans="13:13" ht="15" customHeight="1" x14ac:dyDescent="0.3">
      <c r="M14435" s="5"/>
    </row>
    <row r="14436" spans="13:13" ht="15" customHeight="1" x14ac:dyDescent="0.3">
      <c r="M14436" s="5"/>
    </row>
    <row r="14437" spans="13:13" ht="15" customHeight="1" x14ac:dyDescent="0.3">
      <c r="M14437" s="5"/>
    </row>
    <row r="14438" spans="13:13" ht="15" customHeight="1" x14ac:dyDescent="0.3">
      <c r="M14438" s="5"/>
    </row>
    <row r="14439" spans="13:13" ht="15" customHeight="1" x14ac:dyDescent="0.3">
      <c r="M14439" s="5"/>
    </row>
    <row r="14440" spans="13:13" ht="15" customHeight="1" x14ac:dyDescent="0.3">
      <c r="M14440" s="5"/>
    </row>
    <row r="14441" spans="13:13" ht="15" customHeight="1" x14ac:dyDescent="0.3">
      <c r="M14441" s="5"/>
    </row>
    <row r="14442" spans="13:13" ht="15" customHeight="1" x14ac:dyDescent="0.3">
      <c r="M14442" s="5"/>
    </row>
    <row r="14443" spans="13:13" ht="15" customHeight="1" x14ac:dyDescent="0.3">
      <c r="M14443" s="5"/>
    </row>
    <row r="14444" spans="13:13" ht="15" customHeight="1" x14ac:dyDescent="0.3">
      <c r="M14444" s="5"/>
    </row>
    <row r="14445" spans="13:13" ht="15" customHeight="1" x14ac:dyDescent="0.3">
      <c r="M14445" s="5"/>
    </row>
    <row r="14446" spans="13:13" ht="15" customHeight="1" x14ac:dyDescent="0.3">
      <c r="M14446" s="5"/>
    </row>
    <row r="14447" spans="13:13" ht="15" customHeight="1" x14ac:dyDescent="0.3">
      <c r="M14447" s="5"/>
    </row>
    <row r="14448" spans="13:13" ht="15" customHeight="1" x14ac:dyDescent="0.3">
      <c r="M14448" s="5"/>
    </row>
    <row r="14449" spans="13:13" ht="15" customHeight="1" x14ac:dyDescent="0.3">
      <c r="M14449" s="5"/>
    </row>
    <row r="14450" spans="13:13" ht="15" customHeight="1" x14ac:dyDescent="0.3">
      <c r="M14450" s="5"/>
    </row>
    <row r="14451" spans="13:13" ht="15" customHeight="1" x14ac:dyDescent="0.3">
      <c r="M14451" s="5"/>
    </row>
    <row r="14452" spans="13:13" ht="15" customHeight="1" x14ac:dyDescent="0.3">
      <c r="M14452" s="5"/>
    </row>
    <row r="14453" spans="13:13" ht="15" customHeight="1" x14ac:dyDescent="0.3">
      <c r="M14453" s="5"/>
    </row>
    <row r="14454" spans="13:13" ht="15" customHeight="1" x14ac:dyDescent="0.3">
      <c r="M14454" s="5"/>
    </row>
    <row r="14455" spans="13:13" ht="15" customHeight="1" x14ac:dyDescent="0.3">
      <c r="M14455" s="5"/>
    </row>
    <row r="14456" spans="13:13" ht="15" customHeight="1" x14ac:dyDescent="0.3">
      <c r="M14456" s="5"/>
    </row>
    <row r="14457" spans="13:13" ht="15" customHeight="1" x14ac:dyDescent="0.3">
      <c r="M14457" s="5"/>
    </row>
    <row r="14458" spans="13:13" ht="15" customHeight="1" x14ac:dyDescent="0.3">
      <c r="M14458" s="5"/>
    </row>
    <row r="14459" spans="13:13" ht="15" customHeight="1" x14ac:dyDescent="0.3">
      <c r="M14459" s="5"/>
    </row>
    <row r="14460" spans="13:13" ht="15" customHeight="1" x14ac:dyDescent="0.3">
      <c r="M14460" s="5"/>
    </row>
    <row r="14461" spans="13:13" ht="15" customHeight="1" x14ac:dyDescent="0.3">
      <c r="M14461" s="5"/>
    </row>
    <row r="14462" spans="13:13" ht="15" customHeight="1" x14ac:dyDescent="0.3">
      <c r="M14462" s="5"/>
    </row>
    <row r="14463" spans="13:13" ht="15" customHeight="1" x14ac:dyDescent="0.3">
      <c r="M14463" s="5"/>
    </row>
    <row r="14464" spans="13:13" ht="15" customHeight="1" x14ac:dyDescent="0.3">
      <c r="M14464" s="5"/>
    </row>
    <row r="14465" spans="13:13" ht="15" customHeight="1" x14ac:dyDescent="0.3">
      <c r="M14465" s="5"/>
    </row>
    <row r="14466" spans="13:13" ht="15" customHeight="1" x14ac:dyDescent="0.3">
      <c r="M14466" s="5"/>
    </row>
    <row r="14467" spans="13:13" ht="15" customHeight="1" x14ac:dyDescent="0.3">
      <c r="M14467" s="5"/>
    </row>
    <row r="14468" spans="13:13" ht="15" customHeight="1" x14ac:dyDescent="0.3">
      <c r="M14468" s="5"/>
    </row>
    <row r="14469" spans="13:13" ht="15" customHeight="1" x14ac:dyDescent="0.3">
      <c r="M14469" s="5"/>
    </row>
    <row r="14470" spans="13:13" ht="15" customHeight="1" x14ac:dyDescent="0.3">
      <c r="M14470" s="5"/>
    </row>
    <row r="14471" spans="13:13" ht="15" customHeight="1" x14ac:dyDescent="0.3">
      <c r="M14471" s="5"/>
    </row>
    <row r="14472" spans="13:13" ht="15" customHeight="1" x14ac:dyDescent="0.3">
      <c r="M14472" s="5"/>
    </row>
    <row r="14473" spans="13:13" ht="15" customHeight="1" x14ac:dyDescent="0.3">
      <c r="M14473" s="5"/>
    </row>
    <row r="14474" spans="13:13" ht="15" customHeight="1" x14ac:dyDescent="0.3">
      <c r="M14474" s="5"/>
    </row>
    <row r="14475" spans="13:13" ht="15" customHeight="1" x14ac:dyDescent="0.3">
      <c r="M14475" s="5"/>
    </row>
    <row r="14476" spans="13:13" ht="15" customHeight="1" x14ac:dyDescent="0.3">
      <c r="M14476" s="5"/>
    </row>
    <row r="14477" spans="13:13" ht="15" customHeight="1" x14ac:dyDescent="0.3">
      <c r="M14477" s="5"/>
    </row>
    <row r="14478" spans="13:13" ht="15" customHeight="1" x14ac:dyDescent="0.3">
      <c r="M14478" s="5"/>
    </row>
    <row r="14479" spans="13:13" ht="15" customHeight="1" x14ac:dyDescent="0.3">
      <c r="M14479" s="5"/>
    </row>
    <row r="14480" spans="13:13" ht="15" customHeight="1" x14ac:dyDescent="0.3">
      <c r="M14480" s="5"/>
    </row>
    <row r="14481" spans="13:13" ht="15" customHeight="1" x14ac:dyDescent="0.3">
      <c r="M14481" s="5"/>
    </row>
    <row r="14482" spans="13:13" ht="15" customHeight="1" x14ac:dyDescent="0.3">
      <c r="M14482" s="5"/>
    </row>
    <row r="14483" spans="13:13" ht="15" customHeight="1" x14ac:dyDescent="0.3">
      <c r="M14483" s="5"/>
    </row>
    <row r="14484" spans="13:13" ht="15" customHeight="1" x14ac:dyDescent="0.3">
      <c r="M14484" s="5"/>
    </row>
    <row r="14485" spans="13:13" ht="15" customHeight="1" x14ac:dyDescent="0.3">
      <c r="M14485" s="5"/>
    </row>
    <row r="14486" spans="13:13" ht="15" customHeight="1" x14ac:dyDescent="0.3">
      <c r="M14486" s="5"/>
    </row>
    <row r="14487" spans="13:13" ht="15" customHeight="1" x14ac:dyDescent="0.3">
      <c r="M14487" s="5"/>
    </row>
    <row r="14488" spans="13:13" ht="15" customHeight="1" x14ac:dyDescent="0.3">
      <c r="M14488" s="5"/>
    </row>
    <row r="14489" spans="13:13" ht="15" customHeight="1" x14ac:dyDescent="0.3">
      <c r="M14489" s="5"/>
    </row>
    <row r="14490" spans="13:13" ht="15" customHeight="1" x14ac:dyDescent="0.3">
      <c r="M14490" s="5"/>
    </row>
    <row r="14491" spans="13:13" ht="15" customHeight="1" x14ac:dyDescent="0.3">
      <c r="M14491" s="5"/>
    </row>
    <row r="14492" spans="13:13" ht="15" customHeight="1" x14ac:dyDescent="0.3">
      <c r="M14492" s="5"/>
    </row>
    <row r="14493" spans="13:13" ht="15" customHeight="1" x14ac:dyDescent="0.3">
      <c r="M14493" s="5"/>
    </row>
    <row r="14494" spans="13:13" ht="15" customHeight="1" x14ac:dyDescent="0.3">
      <c r="M14494" s="5"/>
    </row>
    <row r="14495" spans="13:13" ht="15" customHeight="1" x14ac:dyDescent="0.3">
      <c r="M14495" s="5"/>
    </row>
    <row r="14496" spans="13:13" ht="15" customHeight="1" x14ac:dyDescent="0.3">
      <c r="M14496" s="5"/>
    </row>
    <row r="14497" spans="13:13" ht="15" customHeight="1" x14ac:dyDescent="0.3">
      <c r="M14497" s="5"/>
    </row>
    <row r="14498" spans="13:13" ht="15" customHeight="1" x14ac:dyDescent="0.3">
      <c r="M14498" s="5"/>
    </row>
    <row r="14499" spans="13:13" ht="15" customHeight="1" x14ac:dyDescent="0.3">
      <c r="M14499" s="5"/>
    </row>
    <row r="14500" spans="13:13" ht="15" customHeight="1" x14ac:dyDescent="0.3">
      <c r="M14500" s="5"/>
    </row>
    <row r="14501" spans="13:13" ht="15" customHeight="1" x14ac:dyDescent="0.3">
      <c r="M14501" s="5"/>
    </row>
    <row r="14502" spans="13:13" ht="15" customHeight="1" x14ac:dyDescent="0.3">
      <c r="M14502" s="5"/>
    </row>
    <row r="14503" spans="13:13" ht="15" customHeight="1" x14ac:dyDescent="0.3">
      <c r="M14503" s="5"/>
    </row>
    <row r="14504" spans="13:13" ht="15" customHeight="1" x14ac:dyDescent="0.3">
      <c r="M14504" s="5"/>
    </row>
    <row r="14505" spans="13:13" ht="15" customHeight="1" x14ac:dyDescent="0.3">
      <c r="M14505" s="5"/>
    </row>
    <row r="14506" spans="13:13" ht="15" customHeight="1" x14ac:dyDescent="0.3">
      <c r="M14506" s="5"/>
    </row>
    <row r="14507" spans="13:13" ht="15" customHeight="1" x14ac:dyDescent="0.3">
      <c r="M14507" s="5"/>
    </row>
    <row r="14508" spans="13:13" ht="15" customHeight="1" x14ac:dyDescent="0.3">
      <c r="M14508" s="5"/>
    </row>
    <row r="14509" spans="13:13" ht="15" customHeight="1" x14ac:dyDescent="0.3">
      <c r="M14509" s="5"/>
    </row>
    <row r="14510" spans="13:13" ht="15" customHeight="1" x14ac:dyDescent="0.3">
      <c r="M14510" s="5"/>
    </row>
    <row r="14511" spans="13:13" ht="15" customHeight="1" x14ac:dyDescent="0.3">
      <c r="M14511" s="5"/>
    </row>
    <row r="14512" spans="13:13" ht="15" customHeight="1" x14ac:dyDescent="0.3">
      <c r="M14512" s="5"/>
    </row>
    <row r="14513" spans="13:13" ht="15" customHeight="1" x14ac:dyDescent="0.3">
      <c r="M14513" s="5"/>
    </row>
    <row r="14514" spans="13:13" ht="15" customHeight="1" x14ac:dyDescent="0.3">
      <c r="M14514" s="5"/>
    </row>
    <row r="14515" spans="13:13" ht="15" customHeight="1" x14ac:dyDescent="0.3">
      <c r="M14515" s="5"/>
    </row>
    <row r="14516" spans="13:13" ht="15" customHeight="1" x14ac:dyDescent="0.3">
      <c r="M14516" s="5"/>
    </row>
    <row r="14517" spans="13:13" ht="15" customHeight="1" x14ac:dyDescent="0.3">
      <c r="M14517" s="5"/>
    </row>
    <row r="14518" spans="13:13" ht="15" customHeight="1" x14ac:dyDescent="0.3">
      <c r="M14518" s="5"/>
    </row>
    <row r="14519" spans="13:13" ht="15" customHeight="1" x14ac:dyDescent="0.3">
      <c r="M14519" s="5"/>
    </row>
    <row r="14520" spans="13:13" ht="15" customHeight="1" x14ac:dyDescent="0.3">
      <c r="M14520" s="5"/>
    </row>
    <row r="14521" spans="13:13" ht="15" customHeight="1" x14ac:dyDescent="0.3">
      <c r="M14521" s="5"/>
    </row>
    <row r="14522" spans="13:13" ht="15" customHeight="1" x14ac:dyDescent="0.3">
      <c r="M14522" s="5"/>
    </row>
    <row r="14523" spans="13:13" ht="15" customHeight="1" x14ac:dyDescent="0.3">
      <c r="M14523" s="5"/>
    </row>
    <row r="14524" spans="13:13" ht="15" customHeight="1" x14ac:dyDescent="0.3">
      <c r="M14524" s="5"/>
    </row>
    <row r="14525" spans="13:13" ht="15" customHeight="1" x14ac:dyDescent="0.3">
      <c r="M14525" s="5"/>
    </row>
    <row r="14526" spans="13:13" ht="15" customHeight="1" x14ac:dyDescent="0.3">
      <c r="M14526" s="5"/>
    </row>
    <row r="14527" spans="13:13" ht="15" customHeight="1" x14ac:dyDescent="0.3">
      <c r="M14527" s="5"/>
    </row>
    <row r="14528" spans="13:13" ht="15" customHeight="1" x14ac:dyDescent="0.3">
      <c r="M14528" s="5"/>
    </row>
    <row r="14529" spans="13:13" ht="15" customHeight="1" x14ac:dyDescent="0.3">
      <c r="M14529" s="5"/>
    </row>
    <row r="14530" spans="13:13" ht="15" customHeight="1" x14ac:dyDescent="0.3">
      <c r="M14530" s="5"/>
    </row>
    <row r="14531" spans="13:13" ht="15" customHeight="1" x14ac:dyDescent="0.3">
      <c r="M14531" s="5"/>
    </row>
    <row r="14532" spans="13:13" ht="15" customHeight="1" x14ac:dyDescent="0.3">
      <c r="M14532" s="5"/>
    </row>
    <row r="14533" spans="13:13" ht="15" customHeight="1" x14ac:dyDescent="0.3">
      <c r="M14533" s="5"/>
    </row>
    <row r="14534" spans="13:13" ht="15" customHeight="1" x14ac:dyDescent="0.3">
      <c r="M14534" s="5"/>
    </row>
    <row r="14535" spans="13:13" ht="15" customHeight="1" x14ac:dyDescent="0.3">
      <c r="M14535" s="5"/>
    </row>
    <row r="14536" spans="13:13" ht="15" customHeight="1" x14ac:dyDescent="0.3">
      <c r="M14536" s="5"/>
    </row>
    <row r="14537" spans="13:13" ht="15" customHeight="1" x14ac:dyDescent="0.3">
      <c r="M14537" s="5"/>
    </row>
    <row r="14538" spans="13:13" ht="15" customHeight="1" x14ac:dyDescent="0.3">
      <c r="M14538" s="5"/>
    </row>
    <row r="14539" spans="13:13" ht="15" customHeight="1" x14ac:dyDescent="0.3">
      <c r="M14539" s="5"/>
    </row>
    <row r="14540" spans="13:13" ht="15" customHeight="1" x14ac:dyDescent="0.3">
      <c r="M14540" s="5"/>
    </row>
    <row r="14541" spans="13:13" ht="15" customHeight="1" x14ac:dyDescent="0.3">
      <c r="M14541" s="5"/>
    </row>
    <row r="14542" spans="13:13" ht="15" customHeight="1" x14ac:dyDescent="0.3">
      <c r="M14542" s="5"/>
    </row>
    <row r="14543" spans="13:13" ht="15" customHeight="1" x14ac:dyDescent="0.3">
      <c r="M14543" s="5"/>
    </row>
    <row r="14544" spans="13:13" ht="15" customHeight="1" x14ac:dyDescent="0.3">
      <c r="M14544" s="5"/>
    </row>
    <row r="14545" spans="13:13" ht="15" customHeight="1" x14ac:dyDescent="0.3">
      <c r="M14545" s="5"/>
    </row>
    <row r="14546" spans="13:13" ht="15" customHeight="1" x14ac:dyDescent="0.3">
      <c r="M14546" s="5"/>
    </row>
    <row r="14547" spans="13:13" ht="15" customHeight="1" x14ac:dyDescent="0.3">
      <c r="M14547" s="5"/>
    </row>
    <row r="14548" spans="13:13" ht="15" customHeight="1" x14ac:dyDescent="0.3">
      <c r="M14548" s="5"/>
    </row>
    <row r="14549" spans="13:13" ht="15" customHeight="1" x14ac:dyDescent="0.3">
      <c r="M14549" s="5"/>
    </row>
    <row r="14550" spans="13:13" ht="15" customHeight="1" x14ac:dyDescent="0.3">
      <c r="M14550" s="5"/>
    </row>
    <row r="14551" spans="13:13" ht="15" customHeight="1" x14ac:dyDescent="0.3">
      <c r="M14551" s="5"/>
    </row>
    <row r="14552" spans="13:13" ht="15" customHeight="1" x14ac:dyDescent="0.3">
      <c r="M14552" s="5"/>
    </row>
    <row r="14553" spans="13:13" ht="15" customHeight="1" x14ac:dyDescent="0.3">
      <c r="M14553" s="5"/>
    </row>
    <row r="14554" spans="13:13" ht="15" customHeight="1" x14ac:dyDescent="0.3">
      <c r="M14554" s="5"/>
    </row>
    <row r="14555" spans="13:13" ht="15" customHeight="1" x14ac:dyDescent="0.3">
      <c r="M14555" s="5"/>
    </row>
    <row r="14556" spans="13:13" ht="15" customHeight="1" x14ac:dyDescent="0.3">
      <c r="M14556" s="5"/>
    </row>
    <row r="14557" spans="13:13" ht="15" customHeight="1" x14ac:dyDescent="0.3">
      <c r="M14557" s="5"/>
    </row>
    <row r="14558" spans="13:13" ht="15" customHeight="1" x14ac:dyDescent="0.3">
      <c r="M14558" s="5"/>
    </row>
    <row r="14559" spans="13:13" ht="15" customHeight="1" x14ac:dyDescent="0.3">
      <c r="M14559" s="5"/>
    </row>
    <row r="14560" spans="13:13" ht="15" customHeight="1" x14ac:dyDescent="0.3">
      <c r="M14560" s="5"/>
    </row>
    <row r="14561" spans="13:13" ht="15" customHeight="1" x14ac:dyDescent="0.3">
      <c r="M14561" s="5"/>
    </row>
    <row r="14562" spans="13:13" ht="15" customHeight="1" x14ac:dyDescent="0.3">
      <c r="M14562" s="5"/>
    </row>
    <row r="14563" spans="13:13" ht="15" customHeight="1" x14ac:dyDescent="0.3">
      <c r="M14563" s="5"/>
    </row>
    <row r="14564" spans="13:13" ht="15" customHeight="1" x14ac:dyDescent="0.3">
      <c r="M14564" s="5"/>
    </row>
    <row r="14565" spans="13:13" ht="15" customHeight="1" x14ac:dyDescent="0.3">
      <c r="M14565" s="5"/>
    </row>
    <row r="14566" spans="13:13" ht="15" customHeight="1" x14ac:dyDescent="0.3">
      <c r="M14566" s="5"/>
    </row>
    <row r="14567" spans="13:13" ht="15" customHeight="1" x14ac:dyDescent="0.3">
      <c r="M14567" s="5"/>
    </row>
    <row r="14568" spans="13:13" ht="15" customHeight="1" x14ac:dyDescent="0.3">
      <c r="M14568" s="5"/>
    </row>
    <row r="14569" spans="13:13" ht="15" customHeight="1" x14ac:dyDescent="0.3">
      <c r="M14569" s="5"/>
    </row>
    <row r="14570" spans="13:13" ht="15" customHeight="1" x14ac:dyDescent="0.3">
      <c r="M14570" s="5"/>
    </row>
    <row r="14571" spans="13:13" ht="15" customHeight="1" x14ac:dyDescent="0.3">
      <c r="M14571" s="5"/>
    </row>
    <row r="14572" spans="13:13" ht="15" customHeight="1" x14ac:dyDescent="0.3">
      <c r="M14572" s="5"/>
    </row>
    <row r="14573" spans="13:13" ht="15" customHeight="1" x14ac:dyDescent="0.3">
      <c r="M14573" s="5"/>
    </row>
    <row r="14574" spans="13:13" ht="15" customHeight="1" x14ac:dyDescent="0.3">
      <c r="M14574" s="5"/>
    </row>
    <row r="14575" spans="13:13" ht="15" customHeight="1" x14ac:dyDescent="0.3">
      <c r="M14575" s="5"/>
    </row>
    <row r="14576" spans="13:13" ht="15" customHeight="1" x14ac:dyDescent="0.3">
      <c r="M14576" s="5"/>
    </row>
    <row r="14577" spans="13:13" ht="15" customHeight="1" x14ac:dyDescent="0.3">
      <c r="M14577" s="5"/>
    </row>
    <row r="14578" spans="13:13" ht="15" customHeight="1" x14ac:dyDescent="0.3">
      <c r="M14578" s="5"/>
    </row>
    <row r="14579" spans="13:13" ht="15" customHeight="1" x14ac:dyDescent="0.3">
      <c r="M14579" s="5"/>
    </row>
    <row r="14580" spans="13:13" ht="15" customHeight="1" x14ac:dyDescent="0.3">
      <c r="M14580" s="5"/>
    </row>
    <row r="14581" spans="13:13" ht="15" customHeight="1" x14ac:dyDescent="0.3">
      <c r="M14581" s="5"/>
    </row>
    <row r="14582" spans="13:13" ht="15" customHeight="1" x14ac:dyDescent="0.3">
      <c r="M14582" s="5"/>
    </row>
    <row r="14583" spans="13:13" ht="15" customHeight="1" x14ac:dyDescent="0.3">
      <c r="M14583" s="5"/>
    </row>
    <row r="14584" spans="13:13" ht="15" customHeight="1" x14ac:dyDescent="0.3">
      <c r="M14584" s="5"/>
    </row>
    <row r="14585" spans="13:13" ht="15" customHeight="1" x14ac:dyDescent="0.3">
      <c r="M14585" s="5"/>
    </row>
    <row r="14586" spans="13:13" ht="15" customHeight="1" x14ac:dyDescent="0.3">
      <c r="M14586" s="5"/>
    </row>
    <row r="14587" spans="13:13" ht="15" customHeight="1" x14ac:dyDescent="0.3">
      <c r="M14587" s="5"/>
    </row>
    <row r="14588" spans="13:13" ht="15" customHeight="1" x14ac:dyDescent="0.3">
      <c r="M14588" s="5"/>
    </row>
    <row r="14589" spans="13:13" ht="15" customHeight="1" x14ac:dyDescent="0.3">
      <c r="M14589" s="5"/>
    </row>
    <row r="14590" spans="13:13" ht="15" customHeight="1" x14ac:dyDescent="0.3">
      <c r="M14590" s="5"/>
    </row>
    <row r="14591" spans="13:13" ht="15" customHeight="1" x14ac:dyDescent="0.3">
      <c r="M14591" s="5"/>
    </row>
    <row r="14592" spans="13:13" ht="15" customHeight="1" x14ac:dyDescent="0.3">
      <c r="M14592" s="5"/>
    </row>
    <row r="14593" spans="13:13" ht="15" customHeight="1" x14ac:dyDescent="0.3">
      <c r="M14593" s="5"/>
    </row>
    <row r="14594" spans="13:13" ht="15" customHeight="1" x14ac:dyDescent="0.3">
      <c r="M14594" s="5"/>
    </row>
    <row r="14595" spans="13:13" ht="15" customHeight="1" x14ac:dyDescent="0.3">
      <c r="M14595" s="5"/>
    </row>
    <row r="14596" spans="13:13" ht="15" customHeight="1" x14ac:dyDescent="0.3">
      <c r="M14596" s="5"/>
    </row>
    <row r="14597" spans="13:13" ht="15" customHeight="1" x14ac:dyDescent="0.3">
      <c r="M14597" s="5"/>
    </row>
    <row r="14598" spans="13:13" ht="15" customHeight="1" x14ac:dyDescent="0.3">
      <c r="M14598" s="5"/>
    </row>
    <row r="14599" spans="13:13" ht="15" customHeight="1" x14ac:dyDescent="0.3">
      <c r="M14599" s="5"/>
    </row>
    <row r="14600" spans="13:13" ht="15" customHeight="1" x14ac:dyDescent="0.3">
      <c r="M14600" s="5"/>
    </row>
    <row r="14601" spans="13:13" ht="15" customHeight="1" x14ac:dyDescent="0.3">
      <c r="M14601" s="5"/>
    </row>
    <row r="14602" spans="13:13" ht="15" customHeight="1" x14ac:dyDescent="0.3">
      <c r="M14602" s="5"/>
    </row>
    <row r="14603" spans="13:13" ht="15" customHeight="1" x14ac:dyDescent="0.3">
      <c r="M14603" s="5"/>
    </row>
    <row r="14604" spans="13:13" ht="15" customHeight="1" x14ac:dyDescent="0.3">
      <c r="M14604" s="5"/>
    </row>
    <row r="14605" spans="13:13" ht="15" customHeight="1" x14ac:dyDescent="0.3">
      <c r="M14605" s="5"/>
    </row>
    <row r="14606" spans="13:13" ht="15" customHeight="1" x14ac:dyDescent="0.3">
      <c r="M14606" s="5"/>
    </row>
    <row r="14607" spans="13:13" ht="15" customHeight="1" x14ac:dyDescent="0.3">
      <c r="M14607" s="5"/>
    </row>
    <row r="14608" spans="13:13" ht="15" customHeight="1" x14ac:dyDescent="0.3">
      <c r="M14608" s="5"/>
    </row>
    <row r="14609" spans="13:13" ht="15" customHeight="1" x14ac:dyDescent="0.3">
      <c r="M14609" s="5"/>
    </row>
    <row r="14610" spans="13:13" ht="15" customHeight="1" x14ac:dyDescent="0.3">
      <c r="M14610" s="5"/>
    </row>
    <row r="14611" spans="13:13" ht="15" customHeight="1" x14ac:dyDescent="0.3">
      <c r="M14611" s="5"/>
    </row>
    <row r="14612" spans="13:13" ht="15" customHeight="1" x14ac:dyDescent="0.3">
      <c r="M14612" s="5"/>
    </row>
    <row r="14613" spans="13:13" ht="15" customHeight="1" x14ac:dyDescent="0.3">
      <c r="M14613" s="5"/>
    </row>
    <row r="14614" spans="13:13" ht="15" customHeight="1" x14ac:dyDescent="0.3">
      <c r="M14614" s="5"/>
    </row>
    <row r="14615" spans="13:13" ht="15" customHeight="1" x14ac:dyDescent="0.3">
      <c r="M14615" s="5"/>
    </row>
    <row r="14616" spans="13:13" ht="15" customHeight="1" x14ac:dyDescent="0.3">
      <c r="M14616" s="5"/>
    </row>
    <row r="14617" spans="13:13" ht="15" customHeight="1" x14ac:dyDescent="0.3">
      <c r="M14617" s="5"/>
    </row>
    <row r="14618" spans="13:13" ht="15" customHeight="1" x14ac:dyDescent="0.3">
      <c r="M14618" s="5"/>
    </row>
    <row r="14619" spans="13:13" ht="15" customHeight="1" x14ac:dyDescent="0.3">
      <c r="M14619" s="5"/>
    </row>
    <row r="14620" spans="13:13" ht="15" customHeight="1" x14ac:dyDescent="0.3">
      <c r="M14620" s="5"/>
    </row>
    <row r="14621" spans="13:13" ht="15" customHeight="1" x14ac:dyDescent="0.3">
      <c r="M14621" s="5"/>
    </row>
    <row r="14622" spans="13:13" ht="15" customHeight="1" x14ac:dyDescent="0.3">
      <c r="M14622" s="5"/>
    </row>
    <row r="14623" spans="13:13" ht="15" customHeight="1" x14ac:dyDescent="0.3">
      <c r="M14623" s="5"/>
    </row>
    <row r="14624" spans="13:13" ht="15" customHeight="1" x14ac:dyDescent="0.3">
      <c r="M14624" s="5"/>
    </row>
    <row r="14625" spans="13:13" ht="15" customHeight="1" x14ac:dyDescent="0.3">
      <c r="M14625" s="5"/>
    </row>
    <row r="14626" spans="13:13" ht="15" customHeight="1" x14ac:dyDescent="0.3">
      <c r="M14626" s="5"/>
    </row>
    <row r="14627" spans="13:13" ht="15" customHeight="1" x14ac:dyDescent="0.3">
      <c r="M14627" s="5"/>
    </row>
    <row r="14628" spans="13:13" ht="15" customHeight="1" x14ac:dyDescent="0.3">
      <c r="M14628" s="5"/>
    </row>
    <row r="14629" spans="13:13" ht="15" customHeight="1" x14ac:dyDescent="0.3">
      <c r="M14629" s="5"/>
    </row>
    <row r="14630" spans="13:13" ht="15" customHeight="1" x14ac:dyDescent="0.3">
      <c r="M14630" s="5"/>
    </row>
    <row r="14631" spans="13:13" ht="15" customHeight="1" x14ac:dyDescent="0.3">
      <c r="M14631" s="5"/>
    </row>
    <row r="14632" spans="13:13" ht="15" customHeight="1" x14ac:dyDescent="0.3">
      <c r="M14632" s="5"/>
    </row>
    <row r="14633" spans="13:13" ht="15" customHeight="1" x14ac:dyDescent="0.3">
      <c r="M14633" s="5"/>
    </row>
    <row r="14634" spans="13:13" ht="15" customHeight="1" x14ac:dyDescent="0.3">
      <c r="M14634" s="5"/>
    </row>
    <row r="14635" spans="13:13" ht="15" customHeight="1" x14ac:dyDescent="0.3">
      <c r="M14635" s="5"/>
    </row>
    <row r="14636" spans="13:13" ht="15" customHeight="1" x14ac:dyDescent="0.3">
      <c r="M14636" s="5"/>
    </row>
    <row r="14637" spans="13:13" ht="15" customHeight="1" x14ac:dyDescent="0.3">
      <c r="M14637" s="5"/>
    </row>
    <row r="14638" spans="13:13" ht="15" customHeight="1" x14ac:dyDescent="0.3">
      <c r="M14638" s="5"/>
    </row>
    <row r="14639" spans="13:13" ht="15" customHeight="1" x14ac:dyDescent="0.3">
      <c r="M14639" s="5"/>
    </row>
    <row r="14640" spans="13:13" ht="15" customHeight="1" x14ac:dyDescent="0.3">
      <c r="M14640" s="5"/>
    </row>
    <row r="14641" spans="13:13" ht="15" customHeight="1" x14ac:dyDescent="0.3">
      <c r="M14641" s="5"/>
    </row>
    <row r="14642" spans="13:13" ht="15" customHeight="1" x14ac:dyDescent="0.3">
      <c r="M14642" s="5"/>
    </row>
    <row r="14643" spans="13:13" ht="15" customHeight="1" x14ac:dyDescent="0.3">
      <c r="M14643" s="5"/>
    </row>
    <row r="14644" spans="13:13" ht="15" customHeight="1" x14ac:dyDescent="0.3">
      <c r="M14644" s="5"/>
    </row>
    <row r="14645" spans="13:13" ht="15" customHeight="1" x14ac:dyDescent="0.3">
      <c r="M14645" s="5"/>
    </row>
    <row r="14646" spans="13:13" ht="15" customHeight="1" x14ac:dyDescent="0.3">
      <c r="M14646" s="5"/>
    </row>
    <row r="14647" spans="13:13" ht="15" customHeight="1" x14ac:dyDescent="0.3">
      <c r="M14647" s="5"/>
    </row>
    <row r="14648" spans="13:13" ht="15" customHeight="1" x14ac:dyDescent="0.3">
      <c r="M14648" s="5"/>
    </row>
    <row r="14649" spans="13:13" ht="15" customHeight="1" x14ac:dyDescent="0.3">
      <c r="M14649" s="5"/>
    </row>
    <row r="14650" spans="13:13" ht="15" customHeight="1" x14ac:dyDescent="0.3">
      <c r="M14650" s="5"/>
    </row>
    <row r="14651" spans="13:13" ht="15" customHeight="1" x14ac:dyDescent="0.3">
      <c r="M14651" s="5"/>
    </row>
    <row r="14652" spans="13:13" ht="15" customHeight="1" x14ac:dyDescent="0.3">
      <c r="M14652" s="5"/>
    </row>
    <row r="14653" spans="13:13" ht="15" customHeight="1" x14ac:dyDescent="0.3">
      <c r="M14653" s="5"/>
    </row>
    <row r="14654" spans="13:13" ht="15" customHeight="1" x14ac:dyDescent="0.3">
      <c r="M14654" s="5"/>
    </row>
    <row r="14655" spans="13:13" ht="15" customHeight="1" x14ac:dyDescent="0.3">
      <c r="M14655" s="5"/>
    </row>
    <row r="14656" spans="13:13" ht="15" customHeight="1" x14ac:dyDescent="0.3">
      <c r="M14656" s="5"/>
    </row>
    <row r="14657" spans="13:13" ht="15" customHeight="1" x14ac:dyDescent="0.3">
      <c r="M14657" s="5"/>
    </row>
    <row r="14658" spans="13:13" ht="15" customHeight="1" x14ac:dyDescent="0.3">
      <c r="M14658" s="5"/>
    </row>
    <row r="14659" spans="13:13" ht="15" customHeight="1" x14ac:dyDescent="0.3">
      <c r="M14659" s="5"/>
    </row>
    <row r="14660" spans="13:13" ht="15" customHeight="1" x14ac:dyDescent="0.3">
      <c r="M14660" s="5"/>
    </row>
    <row r="14661" spans="13:13" ht="15" customHeight="1" x14ac:dyDescent="0.3">
      <c r="M14661" s="5"/>
    </row>
    <row r="14662" spans="13:13" ht="15" customHeight="1" x14ac:dyDescent="0.3">
      <c r="M14662" s="5"/>
    </row>
    <row r="14663" spans="13:13" ht="15" customHeight="1" x14ac:dyDescent="0.3">
      <c r="M14663" s="5"/>
    </row>
    <row r="14664" spans="13:13" ht="15" customHeight="1" x14ac:dyDescent="0.3">
      <c r="M14664" s="5"/>
    </row>
    <row r="14665" spans="13:13" ht="15" customHeight="1" x14ac:dyDescent="0.3">
      <c r="M14665" s="5"/>
    </row>
    <row r="14666" spans="13:13" ht="15" customHeight="1" x14ac:dyDescent="0.3">
      <c r="M14666" s="5"/>
    </row>
    <row r="14667" spans="13:13" ht="15" customHeight="1" x14ac:dyDescent="0.3">
      <c r="M14667" s="5"/>
    </row>
    <row r="14668" spans="13:13" ht="15" customHeight="1" x14ac:dyDescent="0.3">
      <c r="M14668" s="5"/>
    </row>
    <row r="14669" spans="13:13" ht="15" customHeight="1" x14ac:dyDescent="0.3">
      <c r="M14669" s="5"/>
    </row>
    <row r="14670" spans="13:13" ht="15" customHeight="1" x14ac:dyDescent="0.3">
      <c r="M14670" s="5"/>
    </row>
    <row r="14671" spans="13:13" ht="15" customHeight="1" x14ac:dyDescent="0.3">
      <c r="M14671" s="5"/>
    </row>
    <row r="14672" spans="13:13" ht="15" customHeight="1" x14ac:dyDescent="0.3">
      <c r="M14672" s="5"/>
    </row>
    <row r="14673" spans="13:13" ht="15" customHeight="1" x14ac:dyDescent="0.3">
      <c r="M14673" s="5"/>
    </row>
    <row r="14674" spans="13:13" ht="15" customHeight="1" x14ac:dyDescent="0.3">
      <c r="M14674" s="5"/>
    </row>
    <row r="14675" spans="13:13" ht="15" customHeight="1" x14ac:dyDescent="0.3">
      <c r="M14675" s="5"/>
    </row>
    <row r="14676" spans="13:13" ht="15" customHeight="1" x14ac:dyDescent="0.3">
      <c r="M14676" s="5"/>
    </row>
    <row r="14677" spans="13:13" ht="15" customHeight="1" x14ac:dyDescent="0.3">
      <c r="M14677" s="5"/>
    </row>
    <row r="14678" spans="13:13" ht="15" customHeight="1" x14ac:dyDescent="0.3">
      <c r="M14678" s="5"/>
    </row>
    <row r="14679" spans="13:13" ht="15" customHeight="1" x14ac:dyDescent="0.3">
      <c r="M14679" s="5"/>
    </row>
    <row r="14680" spans="13:13" ht="15" customHeight="1" x14ac:dyDescent="0.3">
      <c r="M14680" s="5"/>
    </row>
    <row r="14681" spans="13:13" ht="15" customHeight="1" x14ac:dyDescent="0.3">
      <c r="M14681" s="5"/>
    </row>
    <row r="14682" spans="13:13" ht="15" customHeight="1" x14ac:dyDescent="0.3">
      <c r="M14682" s="5"/>
    </row>
    <row r="14683" spans="13:13" ht="15" customHeight="1" x14ac:dyDescent="0.3">
      <c r="M14683" s="5"/>
    </row>
    <row r="14684" spans="13:13" ht="15" customHeight="1" x14ac:dyDescent="0.3">
      <c r="M14684" s="5"/>
    </row>
    <row r="14685" spans="13:13" ht="15" customHeight="1" x14ac:dyDescent="0.3">
      <c r="M14685" s="5"/>
    </row>
    <row r="14686" spans="13:13" ht="15" customHeight="1" x14ac:dyDescent="0.3">
      <c r="M14686" s="5"/>
    </row>
    <row r="14687" spans="13:13" ht="15" customHeight="1" x14ac:dyDescent="0.3">
      <c r="M14687" s="5"/>
    </row>
    <row r="14688" spans="13:13" ht="15" customHeight="1" x14ac:dyDescent="0.3">
      <c r="M14688" s="5"/>
    </row>
    <row r="14689" spans="13:13" ht="15" customHeight="1" x14ac:dyDescent="0.3">
      <c r="M14689" s="5"/>
    </row>
    <row r="14690" spans="13:13" ht="15" customHeight="1" x14ac:dyDescent="0.3">
      <c r="M14690" s="5"/>
    </row>
    <row r="14691" spans="13:13" ht="15" customHeight="1" x14ac:dyDescent="0.3">
      <c r="M14691" s="5"/>
    </row>
    <row r="14692" spans="13:13" ht="15" customHeight="1" x14ac:dyDescent="0.3">
      <c r="M14692" s="5"/>
    </row>
    <row r="14693" spans="13:13" ht="15" customHeight="1" x14ac:dyDescent="0.3">
      <c r="M14693" s="5"/>
    </row>
    <row r="14694" spans="13:13" ht="15" customHeight="1" x14ac:dyDescent="0.3">
      <c r="M14694" s="5"/>
    </row>
    <row r="14695" spans="13:13" ht="15" customHeight="1" x14ac:dyDescent="0.3">
      <c r="M14695" s="5"/>
    </row>
    <row r="14696" spans="13:13" ht="15" customHeight="1" x14ac:dyDescent="0.3">
      <c r="M14696" s="5"/>
    </row>
    <row r="14697" spans="13:13" ht="15" customHeight="1" x14ac:dyDescent="0.3">
      <c r="M14697" s="5"/>
    </row>
    <row r="14698" spans="13:13" ht="15" customHeight="1" x14ac:dyDescent="0.3">
      <c r="M14698" s="5"/>
    </row>
    <row r="14699" spans="13:13" ht="15" customHeight="1" x14ac:dyDescent="0.3">
      <c r="M14699" s="5"/>
    </row>
    <row r="14700" spans="13:13" ht="15" customHeight="1" x14ac:dyDescent="0.3">
      <c r="M14700" s="5"/>
    </row>
    <row r="14701" spans="13:13" ht="15" customHeight="1" x14ac:dyDescent="0.3">
      <c r="M14701" s="5"/>
    </row>
    <row r="14702" spans="13:13" ht="15" customHeight="1" x14ac:dyDescent="0.3">
      <c r="M14702" s="5"/>
    </row>
    <row r="14703" spans="13:13" ht="15" customHeight="1" x14ac:dyDescent="0.3">
      <c r="M14703" s="5"/>
    </row>
    <row r="14704" spans="13:13" ht="15" customHeight="1" x14ac:dyDescent="0.3">
      <c r="M14704" s="5"/>
    </row>
    <row r="14705" spans="13:13" ht="15" customHeight="1" x14ac:dyDescent="0.3">
      <c r="M14705" s="5"/>
    </row>
    <row r="14706" spans="13:13" ht="15" customHeight="1" x14ac:dyDescent="0.3">
      <c r="M14706" s="5"/>
    </row>
    <row r="14707" spans="13:13" ht="15" customHeight="1" x14ac:dyDescent="0.3">
      <c r="M14707" s="5"/>
    </row>
    <row r="14708" spans="13:13" ht="15" customHeight="1" x14ac:dyDescent="0.3">
      <c r="M14708" s="5"/>
    </row>
    <row r="14709" spans="13:13" ht="15" customHeight="1" x14ac:dyDescent="0.3">
      <c r="M14709" s="5"/>
    </row>
    <row r="14710" spans="13:13" ht="15" customHeight="1" x14ac:dyDescent="0.3">
      <c r="M14710" s="5"/>
    </row>
    <row r="14711" spans="13:13" ht="15" customHeight="1" x14ac:dyDescent="0.3">
      <c r="M14711" s="5"/>
    </row>
    <row r="14712" spans="13:13" ht="15" customHeight="1" x14ac:dyDescent="0.3">
      <c r="M14712" s="5"/>
    </row>
    <row r="14713" spans="13:13" ht="15" customHeight="1" x14ac:dyDescent="0.3">
      <c r="M14713" s="5"/>
    </row>
    <row r="14714" spans="13:13" ht="15" customHeight="1" x14ac:dyDescent="0.3">
      <c r="M14714" s="5"/>
    </row>
    <row r="14715" spans="13:13" ht="15" customHeight="1" x14ac:dyDescent="0.3">
      <c r="M14715" s="5"/>
    </row>
    <row r="14716" spans="13:13" ht="15" customHeight="1" x14ac:dyDescent="0.3">
      <c r="M14716" s="5"/>
    </row>
    <row r="14717" spans="13:13" ht="15" customHeight="1" x14ac:dyDescent="0.3">
      <c r="M14717" s="5"/>
    </row>
    <row r="14718" spans="13:13" ht="15" customHeight="1" x14ac:dyDescent="0.3">
      <c r="M14718" s="5"/>
    </row>
    <row r="14719" spans="13:13" ht="15" customHeight="1" x14ac:dyDescent="0.3">
      <c r="M14719" s="5"/>
    </row>
    <row r="14720" spans="13:13" ht="15" customHeight="1" x14ac:dyDescent="0.3">
      <c r="M14720" s="5"/>
    </row>
    <row r="14721" spans="13:13" ht="15" customHeight="1" x14ac:dyDescent="0.3">
      <c r="M14721" s="5"/>
    </row>
    <row r="14722" spans="13:13" ht="15" customHeight="1" x14ac:dyDescent="0.3">
      <c r="M14722" s="5"/>
    </row>
    <row r="14723" spans="13:13" ht="15" customHeight="1" x14ac:dyDescent="0.3">
      <c r="M14723" s="5"/>
    </row>
    <row r="14724" spans="13:13" ht="15" customHeight="1" x14ac:dyDescent="0.3">
      <c r="M14724" s="5"/>
    </row>
    <row r="14725" spans="13:13" ht="15" customHeight="1" x14ac:dyDescent="0.3">
      <c r="M14725" s="5"/>
    </row>
    <row r="14726" spans="13:13" ht="15" customHeight="1" x14ac:dyDescent="0.3">
      <c r="M14726" s="5"/>
    </row>
    <row r="14727" spans="13:13" ht="15" customHeight="1" x14ac:dyDescent="0.3">
      <c r="M14727" s="5"/>
    </row>
    <row r="14728" spans="13:13" ht="15" customHeight="1" x14ac:dyDescent="0.3">
      <c r="M14728" s="5"/>
    </row>
    <row r="14729" spans="13:13" ht="15" customHeight="1" x14ac:dyDescent="0.3">
      <c r="M14729" s="5"/>
    </row>
    <row r="14730" spans="13:13" ht="15" customHeight="1" x14ac:dyDescent="0.3">
      <c r="M14730" s="5"/>
    </row>
    <row r="14731" spans="13:13" ht="15" customHeight="1" x14ac:dyDescent="0.3">
      <c r="M14731" s="5"/>
    </row>
    <row r="14732" spans="13:13" ht="15" customHeight="1" x14ac:dyDescent="0.3">
      <c r="M14732" s="5"/>
    </row>
    <row r="14733" spans="13:13" ht="15" customHeight="1" x14ac:dyDescent="0.3">
      <c r="M14733" s="5"/>
    </row>
    <row r="14734" spans="13:13" ht="15" customHeight="1" x14ac:dyDescent="0.3">
      <c r="M14734" s="5"/>
    </row>
    <row r="14735" spans="13:13" ht="15" customHeight="1" x14ac:dyDescent="0.3">
      <c r="M14735" s="5"/>
    </row>
    <row r="14736" spans="13:13" ht="15" customHeight="1" x14ac:dyDescent="0.3">
      <c r="M14736" s="5"/>
    </row>
    <row r="14737" spans="13:13" ht="15" customHeight="1" x14ac:dyDescent="0.3">
      <c r="M14737" s="5"/>
    </row>
    <row r="14738" spans="13:13" ht="15" customHeight="1" x14ac:dyDescent="0.3">
      <c r="M14738" s="5"/>
    </row>
    <row r="14739" spans="13:13" ht="15" customHeight="1" x14ac:dyDescent="0.3">
      <c r="M14739" s="5"/>
    </row>
    <row r="14740" spans="13:13" ht="15" customHeight="1" x14ac:dyDescent="0.3">
      <c r="M14740" s="5"/>
    </row>
    <row r="14741" spans="13:13" ht="15" customHeight="1" x14ac:dyDescent="0.3">
      <c r="M14741" s="5"/>
    </row>
    <row r="14742" spans="13:13" ht="15" customHeight="1" x14ac:dyDescent="0.3">
      <c r="M14742" s="5"/>
    </row>
    <row r="14743" spans="13:13" ht="15" customHeight="1" x14ac:dyDescent="0.3">
      <c r="M14743" s="5"/>
    </row>
    <row r="14744" spans="13:13" ht="15" customHeight="1" x14ac:dyDescent="0.3">
      <c r="M14744" s="5"/>
    </row>
    <row r="14745" spans="13:13" ht="15" customHeight="1" x14ac:dyDescent="0.3">
      <c r="M14745" s="5"/>
    </row>
    <row r="14746" spans="13:13" ht="15" customHeight="1" x14ac:dyDescent="0.3">
      <c r="M14746" s="5"/>
    </row>
    <row r="14747" spans="13:13" ht="15" customHeight="1" x14ac:dyDescent="0.3">
      <c r="M14747" s="5"/>
    </row>
    <row r="14748" spans="13:13" ht="15" customHeight="1" x14ac:dyDescent="0.3">
      <c r="M14748" s="5"/>
    </row>
    <row r="14749" spans="13:13" ht="15" customHeight="1" x14ac:dyDescent="0.3">
      <c r="M14749" s="5"/>
    </row>
    <row r="14750" spans="13:13" ht="15" customHeight="1" x14ac:dyDescent="0.3">
      <c r="M14750" s="5"/>
    </row>
    <row r="14751" spans="13:13" ht="15" customHeight="1" x14ac:dyDescent="0.3">
      <c r="M14751" s="5"/>
    </row>
    <row r="14752" spans="13:13" ht="15" customHeight="1" x14ac:dyDescent="0.3">
      <c r="M14752" s="5"/>
    </row>
    <row r="14753" spans="13:13" ht="15" customHeight="1" x14ac:dyDescent="0.3">
      <c r="M14753" s="5"/>
    </row>
    <row r="14754" spans="13:13" ht="15" customHeight="1" x14ac:dyDescent="0.3">
      <c r="M14754" s="5"/>
    </row>
    <row r="14755" spans="13:13" ht="15" customHeight="1" x14ac:dyDescent="0.3">
      <c r="M14755" s="5"/>
    </row>
    <row r="14756" spans="13:13" ht="15" customHeight="1" x14ac:dyDescent="0.3">
      <c r="M14756" s="5"/>
    </row>
    <row r="14757" spans="13:13" ht="15" customHeight="1" x14ac:dyDescent="0.3">
      <c r="M14757" s="5"/>
    </row>
    <row r="14758" spans="13:13" ht="15" customHeight="1" x14ac:dyDescent="0.3">
      <c r="M14758" s="5"/>
    </row>
    <row r="14759" spans="13:13" ht="15" customHeight="1" x14ac:dyDescent="0.3">
      <c r="M14759" s="5"/>
    </row>
    <row r="14760" spans="13:13" ht="15" customHeight="1" x14ac:dyDescent="0.3">
      <c r="M14760" s="5"/>
    </row>
    <row r="14761" spans="13:13" ht="15" customHeight="1" x14ac:dyDescent="0.3">
      <c r="M14761" s="5"/>
    </row>
    <row r="14762" spans="13:13" ht="15" customHeight="1" x14ac:dyDescent="0.3">
      <c r="M14762" s="5"/>
    </row>
    <row r="14763" spans="13:13" ht="15" customHeight="1" x14ac:dyDescent="0.3">
      <c r="M14763" s="5"/>
    </row>
    <row r="14764" spans="13:13" ht="15" customHeight="1" x14ac:dyDescent="0.3">
      <c r="M14764" s="5"/>
    </row>
    <row r="14765" spans="13:13" ht="15" customHeight="1" x14ac:dyDescent="0.3">
      <c r="M14765" s="5"/>
    </row>
    <row r="14766" spans="13:13" ht="15" customHeight="1" x14ac:dyDescent="0.3">
      <c r="M14766" s="5"/>
    </row>
    <row r="14767" spans="13:13" ht="15" customHeight="1" x14ac:dyDescent="0.3">
      <c r="M14767" s="5"/>
    </row>
    <row r="14768" spans="13:13" ht="15" customHeight="1" x14ac:dyDescent="0.3">
      <c r="M14768" s="5"/>
    </row>
    <row r="14769" spans="13:13" ht="15" customHeight="1" x14ac:dyDescent="0.3">
      <c r="M14769" s="5"/>
    </row>
    <row r="14770" spans="13:13" ht="15" customHeight="1" x14ac:dyDescent="0.3">
      <c r="M14770" s="5"/>
    </row>
    <row r="14771" spans="13:13" ht="15" customHeight="1" x14ac:dyDescent="0.3">
      <c r="M14771" s="5"/>
    </row>
    <row r="14772" spans="13:13" ht="15" customHeight="1" x14ac:dyDescent="0.3">
      <c r="M14772" s="5"/>
    </row>
    <row r="14773" spans="13:13" ht="15" customHeight="1" x14ac:dyDescent="0.3">
      <c r="M14773" s="5"/>
    </row>
    <row r="14774" spans="13:13" ht="15" customHeight="1" x14ac:dyDescent="0.3">
      <c r="M14774" s="5"/>
    </row>
    <row r="14775" spans="13:13" ht="15" customHeight="1" x14ac:dyDescent="0.3">
      <c r="M14775" s="5"/>
    </row>
    <row r="14776" spans="13:13" ht="15" customHeight="1" x14ac:dyDescent="0.3">
      <c r="M14776" s="5"/>
    </row>
    <row r="14777" spans="13:13" ht="15" customHeight="1" x14ac:dyDescent="0.3">
      <c r="M14777" s="5"/>
    </row>
    <row r="14778" spans="13:13" ht="15" customHeight="1" x14ac:dyDescent="0.3">
      <c r="M14778" s="5"/>
    </row>
    <row r="14779" spans="13:13" ht="15" customHeight="1" x14ac:dyDescent="0.3">
      <c r="M14779" s="5"/>
    </row>
    <row r="14780" spans="13:13" ht="15" customHeight="1" x14ac:dyDescent="0.3">
      <c r="M14780" s="5"/>
    </row>
    <row r="14781" spans="13:13" ht="15" customHeight="1" x14ac:dyDescent="0.3">
      <c r="M14781" s="5"/>
    </row>
    <row r="14782" spans="13:13" ht="15" customHeight="1" x14ac:dyDescent="0.3">
      <c r="M14782" s="5"/>
    </row>
    <row r="14783" spans="13:13" ht="15" customHeight="1" x14ac:dyDescent="0.3">
      <c r="M14783" s="5"/>
    </row>
    <row r="14784" spans="13:13" ht="15" customHeight="1" x14ac:dyDescent="0.3">
      <c r="M14784" s="5"/>
    </row>
    <row r="14785" spans="13:13" ht="15" customHeight="1" x14ac:dyDescent="0.3">
      <c r="M14785" s="5"/>
    </row>
    <row r="14786" spans="13:13" ht="15" customHeight="1" x14ac:dyDescent="0.3">
      <c r="M14786" s="5"/>
    </row>
    <row r="14787" spans="13:13" ht="15" customHeight="1" x14ac:dyDescent="0.3">
      <c r="M14787" s="5"/>
    </row>
    <row r="14788" spans="13:13" ht="15" customHeight="1" x14ac:dyDescent="0.3">
      <c r="M14788" s="5"/>
    </row>
    <row r="14789" spans="13:13" ht="15" customHeight="1" x14ac:dyDescent="0.3">
      <c r="M14789" s="5"/>
    </row>
    <row r="14790" spans="13:13" ht="15" customHeight="1" x14ac:dyDescent="0.3">
      <c r="M14790" s="5"/>
    </row>
    <row r="14791" spans="13:13" ht="15" customHeight="1" x14ac:dyDescent="0.3">
      <c r="M14791" s="5"/>
    </row>
    <row r="14792" spans="13:13" ht="15" customHeight="1" x14ac:dyDescent="0.3">
      <c r="M14792" s="5"/>
    </row>
    <row r="14793" spans="13:13" ht="15" customHeight="1" x14ac:dyDescent="0.3">
      <c r="M14793" s="5"/>
    </row>
    <row r="14794" spans="13:13" ht="15" customHeight="1" x14ac:dyDescent="0.3">
      <c r="M14794" s="5"/>
    </row>
    <row r="14795" spans="13:13" ht="15" customHeight="1" x14ac:dyDescent="0.3">
      <c r="M14795" s="5"/>
    </row>
    <row r="14796" spans="13:13" ht="15" customHeight="1" x14ac:dyDescent="0.3">
      <c r="M14796" s="5"/>
    </row>
    <row r="14797" spans="13:13" ht="15" customHeight="1" x14ac:dyDescent="0.3">
      <c r="M14797" s="5"/>
    </row>
    <row r="14798" spans="13:13" ht="15" customHeight="1" x14ac:dyDescent="0.3">
      <c r="M14798" s="5"/>
    </row>
    <row r="14799" spans="13:13" ht="15" customHeight="1" x14ac:dyDescent="0.3">
      <c r="M14799" s="5"/>
    </row>
    <row r="14800" spans="13:13" ht="15" customHeight="1" x14ac:dyDescent="0.3">
      <c r="M14800" s="5"/>
    </row>
    <row r="14801" spans="13:13" ht="15" customHeight="1" x14ac:dyDescent="0.3">
      <c r="M14801" s="5"/>
    </row>
    <row r="14802" spans="13:13" ht="15" customHeight="1" x14ac:dyDescent="0.3">
      <c r="M14802" s="5"/>
    </row>
    <row r="14803" spans="13:13" ht="15" customHeight="1" x14ac:dyDescent="0.3">
      <c r="M14803" s="5"/>
    </row>
    <row r="14804" spans="13:13" ht="15" customHeight="1" x14ac:dyDescent="0.3">
      <c r="M14804" s="5"/>
    </row>
    <row r="14805" spans="13:13" ht="15" customHeight="1" x14ac:dyDescent="0.3">
      <c r="M14805" s="5"/>
    </row>
    <row r="14806" spans="13:13" ht="15" customHeight="1" x14ac:dyDescent="0.3">
      <c r="M14806" s="5"/>
    </row>
    <row r="14807" spans="13:13" ht="15" customHeight="1" x14ac:dyDescent="0.3">
      <c r="M14807" s="5"/>
    </row>
    <row r="14808" spans="13:13" ht="15" customHeight="1" x14ac:dyDescent="0.3">
      <c r="M14808" s="5"/>
    </row>
    <row r="14809" spans="13:13" ht="15" customHeight="1" x14ac:dyDescent="0.3">
      <c r="M14809" s="5"/>
    </row>
    <row r="14810" spans="13:13" ht="15" customHeight="1" x14ac:dyDescent="0.3">
      <c r="M14810" s="5"/>
    </row>
    <row r="14811" spans="13:13" ht="15" customHeight="1" x14ac:dyDescent="0.3">
      <c r="M14811" s="5"/>
    </row>
    <row r="14812" spans="13:13" ht="15" customHeight="1" x14ac:dyDescent="0.3">
      <c r="M14812" s="5"/>
    </row>
    <row r="14813" spans="13:13" ht="15" customHeight="1" x14ac:dyDescent="0.3">
      <c r="M14813" s="5"/>
    </row>
    <row r="14814" spans="13:13" ht="15" customHeight="1" x14ac:dyDescent="0.3">
      <c r="M14814" s="5"/>
    </row>
    <row r="14815" spans="13:13" ht="15" customHeight="1" x14ac:dyDescent="0.3">
      <c r="M14815" s="5"/>
    </row>
    <row r="14816" spans="13:13" ht="15" customHeight="1" x14ac:dyDescent="0.3">
      <c r="M14816" s="5"/>
    </row>
    <row r="14817" spans="13:13" ht="15" customHeight="1" x14ac:dyDescent="0.3">
      <c r="M14817" s="5"/>
    </row>
    <row r="14818" spans="13:13" ht="15" customHeight="1" x14ac:dyDescent="0.3">
      <c r="M14818" s="5"/>
    </row>
    <row r="14819" spans="13:13" ht="15" customHeight="1" x14ac:dyDescent="0.3">
      <c r="M14819" s="5"/>
    </row>
    <row r="14820" spans="13:13" ht="15" customHeight="1" x14ac:dyDescent="0.3">
      <c r="M14820" s="5"/>
    </row>
    <row r="14821" spans="13:13" ht="15" customHeight="1" x14ac:dyDescent="0.3">
      <c r="M14821" s="5"/>
    </row>
    <row r="14822" spans="13:13" ht="15" customHeight="1" x14ac:dyDescent="0.3">
      <c r="M14822" s="5"/>
    </row>
    <row r="14823" spans="13:13" ht="15" customHeight="1" x14ac:dyDescent="0.3">
      <c r="M14823" s="5"/>
    </row>
    <row r="14824" spans="13:13" ht="15" customHeight="1" x14ac:dyDescent="0.3">
      <c r="M14824" s="5"/>
    </row>
    <row r="14825" spans="13:13" ht="15" customHeight="1" x14ac:dyDescent="0.3">
      <c r="M14825" s="5"/>
    </row>
    <row r="14826" spans="13:13" ht="15" customHeight="1" x14ac:dyDescent="0.3">
      <c r="M14826" s="5"/>
    </row>
    <row r="14827" spans="13:13" ht="15" customHeight="1" x14ac:dyDescent="0.3">
      <c r="M14827" s="5"/>
    </row>
    <row r="14828" spans="13:13" ht="15" customHeight="1" x14ac:dyDescent="0.3">
      <c r="M14828" s="5"/>
    </row>
    <row r="14829" spans="13:13" ht="15" customHeight="1" x14ac:dyDescent="0.3">
      <c r="M14829" s="5"/>
    </row>
    <row r="14830" spans="13:13" ht="15" customHeight="1" x14ac:dyDescent="0.3">
      <c r="M14830" s="5"/>
    </row>
    <row r="14831" spans="13:13" ht="15" customHeight="1" x14ac:dyDescent="0.3">
      <c r="M14831" s="5"/>
    </row>
    <row r="14832" spans="13:13" ht="15" customHeight="1" x14ac:dyDescent="0.3">
      <c r="M14832" s="5"/>
    </row>
    <row r="14833" spans="13:13" ht="15" customHeight="1" x14ac:dyDescent="0.3">
      <c r="M14833" s="5"/>
    </row>
    <row r="14834" spans="13:13" ht="15" customHeight="1" x14ac:dyDescent="0.3">
      <c r="M14834" s="5"/>
    </row>
    <row r="14835" spans="13:13" ht="15" customHeight="1" x14ac:dyDescent="0.3">
      <c r="M14835" s="5"/>
    </row>
    <row r="14836" spans="13:13" ht="15" customHeight="1" x14ac:dyDescent="0.3">
      <c r="M14836" s="5"/>
    </row>
    <row r="14837" spans="13:13" ht="15" customHeight="1" x14ac:dyDescent="0.3">
      <c r="M14837" s="5"/>
    </row>
    <row r="14838" spans="13:13" ht="15" customHeight="1" x14ac:dyDescent="0.3">
      <c r="M14838" s="5"/>
    </row>
    <row r="14839" spans="13:13" ht="15" customHeight="1" x14ac:dyDescent="0.3">
      <c r="M14839" s="5"/>
    </row>
    <row r="14840" spans="13:13" ht="15" customHeight="1" x14ac:dyDescent="0.3">
      <c r="M14840" s="5"/>
    </row>
    <row r="14841" spans="13:13" ht="15" customHeight="1" x14ac:dyDescent="0.3">
      <c r="M14841" s="5"/>
    </row>
    <row r="14842" spans="13:13" ht="15" customHeight="1" x14ac:dyDescent="0.3">
      <c r="M14842" s="5"/>
    </row>
    <row r="14843" spans="13:13" ht="15" customHeight="1" x14ac:dyDescent="0.3">
      <c r="M14843" s="5"/>
    </row>
    <row r="14844" spans="13:13" ht="15" customHeight="1" x14ac:dyDescent="0.3">
      <c r="M14844" s="5"/>
    </row>
    <row r="14845" spans="13:13" ht="15" customHeight="1" x14ac:dyDescent="0.3">
      <c r="M14845" s="5"/>
    </row>
    <row r="14846" spans="13:13" ht="15" customHeight="1" x14ac:dyDescent="0.3">
      <c r="M14846" s="5"/>
    </row>
    <row r="14847" spans="13:13" ht="15" customHeight="1" x14ac:dyDescent="0.3">
      <c r="M14847" s="5"/>
    </row>
    <row r="14848" spans="13:13" ht="15" customHeight="1" x14ac:dyDescent="0.3">
      <c r="M14848" s="5"/>
    </row>
    <row r="14849" spans="13:13" ht="15" customHeight="1" x14ac:dyDescent="0.3">
      <c r="M14849" s="5"/>
    </row>
    <row r="14850" spans="13:13" ht="15" customHeight="1" x14ac:dyDescent="0.3">
      <c r="M14850" s="5"/>
    </row>
    <row r="14851" spans="13:13" ht="15" customHeight="1" x14ac:dyDescent="0.3">
      <c r="M14851" s="5"/>
    </row>
    <row r="14852" spans="13:13" ht="15" customHeight="1" x14ac:dyDescent="0.3">
      <c r="M14852" s="5"/>
    </row>
    <row r="14853" spans="13:13" ht="15" customHeight="1" x14ac:dyDescent="0.3">
      <c r="M14853" s="5"/>
    </row>
    <row r="14854" spans="13:13" ht="15" customHeight="1" x14ac:dyDescent="0.3">
      <c r="M14854" s="5"/>
    </row>
    <row r="14855" spans="13:13" ht="15" customHeight="1" x14ac:dyDescent="0.3">
      <c r="M14855" s="5"/>
    </row>
    <row r="14856" spans="13:13" ht="15" customHeight="1" x14ac:dyDescent="0.3">
      <c r="M14856" s="5"/>
    </row>
    <row r="14857" spans="13:13" ht="15" customHeight="1" x14ac:dyDescent="0.3">
      <c r="M14857" s="5"/>
    </row>
    <row r="14858" spans="13:13" ht="15" customHeight="1" x14ac:dyDescent="0.3">
      <c r="M14858" s="5"/>
    </row>
    <row r="14859" spans="13:13" ht="15" customHeight="1" x14ac:dyDescent="0.3">
      <c r="M14859" s="5"/>
    </row>
    <row r="14860" spans="13:13" ht="15" customHeight="1" x14ac:dyDescent="0.3">
      <c r="M14860" s="5"/>
    </row>
    <row r="14861" spans="13:13" ht="15" customHeight="1" x14ac:dyDescent="0.3">
      <c r="M14861" s="5"/>
    </row>
    <row r="14862" spans="13:13" ht="15" customHeight="1" x14ac:dyDescent="0.3">
      <c r="M14862" s="5"/>
    </row>
    <row r="14863" spans="13:13" ht="15" customHeight="1" x14ac:dyDescent="0.3">
      <c r="M14863" s="5"/>
    </row>
    <row r="14864" spans="13:13" ht="15" customHeight="1" x14ac:dyDescent="0.3">
      <c r="M14864" s="5"/>
    </row>
    <row r="14865" spans="13:13" ht="15" customHeight="1" x14ac:dyDescent="0.3">
      <c r="M14865" s="5"/>
    </row>
    <row r="14866" spans="13:13" ht="15" customHeight="1" x14ac:dyDescent="0.3">
      <c r="M14866" s="5"/>
    </row>
    <row r="14867" spans="13:13" ht="15" customHeight="1" x14ac:dyDescent="0.3">
      <c r="M14867" s="5"/>
    </row>
    <row r="14868" spans="13:13" ht="15" customHeight="1" x14ac:dyDescent="0.3">
      <c r="M14868" s="5"/>
    </row>
    <row r="14869" spans="13:13" ht="15" customHeight="1" x14ac:dyDescent="0.3">
      <c r="M14869" s="5"/>
    </row>
    <row r="14870" spans="13:13" ht="15" customHeight="1" x14ac:dyDescent="0.3">
      <c r="M14870" s="5"/>
    </row>
    <row r="14871" spans="13:13" ht="15" customHeight="1" x14ac:dyDescent="0.3">
      <c r="M14871" s="5"/>
    </row>
    <row r="14872" spans="13:13" ht="15" customHeight="1" x14ac:dyDescent="0.3">
      <c r="M14872" s="5"/>
    </row>
    <row r="14873" spans="13:13" ht="15" customHeight="1" x14ac:dyDescent="0.3">
      <c r="M14873" s="5"/>
    </row>
    <row r="14874" spans="13:13" ht="15" customHeight="1" x14ac:dyDescent="0.3">
      <c r="M14874" s="5"/>
    </row>
    <row r="14875" spans="13:13" ht="15" customHeight="1" x14ac:dyDescent="0.3">
      <c r="M14875" s="5"/>
    </row>
    <row r="14876" spans="13:13" ht="15" customHeight="1" x14ac:dyDescent="0.3">
      <c r="M14876" s="5"/>
    </row>
    <row r="14877" spans="13:13" ht="15" customHeight="1" x14ac:dyDescent="0.3">
      <c r="M14877" s="5"/>
    </row>
    <row r="14878" spans="13:13" ht="15" customHeight="1" x14ac:dyDescent="0.3">
      <c r="M14878" s="5"/>
    </row>
    <row r="14879" spans="13:13" ht="15" customHeight="1" x14ac:dyDescent="0.3">
      <c r="M14879" s="5"/>
    </row>
    <row r="14880" spans="13:13" ht="15" customHeight="1" x14ac:dyDescent="0.3">
      <c r="M14880" s="5"/>
    </row>
    <row r="14881" spans="13:13" ht="15" customHeight="1" x14ac:dyDescent="0.3">
      <c r="M14881" s="5"/>
    </row>
    <row r="14882" spans="13:13" ht="15" customHeight="1" x14ac:dyDescent="0.3">
      <c r="M14882" s="5"/>
    </row>
    <row r="14883" spans="13:13" ht="15" customHeight="1" x14ac:dyDescent="0.3">
      <c r="M14883" s="5"/>
    </row>
    <row r="14884" spans="13:13" ht="15" customHeight="1" x14ac:dyDescent="0.3">
      <c r="M14884" s="5"/>
    </row>
    <row r="14885" spans="13:13" ht="15" customHeight="1" x14ac:dyDescent="0.3">
      <c r="M14885" s="5"/>
    </row>
    <row r="14886" spans="13:13" ht="15" customHeight="1" x14ac:dyDescent="0.3">
      <c r="M14886" s="5"/>
    </row>
    <row r="14887" spans="13:13" ht="15" customHeight="1" x14ac:dyDescent="0.3">
      <c r="M14887" s="5"/>
    </row>
    <row r="14888" spans="13:13" ht="15" customHeight="1" x14ac:dyDescent="0.3">
      <c r="M14888" s="5"/>
    </row>
    <row r="14889" spans="13:13" ht="15" customHeight="1" x14ac:dyDescent="0.3">
      <c r="M14889" s="5"/>
    </row>
    <row r="14890" spans="13:13" ht="15" customHeight="1" x14ac:dyDescent="0.3">
      <c r="M14890" s="5"/>
    </row>
    <row r="14891" spans="13:13" ht="15" customHeight="1" x14ac:dyDescent="0.3">
      <c r="M14891" s="5"/>
    </row>
    <row r="14892" spans="13:13" ht="15" customHeight="1" x14ac:dyDescent="0.3">
      <c r="M14892" s="5"/>
    </row>
    <row r="14893" spans="13:13" ht="15" customHeight="1" x14ac:dyDescent="0.3">
      <c r="M14893" s="5"/>
    </row>
    <row r="14894" spans="13:13" ht="15" customHeight="1" x14ac:dyDescent="0.3">
      <c r="M14894" s="5"/>
    </row>
    <row r="14895" spans="13:13" ht="15" customHeight="1" x14ac:dyDescent="0.3">
      <c r="M14895" s="5"/>
    </row>
    <row r="14896" spans="13:13" ht="15" customHeight="1" x14ac:dyDescent="0.3">
      <c r="M14896" s="5"/>
    </row>
    <row r="14897" spans="13:13" ht="15" customHeight="1" x14ac:dyDescent="0.3">
      <c r="M14897" s="5"/>
    </row>
    <row r="14898" spans="13:13" ht="15" customHeight="1" x14ac:dyDescent="0.3">
      <c r="M14898" s="5"/>
    </row>
    <row r="14899" spans="13:13" ht="15" customHeight="1" x14ac:dyDescent="0.3">
      <c r="M14899" s="5"/>
    </row>
    <row r="14900" spans="13:13" ht="15" customHeight="1" x14ac:dyDescent="0.3">
      <c r="M14900" s="5"/>
    </row>
    <row r="14901" spans="13:13" ht="15" customHeight="1" x14ac:dyDescent="0.3">
      <c r="M14901" s="5"/>
    </row>
    <row r="14902" spans="13:13" ht="15" customHeight="1" x14ac:dyDescent="0.3">
      <c r="M14902" s="5"/>
    </row>
    <row r="14903" spans="13:13" ht="15" customHeight="1" x14ac:dyDescent="0.3">
      <c r="M14903" s="5"/>
    </row>
    <row r="14904" spans="13:13" ht="15" customHeight="1" x14ac:dyDescent="0.3">
      <c r="M14904" s="5"/>
    </row>
    <row r="14905" spans="13:13" ht="15" customHeight="1" x14ac:dyDescent="0.3">
      <c r="M14905" s="5"/>
    </row>
    <row r="14906" spans="13:13" ht="15" customHeight="1" x14ac:dyDescent="0.3">
      <c r="M14906" s="5"/>
    </row>
    <row r="14907" spans="13:13" ht="15" customHeight="1" x14ac:dyDescent="0.3">
      <c r="M14907" s="5"/>
    </row>
    <row r="14908" spans="13:13" ht="15" customHeight="1" x14ac:dyDescent="0.3">
      <c r="M14908" s="5"/>
    </row>
    <row r="14909" spans="13:13" ht="15" customHeight="1" x14ac:dyDescent="0.3">
      <c r="M14909" s="5"/>
    </row>
    <row r="14910" spans="13:13" ht="15" customHeight="1" x14ac:dyDescent="0.3">
      <c r="M14910" s="5"/>
    </row>
    <row r="14911" spans="13:13" ht="15" customHeight="1" x14ac:dyDescent="0.3">
      <c r="M14911" s="5"/>
    </row>
    <row r="14912" spans="13:13" ht="15" customHeight="1" x14ac:dyDescent="0.3">
      <c r="M14912" s="5"/>
    </row>
    <row r="14913" spans="13:13" ht="15" customHeight="1" x14ac:dyDescent="0.3">
      <c r="M14913" s="5"/>
    </row>
    <row r="14914" spans="13:13" ht="15" customHeight="1" x14ac:dyDescent="0.3">
      <c r="M14914" s="5"/>
    </row>
    <row r="14915" spans="13:13" ht="15" customHeight="1" x14ac:dyDescent="0.3">
      <c r="M14915" s="5"/>
    </row>
    <row r="14916" spans="13:13" ht="15" customHeight="1" x14ac:dyDescent="0.3">
      <c r="M14916" s="5"/>
    </row>
    <row r="14917" spans="13:13" ht="15" customHeight="1" x14ac:dyDescent="0.3">
      <c r="M14917" s="5"/>
    </row>
    <row r="14918" spans="13:13" ht="15" customHeight="1" x14ac:dyDescent="0.3">
      <c r="M14918" s="5"/>
    </row>
    <row r="14919" spans="13:13" ht="15" customHeight="1" x14ac:dyDescent="0.3">
      <c r="M14919" s="5"/>
    </row>
    <row r="14920" spans="13:13" ht="15" customHeight="1" x14ac:dyDescent="0.3">
      <c r="M14920" s="5"/>
    </row>
    <row r="14921" spans="13:13" ht="15" customHeight="1" x14ac:dyDescent="0.3">
      <c r="M14921" s="5"/>
    </row>
    <row r="14922" spans="13:13" ht="15" customHeight="1" x14ac:dyDescent="0.3">
      <c r="M14922" s="5"/>
    </row>
    <row r="14923" spans="13:13" ht="15" customHeight="1" x14ac:dyDescent="0.3">
      <c r="M14923" s="5"/>
    </row>
    <row r="14924" spans="13:13" ht="15" customHeight="1" x14ac:dyDescent="0.3">
      <c r="M14924" s="5"/>
    </row>
    <row r="14925" spans="13:13" ht="15" customHeight="1" x14ac:dyDescent="0.3">
      <c r="M14925" s="5"/>
    </row>
    <row r="14926" spans="13:13" ht="15" customHeight="1" x14ac:dyDescent="0.3">
      <c r="M14926" s="5"/>
    </row>
    <row r="14927" spans="13:13" ht="15" customHeight="1" x14ac:dyDescent="0.3">
      <c r="M14927" s="5"/>
    </row>
    <row r="14928" spans="13:13" ht="15" customHeight="1" x14ac:dyDescent="0.3">
      <c r="M14928" s="5"/>
    </row>
    <row r="14929" spans="13:13" ht="15" customHeight="1" x14ac:dyDescent="0.3">
      <c r="M14929" s="5"/>
    </row>
    <row r="14930" spans="13:13" ht="15" customHeight="1" x14ac:dyDescent="0.3">
      <c r="M14930" s="5"/>
    </row>
    <row r="14931" spans="13:13" ht="15" customHeight="1" x14ac:dyDescent="0.3">
      <c r="M14931" s="5"/>
    </row>
    <row r="14932" spans="13:13" ht="15" customHeight="1" x14ac:dyDescent="0.3">
      <c r="M14932" s="5"/>
    </row>
    <row r="14933" spans="13:13" ht="15" customHeight="1" x14ac:dyDescent="0.3">
      <c r="M14933" s="5"/>
    </row>
    <row r="14934" spans="13:13" ht="15" customHeight="1" x14ac:dyDescent="0.3">
      <c r="M14934" s="5"/>
    </row>
    <row r="14935" spans="13:13" ht="15" customHeight="1" x14ac:dyDescent="0.3">
      <c r="M14935" s="5"/>
    </row>
    <row r="14936" spans="13:13" ht="15" customHeight="1" x14ac:dyDescent="0.3">
      <c r="M14936" s="5"/>
    </row>
    <row r="14937" spans="13:13" ht="15" customHeight="1" x14ac:dyDescent="0.3">
      <c r="M14937" s="5"/>
    </row>
    <row r="14938" spans="13:13" ht="15" customHeight="1" x14ac:dyDescent="0.3">
      <c r="M14938" s="5"/>
    </row>
    <row r="14939" spans="13:13" ht="15" customHeight="1" x14ac:dyDescent="0.3">
      <c r="M14939" s="5"/>
    </row>
    <row r="14940" spans="13:13" ht="15" customHeight="1" x14ac:dyDescent="0.3">
      <c r="M14940" s="5"/>
    </row>
    <row r="14941" spans="13:13" ht="15" customHeight="1" x14ac:dyDescent="0.3">
      <c r="M14941" s="5"/>
    </row>
    <row r="14942" spans="13:13" ht="15" customHeight="1" x14ac:dyDescent="0.3">
      <c r="M14942" s="5"/>
    </row>
    <row r="14943" spans="13:13" ht="15" customHeight="1" x14ac:dyDescent="0.3">
      <c r="M14943" s="5"/>
    </row>
    <row r="14944" spans="13:13" ht="15" customHeight="1" x14ac:dyDescent="0.3">
      <c r="M14944" s="5"/>
    </row>
    <row r="14945" spans="13:13" ht="15" customHeight="1" x14ac:dyDescent="0.3">
      <c r="M14945" s="5"/>
    </row>
    <row r="14946" spans="13:13" ht="15" customHeight="1" x14ac:dyDescent="0.3">
      <c r="M14946" s="5"/>
    </row>
    <row r="14947" spans="13:13" ht="15" customHeight="1" x14ac:dyDescent="0.3">
      <c r="M14947" s="5"/>
    </row>
    <row r="14948" spans="13:13" ht="15" customHeight="1" x14ac:dyDescent="0.3">
      <c r="M14948" s="5"/>
    </row>
    <row r="14949" spans="13:13" ht="15" customHeight="1" x14ac:dyDescent="0.3">
      <c r="M14949" s="5"/>
    </row>
    <row r="14950" spans="13:13" ht="15" customHeight="1" x14ac:dyDescent="0.3">
      <c r="M14950" s="5"/>
    </row>
    <row r="14951" spans="13:13" ht="15" customHeight="1" x14ac:dyDescent="0.3">
      <c r="M14951" s="5"/>
    </row>
    <row r="14952" spans="13:13" ht="15" customHeight="1" x14ac:dyDescent="0.3">
      <c r="M14952" s="5"/>
    </row>
    <row r="14953" spans="13:13" ht="15" customHeight="1" x14ac:dyDescent="0.3">
      <c r="M14953" s="5"/>
    </row>
    <row r="14954" spans="13:13" ht="15" customHeight="1" x14ac:dyDescent="0.3">
      <c r="M14954" s="5"/>
    </row>
    <row r="14955" spans="13:13" ht="15" customHeight="1" x14ac:dyDescent="0.3">
      <c r="M14955" s="5"/>
    </row>
    <row r="14956" spans="13:13" ht="15" customHeight="1" x14ac:dyDescent="0.3">
      <c r="M14956" s="5"/>
    </row>
    <row r="14957" spans="13:13" ht="15" customHeight="1" x14ac:dyDescent="0.3">
      <c r="M14957" s="5"/>
    </row>
    <row r="14958" spans="13:13" ht="15" customHeight="1" x14ac:dyDescent="0.3">
      <c r="M14958" s="5"/>
    </row>
    <row r="14959" spans="13:13" ht="15" customHeight="1" x14ac:dyDescent="0.3">
      <c r="M14959" s="5"/>
    </row>
    <row r="14960" spans="13:13" ht="15" customHeight="1" x14ac:dyDescent="0.3">
      <c r="M14960" s="5"/>
    </row>
    <row r="14961" spans="13:13" ht="15" customHeight="1" x14ac:dyDescent="0.3">
      <c r="M14961" s="5"/>
    </row>
    <row r="14962" spans="13:13" ht="15" customHeight="1" x14ac:dyDescent="0.3">
      <c r="M14962" s="5"/>
    </row>
    <row r="14963" spans="13:13" ht="15" customHeight="1" x14ac:dyDescent="0.3">
      <c r="M14963" s="5"/>
    </row>
    <row r="14964" spans="13:13" ht="15" customHeight="1" x14ac:dyDescent="0.3">
      <c r="M14964" s="5"/>
    </row>
    <row r="14965" spans="13:13" ht="15" customHeight="1" x14ac:dyDescent="0.3">
      <c r="M14965" s="5"/>
    </row>
    <row r="14966" spans="13:13" ht="15" customHeight="1" x14ac:dyDescent="0.3">
      <c r="M14966" s="5"/>
    </row>
    <row r="14967" spans="13:13" ht="15" customHeight="1" x14ac:dyDescent="0.3">
      <c r="M14967" s="5"/>
    </row>
    <row r="14968" spans="13:13" ht="15" customHeight="1" x14ac:dyDescent="0.3">
      <c r="M14968" s="5"/>
    </row>
    <row r="14969" spans="13:13" ht="15" customHeight="1" x14ac:dyDescent="0.3">
      <c r="M14969" s="5"/>
    </row>
    <row r="14970" spans="13:13" ht="15" customHeight="1" x14ac:dyDescent="0.3">
      <c r="M14970" s="5"/>
    </row>
    <row r="14971" spans="13:13" ht="15" customHeight="1" x14ac:dyDescent="0.3">
      <c r="M14971" s="5"/>
    </row>
    <row r="14972" spans="13:13" ht="15" customHeight="1" x14ac:dyDescent="0.3">
      <c r="M14972" s="5"/>
    </row>
    <row r="14973" spans="13:13" ht="15" customHeight="1" x14ac:dyDescent="0.3">
      <c r="M14973" s="5"/>
    </row>
    <row r="14974" spans="13:13" ht="15" customHeight="1" x14ac:dyDescent="0.3">
      <c r="M14974" s="5"/>
    </row>
    <row r="14975" spans="13:13" ht="15" customHeight="1" x14ac:dyDescent="0.3">
      <c r="M14975" s="5"/>
    </row>
    <row r="14976" spans="13:13" ht="15" customHeight="1" x14ac:dyDescent="0.3">
      <c r="M14976" s="5"/>
    </row>
    <row r="14977" spans="13:13" ht="15" customHeight="1" x14ac:dyDescent="0.3">
      <c r="M14977" s="5"/>
    </row>
    <row r="14978" spans="13:13" ht="15" customHeight="1" x14ac:dyDescent="0.3">
      <c r="M14978" s="5"/>
    </row>
    <row r="14979" spans="13:13" ht="15" customHeight="1" x14ac:dyDescent="0.3">
      <c r="M14979" s="5"/>
    </row>
    <row r="14980" spans="13:13" ht="15" customHeight="1" x14ac:dyDescent="0.3">
      <c r="M14980" s="5"/>
    </row>
    <row r="14981" spans="13:13" ht="15" customHeight="1" x14ac:dyDescent="0.3">
      <c r="M14981" s="5"/>
    </row>
    <row r="14982" spans="13:13" ht="15" customHeight="1" x14ac:dyDescent="0.3">
      <c r="M14982" s="5"/>
    </row>
    <row r="14983" spans="13:13" ht="15" customHeight="1" x14ac:dyDescent="0.3">
      <c r="M14983" s="5"/>
    </row>
    <row r="14984" spans="13:13" ht="15" customHeight="1" x14ac:dyDescent="0.3">
      <c r="M14984" s="5"/>
    </row>
    <row r="14985" spans="13:13" ht="15" customHeight="1" x14ac:dyDescent="0.3">
      <c r="M14985" s="5"/>
    </row>
    <row r="14986" spans="13:13" ht="15" customHeight="1" x14ac:dyDescent="0.3">
      <c r="M14986" s="5"/>
    </row>
    <row r="14987" spans="13:13" ht="15" customHeight="1" x14ac:dyDescent="0.3">
      <c r="M14987" s="5"/>
    </row>
    <row r="14988" spans="13:13" ht="15" customHeight="1" x14ac:dyDescent="0.3">
      <c r="M14988" s="5"/>
    </row>
    <row r="14989" spans="13:13" ht="15" customHeight="1" x14ac:dyDescent="0.3">
      <c r="M14989" s="5"/>
    </row>
    <row r="14990" spans="13:13" ht="15" customHeight="1" x14ac:dyDescent="0.3">
      <c r="M14990" s="5"/>
    </row>
    <row r="14991" spans="13:13" ht="15" customHeight="1" x14ac:dyDescent="0.3">
      <c r="M14991" s="5"/>
    </row>
    <row r="14992" spans="13:13" ht="15" customHeight="1" x14ac:dyDescent="0.3">
      <c r="M14992" s="5"/>
    </row>
    <row r="14993" spans="13:13" ht="15" customHeight="1" x14ac:dyDescent="0.3">
      <c r="M14993" s="5"/>
    </row>
    <row r="14994" spans="13:13" ht="15" customHeight="1" x14ac:dyDescent="0.3">
      <c r="M14994" s="5"/>
    </row>
    <row r="14995" spans="13:13" ht="15" customHeight="1" x14ac:dyDescent="0.3">
      <c r="M14995" s="5"/>
    </row>
    <row r="14996" spans="13:13" ht="15" customHeight="1" x14ac:dyDescent="0.3">
      <c r="M14996" s="5"/>
    </row>
    <row r="14997" spans="13:13" ht="15" customHeight="1" x14ac:dyDescent="0.3">
      <c r="M14997" s="5"/>
    </row>
    <row r="14998" spans="13:13" ht="15" customHeight="1" x14ac:dyDescent="0.3">
      <c r="M14998" s="5"/>
    </row>
    <row r="14999" spans="13:13" ht="15" customHeight="1" x14ac:dyDescent="0.3">
      <c r="M14999" s="5"/>
    </row>
    <row r="15000" spans="13:13" ht="15" customHeight="1" x14ac:dyDescent="0.3">
      <c r="M15000" s="5"/>
    </row>
    <row r="15001" spans="13:13" ht="15" customHeight="1" x14ac:dyDescent="0.3">
      <c r="M15001" s="5"/>
    </row>
    <row r="15002" spans="13:13" ht="15" customHeight="1" x14ac:dyDescent="0.3">
      <c r="M15002" s="5"/>
    </row>
    <row r="15003" spans="13:13" ht="15" customHeight="1" x14ac:dyDescent="0.3">
      <c r="M15003" s="5"/>
    </row>
    <row r="15004" spans="13:13" ht="15" customHeight="1" x14ac:dyDescent="0.3">
      <c r="M15004" s="5"/>
    </row>
    <row r="15005" spans="13:13" ht="15" customHeight="1" x14ac:dyDescent="0.3">
      <c r="M15005" s="5"/>
    </row>
    <row r="15006" spans="13:13" ht="15" customHeight="1" x14ac:dyDescent="0.3">
      <c r="M15006" s="5"/>
    </row>
    <row r="15007" spans="13:13" ht="15" customHeight="1" x14ac:dyDescent="0.3">
      <c r="M15007" s="5"/>
    </row>
    <row r="15008" spans="13:13" ht="15" customHeight="1" x14ac:dyDescent="0.3">
      <c r="M15008" s="5"/>
    </row>
    <row r="15009" spans="13:13" ht="15" customHeight="1" x14ac:dyDescent="0.3">
      <c r="M15009" s="5"/>
    </row>
    <row r="15010" spans="13:13" ht="15" customHeight="1" x14ac:dyDescent="0.3">
      <c r="M15010" s="5"/>
    </row>
    <row r="15011" spans="13:13" ht="15" customHeight="1" x14ac:dyDescent="0.3">
      <c r="M15011" s="5"/>
    </row>
    <row r="15012" spans="13:13" ht="15" customHeight="1" x14ac:dyDescent="0.3">
      <c r="M15012" s="5"/>
    </row>
    <row r="15013" spans="13:13" ht="15" customHeight="1" x14ac:dyDescent="0.3">
      <c r="M15013" s="5"/>
    </row>
    <row r="15014" spans="13:13" ht="15" customHeight="1" x14ac:dyDescent="0.3">
      <c r="M15014" s="5"/>
    </row>
    <row r="15015" spans="13:13" ht="15" customHeight="1" x14ac:dyDescent="0.3">
      <c r="M15015" s="5"/>
    </row>
    <row r="15016" spans="13:13" ht="15" customHeight="1" x14ac:dyDescent="0.3">
      <c r="M15016" s="5"/>
    </row>
    <row r="15017" spans="13:13" ht="15" customHeight="1" x14ac:dyDescent="0.3">
      <c r="M15017" s="5"/>
    </row>
    <row r="15018" spans="13:13" ht="15" customHeight="1" x14ac:dyDescent="0.3">
      <c r="M15018" s="5"/>
    </row>
    <row r="15019" spans="13:13" ht="15" customHeight="1" x14ac:dyDescent="0.3">
      <c r="M15019" s="5"/>
    </row>
    <row r="15020" spans="13:13" ht="15" customHeight="1" x14ac:dyDescent="0.3">
      <c r="M15020" s="5"/>
    </row>
    <row r="15021" spans="13:13" ht="15" customHeight="1" x14ac:dyDescent="0.3">
      <c r="M15021" s="5"/>
    </row>
    <row r="15022" spans="13:13" ht="15" customHeight="1" x14ac:dyDescent="0.3">
      <c r="M15022" s="5"/>
    </row>
    <row r="15023" spans="13:13" ht="15" customHeight="1" x14ac:dyDescent="0.3">
      <c r="M15023" s="5"/>
    </row>
    <row r="15024" spans="13:13" ht="15" customHeight="1" x14ac:dyDescent="0.3">
      <c r="M15024" s="5"/>
    </row>
    <row r="15025" spans="13:13" ht="15" customHeight="1" x14ac:dyDescent="0.3">
      <c r="M15025" s="5"/>
    </row>
    <row r="15026" spans="13:13" ht="15" customHeight="1" x14ac:dyDescent="0.3">
      <c r="M15026" s="5"/>
    </row>
    <row r="15027" spans="13:13" ht="15" customHeight="1" x14ac:dyDescent="0.3">
      <c r="M15027" s="5"/>
    </row>
    <row r="15028" spans="13:13" ht="15" customHeight="1" x14ac:dyDescent="0.3">
      <c r="M15028" s="5"/>
    </row>
    <row r="15029" spans="13:13" ht="15" customHeight="1" x14ac:dyDescent="0.3">
      <c r="M15029" s="5"/>
    </row>
    <row r="15030" spans="13:13" ht="15" customHeight="1" x14ac:dyDescent="0.3">
      <c r="M15030" s="5"/>
    </row>
    <row r="15031" spans="13:13" ht="15" customHeight="1" x14ac:dyDescent="0.3">
      <c r="M15031" s="5"/>
    </row>
    <row r="15032" spans="13:13" ht="15" customHeight="1" x14ac:dyDescent="0.3">
      <c r="M15032" s="5"/>
    </row>
    <row r="15033" spans="13:13" ht="15" customHeight="1" x14ac:dyDescent="0.3">
      <c r="M15033" s="5"/>
    </row>
    <row r="15034" spans="13:13" ht="15" customHeight="1" x14ac:dyDescent="0.3">
      <c r="M15034" s="5"/>
    </row>
    <row r="15035" spans="13:13" ht="15" customHeight="1" x14ac:dyDescent="0.3">
      <c r="M15035" s="5"/>
    </row>
    <row r="15036" spans="13:13" ht="15" customHeight="1" x14ac:dyDescent="0.3">
      <c r="M15036" s="5"/>
    </row>
    <row r="15037" spans="13:13" ht="15" customHeight="1" x14ac:dyDescent="0.3">
      <c r="M15037" s="5"/>
    </row>
    <row r="15038" spans="13:13" ht="15" customHeight="1" x14ac:dyDescent="0.3">
      <c r="M15038" s="5"/>
    </row>
    <row r="15039" spans="13:13" ht="15" customHeight="1" x14ac:dyDescent="0.3">
      <c r="M15039" s="5"/>
    </row>
    <row r="15040" spans="13:13" ht="15" customHeight="1" x14ac:dyDescent="0.3">
      <c r="M15040" s="5"/>
    </row>
    <row r="15041" spans="13:13" ht="15" customHeight="1" x14ac:dyDescent="0.3">
      <c r="M15041" s="5"/>
    </row>
    <row r="15042" spans="13:13" ht="15" customHeight="1" x14ac:dyDescent="0.3">
      <c r="M15042" s="5"/>
    </row>
    <row r="15043" spans="13:13" ht="15" customHeight="1" x14ac:dyDescent="0.3">
      <c r="M15043" s="5"/>
    </row>
    <row r="15044" spans="13:13" ht="15" customHeight="1" x14ac:dyDescent="0.3">
      <c r="M15044" s="5"/>
    </row>
    <row r="15045" spans="13:13" ht="15" customHeight="1" x14ac:dyDescent="0.3">
      <c r="M15045" s="5"/>
    </row>
    <row r="15046" spans="13:13" ht="15" customHeight="1" x14ac:dyDescent="0.3">
      <c r="M15046" s="5"/>
    </row>
    <row r="15047" spans="13:13" ht="15" customHeight="1" x14ac:dyDescent="0.3">
      <c r="M15047" s="5"/>
    </row>
    <row r="15048" spans="13:13" ht="15" customHeight="1" x14ac:dyDescent="0.3">
      <c r="M15048" s="5"/>
    </row>
    <row r="15049" spans="13:13" ht="15" customHeight="1" x14ac:dyDescent="0.3">
      <c r="M15049" s="5"/>
    </row>
    <row r="15050" spans="13:13" ht="15" customHeight="1" x14ac:dyDescent="0.3">
      <c r="M15050" s="5"/>
    </row>
    <row r="15051" spans="13:13" ht="15" customHeight="1" x14ac:dyDescent="0.3">
      <c r="M15051" s="5"/>
    </row>
    <row r="15052" spans="13:13" ht="15" customHeight="1" x14ac:dyDescent="0.3">
      <c r="M15052" s="5"/>
    </row>
    <row r="15053" spans="13:13" ht="15" customHeight="1" x14ac:dyDescent="0.3">
      <c r="M15053" s="5"/>
    </row>
    <row r="15054" spans="13:13" ht="15" customHeight="1" x14ac:dyDescent="0.3">
      <c r="M15054" s="5"/>
    </row>
    <row r="15055" spans="13:13" ht="15" customHeight="1" x14ac:dyDescent="0.3">
      <c r="M15055" s="5"/>
    </row>
    <row r="15056" spans="13:13" ht="15" customHeight="1" x14ac:dyDescent="0.3">
      <c r="M15056" s="5"/>
    </row>
    <row r="15057" spans="13:13" ht="15" customHeight="1" x14ac:dyDescent="0.3">
      <c r="M15057" s="5"/>
    </row>
    <row r="15058" spans="13:13" ht="15" customHeight="1" x14ac:dyDescent="0.3">
      <c r="M15058" s="5"/>
    </row>
    <row r="15059" spans="13:13" ht="15" customHeight="1" x14ac:dyDescent="0.3">
      <c r="M15059" s="5"/>
    </row>
    <row r="15060" spans="13:13" ht="15" customHeight="1" x14ac:dyDescent="0.3">
      <c r="M15060" s="5"/>
    </row>
    <row r="15061" spans="13:13" ht="15" customHeight="1" x14ac:dyDescent="0.3">
      <c r="M15061" s="5"/>
    </row>
    <row r="15062" spans="13:13" ht="15" customHeight="1" x14ac:dyDescent="0.3">
      <c r="M15062" s="5"/>
    </row>
    <row r="15063" spans="13:13" ht="15" customHeight="1" x14ac:dyDescent="0.3">
      <c r="M15063" s="5"/>
    </row>
    <row r="15064" spans="13:13" ht="15" customHeight="1" x14ac:dyDescent="0.3">
      <c r="M15064" s="5"/>
    </row>
    <row r="15065" spans="13:13" ht="15" customHeight="1" x14ac:dyDescent="0.3">
      <c r="M15065" s="5"/>
    </row>
    <row r="15066" spans="13:13" ht="15" customHeight="1" x14ac:dyDescent="0.3">
      <c r="M15066" s="5"/>
    </row>
    <row r="15067" spans="13:13" ht="15" customHeight="1" x14ac:dyDescent="0.3">
      <c r="M15067" s="5"/>
    </row>
    <row r="15068" spans="13:13" ht="15" customHeight="1" x14ac:dyDescent="0.3">
      <c r="M15068" s="5"/>
    </row>
    <row r="15069" spans="13:13" ht="15" customHeight="1" x14ac:dyDescent="0.3">
      <c r="M15069" s="5"/>
    </row>
    <row r="15070" spans="13:13" ht="15" customHeight="1" x14ac:dyDescent="0.3">
      <c r="M15070" s="5"/>
    </row>
    <row r="15071" spans="13:13" ht="15" customHeight="1" x14ac:dyDescent="0.3">
      <c r="M15071" s="5"/>
    </row>
    <row r="15072" spans="13:13" ht="15" customHeight="1" x14ac:dyDescent="0.3">
      <c r="M15072" s="5"/>
    </row>
    <row r="15073" spans="13:13" ht="15" customHeight="1" x14ac:dyDescent="0.3">
      <c r="M15073" s="5"/>
    </row>
    <row r="15074" spans="13:13" ht="15" customHeight="1" x14ac:dyDescent="0.3">
      <c r="M15074" s="5"/>
    </row>
    <row r="15075" spans="13:13" ht="15" customHeight="1" x14ac:dyDescent="0.3">
      <c r="M15075" s="5"/>
    </row>
    <row r="15076" spans="13:13" ht="15" customHeight="1" x14ac:dyDescent="0.3">
      <c r="M15076" s="5"/>
    </row>
    <row r="15077" spans="13:13" ht="15" customHeight="1" x14ac:dyDescent="0.3">
      <c r="M15077" s="5"/>
    </row>
    <row r="15078" spans="13:13" ht="15" customHeight="1" x14ac:dyDescent="0.3">
      <c r="M15078" s="5"/>
    </row>
    <row r="15079" spans="13:13" ht="15" customHeight="1" x14ac:dyDescent="0.3">
      <c r="M15079" s="5"/>
    </row>
    <row r="15080" spans="13:13" ht="15" customHeight="1" x14ac:dyDescent="0.3">
      <c r="M15080" s="5"/>
    </row>
    <row r="15081" spans="13:13" ht="15" customHeight="1" x14ac:dyDescent="0.3">
      <c r="M15081" s="5"/>
    </row>
    <row r="15082" spans="13:13" ht="15" customHeight="1" x14ac:dyDescent="0.3">
      <c r="M15082" s="5"/>
    </row>
    <row r="15083" spans="13:13" ht="15" customHeight="1" x14ac:dyDescent="0.3">
      <c r="M15083" s="5"/>
    </row>
    <row r="15084" spans="13:13" ht="15" customHeight="1" x14ac:dyDescent="0.3">
      <c r="M15084" s="5"/>
    </row>
    <row r="15085" spans="13:13" ht="15" customHeight="1" x14ac:dyDescent="0.3">
      <c r="M15085" s="5"/>
    </row>
    <row r="15086" spans="13:13" ht="15" customHeight="1" x14ac:dyDescent="0.3">
      <c r="M15086" s="5"/>
    </row>
    <row r="15087" spans="13:13" ht="15" customHeight="1" x14ac:dyDescent="0.3">
      <c r="M15087" s="5"/>
    </row>
    <row r="15088" spans="13:13" ht="15" customHeight="1" x14ac:dyDescent="0.3">
      <c r="M15088" s="5"/>
    </row>
    <row r="15089" spans="13:13" ht="15" customHeight="1" x14ac:dyDescent="0.3">
      <c r="M15089" s="5"/>
    </row>
    <row r="15090" spans="13:13" ht="15" customHeight="1" x14ac:dyDescent="0.3">
      <c r="M15090" s="5"/>
    </row>
    <row r="15091" spans="13:13" ht="15" customHeight="1" x14ac:dyDescent="0.3">
      <c r="M15091" s="5"/>
    </row>
    <row r="15092" spans="13:13" ht="15" customHeight="1" x14ac:dyDescent="0.3">
      <c r="M15092" s="5"/>
    </row>
    <row r="15093" spans="13:13" ht="15" customHeight="1" x14ac:dyDescent="0.3">
      <c r="M15093" s="5"/>
    </row>
    <row r="15094" spans="13:13" ht="15" customHeight="1" x14ac:dyDescent="0.3">
      <c r="M15094" s="5"/>
    </row>
    <row r="15095" spans="13:13" ht="15" customHeight="1" x14ac:dyDescent="0.3">
      <c r="M15095" s="5"/>
    </row>
    <row r="15096" spans="13:13" ht="15" customHeight="1" x14ac:dyDescent="0.3">
      <c r="M15096" s="5"/>
    </row>
    <row r="15097" spans="13:13" ht="15" customHeight="1" x14ac:dyDescent="0.3">
      <c r="M15097" s="5"/>
    </row>
    <row r="15098" spans="13:13" ht="15" customHeight="1" x14ac:dyDescent="0.3">
      <c r="M15098" s="5"/>
    </row>
    <row r="15099" spans="13:13" ht="15" customHeight="1" x14ac:dyDescent="0.3">
      <c r="M15099" s="5"/>
    </row>
    <row r="15100" spans="13:13" ht="15" customHeight="1" x14ac:dyDescent="0.3">
      <c r="M15100" s="5"/>
    </row>
    <row r="15101" spans="13:13" ht="15" customHeight="1" x14ac:dyDescent="0.3">
      <c r="M15101" s="5"/>
    </row>
    <row r="15102" spans="13:13" ht="15" customHeight="1" x14ac:dyDescent="0.3">
      <c r="M15102" s="5"/>
    </row>
    <row r="15103" spans="13:13" ht="15" customHeight="1" x14ac:dyDescent="0.3">
      <c r="M15103" s="5"/>
    </row>
    <row r="15104" spans="13:13" ht="15" customHeight="1" x14ac:dyDescent="0.3">
      <c r="M15104" s="5"/>
    </row>
    <row r="15105" spans="13:13" ht="15" customHeight="1" x14ac:dyDescent="0.3">
      <c r="M15105" s="5"/>
    </row>
    <row r="15106" spans="13:13" ht="15" customHeight="1" x14ac:dyDescent="0.3">
      <c r="M15106" s="5"/>
    </row>
    <row r="15107" spans="13:13" ht="15" customHeight="1" x14ac:dyDescent="0.3">
      <c r="M15107" s="5"/>
    </row>
    <row r="15108" spans="13:13" ht="15" customHeight="1" x14ac:dyDescent="0.3">
      <c r="M15108" s="5"/>
    </row>
    <row r="15109" spans="13:13" ht="15" customHeight="1" x14ac:dyDescent="0.3">
      <c r="M15109" s="5"/>
    </row>
    <row r="15110" spans="13:13" ht="15" customHeight="1" x14ac:dyDescent="0.3">
      <c r="M15110" s="5"/>
    </row>
    <row r="15111" spans="13:13" ht="15" customHeight="1" x14ac:dyDescent="0.3">
      <c r="M15111" s="5"/>
    </row>
    <row r="15112" spans="13:13" ht="15" customHeight="1" x14ac:dyDescent="0.3">
      <c r="M15112" s="5"/>
    </row>
    <row r="15113" spans="13:13" ht="15" customHeight="1" x14ac:dyDescent="0.3">
      <c r="M15113" s="5"/>
    </row>
    <row r="15114" spans="13:13" ht="15" customHeight="1" x14ac:dyDescent="0.3">
      <c r="M15114" s="5"/>
    </row>
    <row r="15115" spans="13:13" ht="15" customHeight="1" x14ac:dyDescent="0.3">
      <c r="M15115" s="5"/>
    </row>
    <row r="15116" spans="13:13" ht="15" customHeight="1" x14ac:dyDescent="0.3">
      <c r="M15116" s="5"/>
    </row>
    <row r="15117" spans="13:13" ht="15" customHeight="1" x14ac:dyDescent="0.3">
      <c r="M15117" s="5"/>
    </row>
    <row r="15118" spans="13:13" ht="15" customHeight="1" x14ac:dyDescent="0.3">
      <c r="M15118" s="5"/>
    </row>
    <row r="15119" spans="13:13" ht="15" customHeight="1" x14ac:dyDescent="0.3">
      <c r="M15119" s="5"/>
    </row>
    <row r="15120" spans="13:13" ht="15" customHeight="1" x14ac:dyDescent="0.3">
      <c r="M15120" s="5"/>
    </row>
    <row r="15121" spans="13:13" ht="15" customHeight="1" x14ac:dyDescent="0.3">
      <c r="M15121" s="5"/>
    </row>
    <row r="15122" spans="13:13" ht="15" customHeight="1" x14ac:dyDescent="0.3">
      <c r="M15122" s="5"/>
    </row>
    <row r="15123" spans="13:13" ht="15" customHeight="1" x14ac:dyDescent="0.3">
      <c r="M15123" s="5"/>
    </row>
    <row r="15124" spans="13:13" ht="15" customHeight="1" x14ac:dyDescent="0.3">
      <c r="M15124" s="5"/>
    </row>
    <row r="15125" spans="13:13" ht="15" customHeight="1" x14ac:dyDescent="0.3">
      <c r="M15125" s="5"/>
    </row>
    <row r="15126" spans="13:13" ht="15" customHeight="1" x14ac:dyDescent="0.3">
      <c r="M15126" s="5"/>
    </row>
    <row r="15127" spans="13:13" ht="15" customHeight="1" x14ac:dyDescent="0.3">
      <c r="M15127" s="5"/>
    </row>
    <row r="15128" spans="13:13" ht="15" customHeight="1" x14ac:dyDescent="0.3">
      <c r="M15128" s="5"/>
    </row>
    <row r="15129" spans="13:13" ht="15" customHeight="1" x14ac:dyDescent="0.3">
      <c r="M15129" s="5"/>
    </row>
    <row r="15130" spans="13:13" ht="15" customHeight="1" x14ac:dyDescent="0.3">
      <c r="M15130" s="5"/>
    </row>
    <row r="15131" spans="13:13" ht="15" customHeight="1" x14ac:dyDescent="0.3">
      <c r="M15131" s="5"/>
    </row>
    <row r="15132" spans="13:13" ht="15" customHeight="1" x14ac:dyDescent="0.3">
      <c r="M15132" s="5"/>
    </row>
    <row r="15133" spans="13:13" ht="15" customHeight="1" x14ac:dyDescent="0.3">
      <c r="M15133" s="5"/>
    </row>
    <row r="15134" spans="13:13" ht="15" customHeight="1" x14ac:dyDescent="0.3">
      <c r="M15134" s="5"/>
    </row>
    <row r="15135" spans="13:13" ht="15" customHeight="1" x14ac:dyDescent="0.3">
      <c r="M15135" s="5"/>
    </row>
    <row r="15136" spans="13:13" ht="15" customHeight="1" x14ac:dyDescent="0.3">
      <c r="M15136" s="5"/>
    </row>
    <row r="15137" spans="13:13" ht="15" customHeight="1" x14ac:dyDescent="0.3">
      <c r="M15137" s="5"/>
    </row>
    <row r="15138" spans="13:13" ht="15" customHeight="1" x14ac:dyDescent="0.3">
      <c r="M15138" s="5"/>
    </row>
    <row r="15139" spans="13:13" ht="15" customHeight="1" x14ac:dyDescent="0.3">
      <c r="M15139" s="5"/>
    </row>
    <row r="15140" spans="13:13" ht="15" customHeight="1" x14ac:dyDescent="0.3">
      <c r="M15140" s="5"/>
    </row>
    <row r="15141" spans="13:13" ht="15" customHeight="1" x14ac:dyDescent="0.3">
      <c r="M15141" s="5"/>
    </row>
    <row r="15142" spans="13:13" ht="15" customHeight="1" x14ac:dyDescent="0.3">
      <c r="M15142" s="5"/>
    </row>
    <row r="15143" spans="13:13" ht="15" customHeight="1" x14ac:dyDescent="0.3">
      <c r="M15143" s="5"/>
    </row>
    <row r="15144" spans="13:13" ht="15" customHeight="1" x14ac:dyDescent="0.3">
      <c r="M15144" s="5"/>
    </row>
    <row r="15145" spans="13:13" ht="15" customHeight="1" x14ac:dyDescent="0.3">
      <c r="M15145" s="5"/>
    </row>
    <row r="15146" spans="13:13" ht="15" customHeight="1" x14ac:dyDescent="0.3">
      <c r="M15146" s="5"/>
    </row>
    <row r="15147" spans="13:13" ht="15" customHeight="1" x14ac:dyDescent="0.3">
      <c r="M15147" s="5"/>
    </row>
    <row r="15148" spans="13:13" ht="15" customHeight="1" x14ac:dyDescent="0.3">
      <c r="M15148" s="5"/>
    </row>
    <row r="15149" spans="13:13" ht="15" customHeight="1" x14ac:dyDescent="0.3">
      <c r="M15149" s="5"/>
    </row>
    <row r="15150" spans="13:13" ht="15" customHeight="1" x14ac:dyDescent="0.3">
      <c r="M15150" s="5"/>
    </row>
    <row r="15151" spans="13:13" ht="15" customHeight="1" x14ac:dyDescent="0.3">
      <c r="M15151" s="5"/>
    </row>
    <row r="15152" spans="13:13" ht="15" customHeight="1" x14ac:dyDescent="0.3">
      <c r="M15152" s="5"/>
    </row>
    <row r="15153" spans="13:13" ht="15" customHeight="1" x14ac:dyDescent="0.3">
      <c r="M15153" s="5"/>
    </row>
    <row r="15154" spans="13:13" ht="15" customHeight="1" x14ac:dyDescent="0.3">
      <c r="M15154" s="5"/>
    </row>
    <row r="15155" spans="13:13" ht="15" customHeight="1" x14ac:dyDescent="0.3">
      <c r="M15155" s="5"/>
    </row>
    <row r="15156" spans="13:13" ht="15" customHeight="1" x14ac:dyDescent="0.3">
      <c r="M15156" s="5"/>
    </row>
    <row r="15157" spans="13:13" ht="15" customHeight="1" x14ac:dyDescent="0.3">
      <c r="M15157" s="5"/>
    </row>
    <row r="15158" spans="13:13" ht="15" customHeight="1" x14ac:dyDescent="0.3">
      <c r="M15158" s="5"/>
    </row>
    <row r="15159" spans="13:13" ht="15" customHeight="1" x14ac:dyDescent="0.3">
      <c r="M15159" s="5"/>
    </row>
    <row r="15160" spans="13:13" ht="15" customHeight="1" x14ac:dyDescent="0.3">
      <c r="M15160" s="5"/>
    </row>
    <row r="15161" spans="13:13" ht="15" customHeight="1" x14ac:dyDescent="0.3">
      <c r="M15161" s="5"/>
    </row>
    <row r="15162" spans="13:13" ht="15" customHeight="1" x14ac:dyDescent="0.3">
      <c r="M15162" s="5"/>
    </row>
    <row r="15163" spans="13:13" ht="15" customHeight="1" x14ac:dyDescent="0.3">
      <c r="M15163" s="5"/>
    </row>
    <row r="15164" spans="13:13" ht="15" customHeight="1" x14ac:dyDescent="0.3">
      <c r="M15164" s="5"/>
    </row>
    <row r="15165" spans="13:13" ht="15" customHeight="1" x14ac:dyDescent="0.3">
      <c r="M15165" s="5"/>
    </row>
    <row r="15166" spans="13:13" ht="15" customHeight="1" x14ac:dyDescent="0.3">
      <c r="M15166" s="5"/>
    </row>
    <row r="15167" spans="13:13" ht="15" customHeight="1" x14ac:dyDescent="0.3">
      <c r="M15167" s="5"/>
    </row>
    <row r="15168" spans="13:13" ht="15" customHeight="1" x14ac:dyDescent="0.3">
      <c r="M15168" s="5"/>
    </row>
    <row r="15169" spans="13:13" ht="15" customHeight="1" x14ac:dyDescent="0.3">
      <c r="M15169" s="5"/>
    </row>
    <row r="15170" spans="13:13" ht="15" customHeight="1" x14ac:dyDescent="0.3">
      <c r="M15170" s="5"/>
    </row>
    <row r="15171" spans="13:13" ht="15" customHeight="1" x14ac:dyDescent="0.3">
      <c r="M15171" s="5"/>
    </row>
    <row r="15172" spans="13:13" ht="15" customHeight="1" x14ac:dyDescent="0.3">
      <c r="M15172" s="5"/>
    </row>
    <row r="15173" spans="13:13" ht="15" customHeight="1" x14ac:dyDescent="0.3">
      <c r="M15173" s="5"/>
    </row>
    <row r="15174" spans="13:13" ht="15" customHeight="1" x14ac:dyDescent="0.3">
      <c r="M15174" s="5"/>
    </row>
    <row r="15175" spans="13:13" ht="15" customHeight="1" x14ac:dyDescent="0.3">
      <c r="M15175" s="5"/>
    </row>
    <row r="15176" spans="13:13" ht="15" customHeight="1" x14ac:dyDescent="0.3">
      <c r="M15176" s="5"/>
    </row>
    <row r="15177" spans="13:13" ht="15" customHeight="1" x14ac:dyDescent="0.3">
      <c r="M15177" s="5"/>
    </row>
    <row r="15178" spans="13:13" ht="15" customHeight="1" x14ac:dyDescent="0.3">
      <c r="M15178" s="5"/>
    </row>
    <row r="15179" spans="13:13" ht="15" customHeight="1" x14ac:dyDescent="0.3">
      <c r="M15179" s="5"/>
    </row>
    <row r="15180" spans="13:13" ht="15" customHeight="1" x14ac:dyDescent="0.3">
      <c r="M15180" s="5"/>
    </row>
    <row r="15181" spans="13:13" ht="15" customHeight="1" x14ac:dyDescent="0.3">
      <c r="M15181" s="5"/>
    </row>
    <row r="15182" spans="13:13" ht="15" customHeight="1" x14ac:dyDescent="0.3">
      <c r="M15182" s="5"/>
    </row>
    <row r="15183" spans="13:13" ht="15" customHeight="1" x14ac:dyDescent="0.3">
      <c r="M15183" s="5"/>
    </row>
    <row r="15184" spans="13:13" ht="15" customHeight="1" x14ac:dyDescent="0.3">
      <c r="M15184" s="5"/>
    </row>
    <row r="15185" spans="13:13" ht="15" customHeight="1" x14ac:dyDescent="0.3">
      <c r="M15185" s="5"/>
    </row>
    <row r="15186" spans="13:13" ht="15" customHeight="1" x14ac:dyDescent="0.3">
      <c r="M15186" s="5"/>
    </row>
    <row r="15187" spans="13:13" ht="15" customHeight="1" x14ac:dyDescent="0.3">
      <c r="M15187" s="5"/>
    </row>
    <row r="15188" spans="13:13" ht="15" customHeight="1" x14ac:dyDescent="0.3">
      <c r="M15188" s="5"/>
    </row>
    <row r="15189" spans="13:13" ht="15" customHeight="1" x14ac:dyDescent="0.3">
      <c r="M15189" s="5"/>
    </row>
    <row r="15190" spans="13:13" ht="15" customHeight="1" x14ac:dyDescent="0.3">
      <c r="M15190" s="5"/>
    </row>
    <row r="15191" spans="13:13" ht="15" customHeight="1" x14ac:dyDescent="0.3">
      <c r="M15191" s="5"/>
    </row>
    <row r="15192" spans="13:13" ht="15" customHeight="1" x14ac:dyDescent="0.3">
      <c r="M15192" s="5"/>
    </row>
    <row r="15193" spans="13:13" ht="15" customHeight="1" x14ac:dyDescent="0.3">
      <c r="M15193" s="5"/>
    </row>
    <row r="15194" spans="13:13" ht="15" customHeight="1" x14ac:dyDescent="0.3">
      <c r="M15194" s="5"/>
    </row>
    <row r="15195" spans="13:13" ht="15" customHeight="1" x14ac:dyDescent="0.3">
      <c r="M15195" s="5"/>
    </row>
    <row r="15196" spans="13:13" ht="15" customHeight="1" x14ac:dyDescent="0.3">
      <c r="M15196" s="5"/>
    </row>
    <row r="15197" spans="13:13" ht="15" customHeight="1" x14ac:dyDescent="0.3">
      <c r="M15197" s="5"/>
    </row>
    <row r="15198" spans="13:13" ht="15" customHeight="1" x14ac:dyDescent="0.3">
      <c r="M15198" s="5"/>
    </row>
    <row r="15199" spans="13:13" ht="15" customHeight="1" x14ac:dyDescent="0.3">
      <c r="M15199" s="5"/>
    </row>
    <row r="15200" spans="13:13" ht="15" customHeight="1" x14ac:dyDescent="0.3">
      <c r="M15200" s="5"/>
    </row>
    <row r="15201" spans="13:13" ht="15" customHeight="1" x14ac:dyDescent="0.3">
      <c r="M15201" s="5"/>
    </row>
    <row r="15202" spans="13:13" ht="15" customHeight="1" x14ac:dyDescent="0.3">
      <c r="M15202" s="5"/>
    </row>
    <row r="15203" spans="13:13" ht="15" customHeight="1" x14ac:dyDescent="0.3">
      <c r="M15203" s="5"/>
    </row>
    <row r="15204" spans="13:13" ht="15" customHeight="1" x14ac:dyDescent="0.3">
      <c r="M15204" s="5"/>
    </row>
    <row r="15205" spans="13:13" ht="15" customHeight="1" x14ac:dyDescent="0.3">
      <c r="M15205" s="5"/>
    </row>
    <row r="15206" spans="13:13" ht="15" customHeight="1" x14ac:dyDescent="0.3">
      <c r="M15206" s="5"/>
    </row>
    <row r="15207" spans="13:13" ht="15" customHeight="1" x14ac:dyDescent="0.3">
      <c r="M15207" s="5"/>
    </row>
    <row r="15208" spans="13:13" ht="15" customHeight="1" x14ac:dyDescent="0.3">
      <c r="M15208" s="5"/>
    </row>
    <row r="15209" spans="13:13" ht="15" customHeight="1" x14ac:dyDescent="0.3">
      <c r="M15209" s="5"/>
    </row>
    <row r="15210" spans="13:13" ht="15" customHeight="1" x14ac:dyDescent="0.3">
      <c r="M15210" s="5"/>
    </row>
    <row r="15211" spans="13:13" ht="15" customHeight="1" x14ac:dyDescent="0.3">
      <c r="M15211" s="5"/>
    </row>
    <row r="15212" spans="13:13" ht="15" customHeight="1" x14ac:dyDescent="0.3">
      <c r="M15212" s="5"/>
    </row>
    <row r="15213" spans="13:13" ht="15" customHeight="1" x14ac:dyDescent="0.3">
      <c r="M15213" s="5"/>
    </row>
    <row r="15214" spans="13:13" ht="15" customHeight="1" x14ac:dyDescent="0.3">
      <c r="M15214" s="5"/>
    </row>
    <row r="15215" spans="13:13" ht="15" customHeight="1" x14ac:dyDescent="0.3">
      <c r="M15215" s="5"/>
    </row>
    <row r="15216" spans="13:13" ht="15" customHeight="1" x14ac:dyDescent="0.3">
      <c r="M15216" s="5"/>
    </row>
    <row r="15217" spans="13:13" ht="15" customHeight="1" x14ac:dyDescent="0.3">
      <c r="M15217" s="5"/>
    </row>
    <row r="15218" spans="13:13" ht="15" customHeight="1" x14ac:dyDescent="0.3">
      <c r="M15218" s="5"/>
    </row>
    <row r="15219" spans="13:13" ht="15" customHeight="1" x14ac:dyDescent="0.3">
      <c r="M15219" s="5"/>
    </row>
    <row r="15220" spans="13:13" ht="15" customHeight="1" x14ac:dyDescent="0.3">
      <c r="M15220" s="5"/>
    </row>
    <row r="15221" spans="13:13" ht="15" customHeight="1" x14ac:dyDescent="0.3">
      <c r="M15221" s="5"/>
    </row>
    <row r="15222" spans="13:13" ht="15" customHeight="1" x14ac:dyDescent="0.3">
      <c r="M15222" s="5"/>
    </row>
    <row r="15223" spans="13:13" ht="15" customHeight="1" x14ac:dyDescent="0.3">
      <c r="M15223" s="5"/>
    </row>
    <row r="15224" spans="13:13" ht="15" customHeight="1" x14ac:dyDescent="0.3">
      <c r="M15224" s="5"/>
    </row>
    <row r="15225" spans="13:13" ht="15" customHeight="1" x14ac:dyDescent="0.3">
      <c r="M15225" s="5"/>
    </row>
    <row r="15226" spans="13:13" ht="15" customHeight="1" x14ac:dyDescent="0.3">
      <c r="M15226" s="5"/>
    </row>
    <row r="15227" spans="13:13" ht="15" customHeight="1" x14ac:dyDescent="0.3">
      <c r="M15227" s="5"/>
    </row>
    <row r="15228" spans="13:13" ht="15" customHeight="1" x14ac:dyDescent="0.3">
      <c r="M15228" s="5"/>
    </row>
    <row r="15229" spans="13:13" ht="15" customHeight="1" x14ac:dyDescent="0.3">
      <c r="M15229" s="5"/>
    </row>
    <row r="15230" spans="13:13" ht="15" customHeight="1" x14ac:dyDescent="0.3">
      <c r="M15230" s="5"/>
    </row>
    <row r="15231" spans="13:13" ht="15" customHeight="1" x14ac:dyDescent="0.3">
      <c r="M15231" s="5"/>
    </row>
    <row r="15232" spans="13:13" ht="15" customHeight="1" x14ac:dyDescent="0.3">
      <c r="M15232" s="5"/>
    </row>
    <row r="15233" spans="13:13" ht="15" customHeight="1" x14ac:dyDescent="0.3">
      <c r="M15233" s="5"/>
    </row>
    <row r="15234" spans="13:13" ht="15" customHeight="1" x14ac:dyDescent="0.3">
      <c r="M15234" s="5"/>
    </row>
    <row r="15235" spans="13:13" ht="15" customHeight="1" x14ac:dyDescent="0.3">
      <c r="M15235" s="5"/>
    </row>
    <row r="15236" spans="13:13" ht="15" customHeight="1" x14ac:dyDescent="0.3">
      <c r="M15236" s="5"/>
    </row>
    <row r="15237" spans="13:13" ht="15" customHeight="1" x14ac:dyDescent="0.3">
      <c r="M15237" s="5"/>
    </row>
    <row r="15238" spans="13:13" ht="15" customHeight="1" x14ac:dyDescent="0.3">
      <c r="M15238" s="5"/>
    </row>
    <row r="15239" spans="13:13" ht="15" customHeight="1" x14ac:dyDescent="0.3">
      <c r="M15239" s="5"/>
    </row>
    <row r="15240" spans="13:13" ht="15" customHeight="1" x14ac:dyDescent="0.3">
      <c r="M15240" s="5"/>
    </row>
    <row r="15241" spans="13:13" ht="15" customHeight="1" x14ac:dyDescent="0.3">
      <c r="M15241" s="5"/>
    </row>
    <row r="15242" spans="13:13" ht="15" customHeight="1" x14ac:dyDescent="0.3">
      <c r="M15242" s="5"/>
    </row>
    <row r="15243" spans="13:13" ht="15" customHeight="1" x14ac:dyDescent="0.3">
      <c r="M15243" s="5"/>
    </row>
    <row r="15244" spans="13:13" ht="15" customHeight="1" x14ac:dyDescent="0.3">
      <c r="M15244" s="5"/>
    </row>
    <row r="15245" spans="13:13" ht="15" customHeight="1" x14ac:dyDescent="0.3">
      <c r="M15245" s="5"/>
    </row>
    <row r="15246" spans="13:13" ht="15" customHeight="1" x14ac:dyDescent="0.3">
      <c r="M15246" s="5"/>
    </row>
    <row r="15247" spans="13:13" ht="15" customHeight="1" x14ac:dyDescent="0.3">
      <c r="M15247" s="5"/>
    </row>
    <row r="15248" spans="13:13" ht="15" customHeight="1" x14ac:dyDescent="0.3">
      <c r="M15248" s="5"/>
    </row>
    <row r="15249" spans="13:13" ht="15" customHeight="1" x14ac:dyDescent="0.3">
      <c r="M15249" s="5"/>
    </row>
    <row r="15250" spans="13:13" ht="15" customHeight="1" x14ac:dyDescent="0.3">
      <c r="M15250" s="5"/>
    </row>
    <row r="15251" spans="13:13" ht="15" customHeight="1" x14ac:dyDescent="0.3">
      <c r="M15251" s="5"/>
    </row>
    <row r="15252" spans="13:13" ht="15" customHeight="1" x14ac:dyDescent="0.3">
      <c r="M15252" s="5"/>
    </row>
    <row r="15253" spans="13:13" ht="15" customHeight="1" x14ac:dyDescent="0.3">
      <c r="M15253" s="5"/>
    </row>
    <row r="15254" spans="13:13" ht="15" customHeight="1" x14ac:dyDescent="0.3">
      <c r="M15254" s="5"/>
    </row>
    <row r="15255" spans="13:13" ht="15" customHeight="1" x14ac:dyDescent="0.3">
      <c r="M15255" s="5"/>
    </row>
    <row r="15256" spans="13:13" ht="15" customHeight="1" x14ac:dyDescent="0.3">
      <c r="M15256" s="5"/>
    </row>
    <row r="15257" spans="13:13" ht="15" customHeight="1" x14ac:dyDescent="0.3">
      <c r="M15257" s="5"/>
    </row>
    <row r="15258" spans="13:13" ht="15" customHeight="1" x14ac:dyDescent="0.3">
      <c r="M15258" s="5"/>
    </row>
    <row r="15259" spans="13:13" ht="15" customHeight="1" x14ac:dyDescent="0.3">
      <c r="M15259" s="5"/>
    </row>
    <row r="15260" spans="13:13" ht="15" customHeight="1" x14ac:dyDescent="0.3">
      <c r="M15260" s="5"/>
    </row>
    <row r="15261" spans="13:13" ht="15" customHeight="1" x14ac:dyDescent="0.3">
      <c r="M15261" s="5"/>
    </row>
    <row r="15262" spans="13:13" ht="15" customHeight="1" x14ac:dyDescent="0.3">
      <c r="M15262" s="5"/>
    </row>
    <row r="15263" spans="13:13" ht="15" customHeight="1" x14ac:dyDescent="0.3">
      <c r="M15263" s="5"/>
    </row>
    <row r="15264" spans="13:13" ht="15" customHeight="1" x14ac:dyDescent="0.3">
      <c r="M15264" s="5"/>
    </row>
    <row r="15265" spans="13:13" ht="15" customHeight="1" x14ac:dyDescent="0.3">
      <c r="M15265" s="5"/>
    </row>
    <row r="15266" spans="13:13" ht="15" customHeight="1" x14ac:dyDescent="0.3">
      <c r="M15266" s="5"/>
    </row>
    <row r="15267" spans="13:13" ht="15" customHeight="1" x14ac:dyDescent="0.3">
      <c r="M15267" s="5"/>
    </row>
    <row r="15268" spans="13:13" ht="15" customHeight="1" x14ac:dyDescent="0.3">
      <c r="M15268" s="5"/>
    </row>
    <row r="15269" spans="13:13" ht="15" customHeight="1" x14ac:dyDescent="0.3">
      <c r="M15269" s="5"/>
    </row>
    <row r="15270" spans="13:13" ht="15" customHeight="1" x14ac:dyDescent="0.3">
      <c r="M15270" s="5"/>
    </row>
    <row r="15271" spans="13:13" ht="15" customHeight="1" x14ac:dyDescent="0.3">
      <c r="M15271" s="5"/>
    </row>
    <row r="15272" spans="13:13" ht="15" customHeight="1" x14ac:dyDescent="0.3">
      <c r="M15272" s="5"/>
    </row>
    <row r="15273" spans="13:13" ht="15" customHeight="1" x14ac:dyDescent="0.3">
      <c r="M15273" s="5"/>
    </row>
    <row r="15274" spans="13:13" ht="15" customHeight="1" x14ac:dyDescent="0.3">
      <c r="M15274" s="5"/>
    </row>
    <row r="15275" spans="13:13" ht="15" customHeight="1" x14ac:dyDescent="0.3">
      <c r="M15275" s="5"/>
    </row>
    <row r="15276" spans="13:13" ht="15" customHeight="1" x14ac:dyDescent="0.3">
      <c r="M15276" s="5"/>
    </row>
    <row r="15277" spans="13:13" ht="15" customHeight="1" x14ac:dyDescent="0.3">
      <c r="M15277" s="5"/>
    </row>
    <row r="15278" spans="13:13" ht="15" customHeight="1" x14ac:dyDescent="0.3">
      <c r="M15278" s="5"/>
    </row>
    <row r="15279" spans="13:13" ht="15" customHeight="1" x14ac:dyDescent="0.3">
      <c r="M15279" s="5"/>
    </row>
    <row r="15280" spans="13:13" ht="15" customHeight="1" x14ac:dyDescent="0.3">
      <c r="M15280" s="5"/>
    </row>
    <row r="15281" spans="13:13" ht="15" customHeight="1" x14ac:dyDescent="0.3">
      <c r="M15281" s="5"/>
    </row>
    <row r="15282" spans="13:13" ht="15" customHeight="1" x14ac:dyDescent="0.3">
      <c r="M15282" s="5"/>
    </row>
    <row r="15283" spans="13:13" ht="15" customHeight="1" x14ac:dyDescent="0.3">
      <c r="M15283" s="5"/>
    </row>
    <row r="15284" spans="13:13" ht="15" customHeight="1" x14ac:dyDescent="0.3">
      <c r="M15284" s="5"/>
    </row>
    <row r="15285" spans="13:13" ht="15" customHeight="1" x14ac:dyDescent="0.3">
      <c r="M15285" s="5"/>
    </row>
    <row r="15286" spans="13:13" ht="15" customHeight="1" x14ac:dyDescent="0.3">
      <c r="M15286" s="5"/>
    </row>
    <row r="15287" spans="13:13" ht="15" customHeight="1" x14ac:dyDescent="0.3">
      <c r="M15287" s="5"/>
    </row>
    <row r="15288" spans="13:13" ht="15" customHeight="1" x14ac:dyDescent="0.3">
      <c r="M15288" s="5"/>
    </row>
    <row r="15289" spans="13:13" ht="15" customHeight="1" x14ac:dyDescent="0.3">
      <c r="M15289" s="5"/>
    </row>
    <row r="15290" spans="13:13" ht="15" customHeight="1" x14ac:dyDescent="0.3">
      <c r="M15290" s="5"/>
    </row>
    <row r="15291" spans="13:13" ht="15" customHeight="1" x14ac:dyDescent="0.3">
      <c r="M15291" s="5"/>
    </row>
    <row r="15292" spans="13:13" ht="15" customHeight="1" x14ac:dyDescent="0.3">
      <c r="M15292" s="5"/>
    </row>
    <row r="15293" spans="13:13" ht="15" customHeight="1" x14ac:dyDescent="0.3">
      <c r="M15293" s="5"/>
    </row>
    <row r="15294" spans="13:13" ht="15" customHeight="1" x14ac:dyDescent="0.3">
      <c r="M15294" s="5"/>
    </row>
    <row r="15295" spans="13:13" ht="15" customHeight="1" x14ac:dyDescent="0.3">
      <c r="M15295" s="5"/>
    </row>
    <row r="15296" spans="13:13" ht="15" customHeight="1" x14ac:dyDescent="0.3">
      <c r="M15296" s="5"/>
    </row>
    <row r="15297" spans="13:13" ht="15" customHeight="1" x14ac:dyDescent="0.3">
      <c r="M15297" s="5"/>
    </row>
    <row r="15298" spans="13:13" ht="15" customHeight="1" x14ac:dyDescent="0.3">
      <c r="M15298" s="5"/>
    </row>
    <row r="15299" spans="13:13" ht="15" customHeight="1" x14ac:dyDescent="0.3">
      <c r="M15299" s="5"/>
    </row>
    <row r="15300" spans="13:13" ht="15" customHeight="1" x14ac:dyDescent="0.3">
      <c r="M15300" s="5"/>
    </row>
    <row r="15301" spans="13:13" ht="15" customHeight="1" x14ac:dyDescent="0.3">
      <c r="M15301" s="5"/>
    </row>
    <row r="15302" spans="13:13" ht="15" customHeight="1" x14ac:dyDescent="0.3">
      <c r="M15302" s="5"/>
    </row>
    <row r="15303" spans="13:13" ht="15" customHeight="1" x14ac:dyDescent="0.3">
      <c r="M15303" s="5"/>
    </row>
    <row r="15304" spans="13:13" ht="15" customHeight="1" x14ac:dyDescent="0.3">
      <c r="M15304" s="5"/>
    </row>
    <row r="15305" spans="13:13" ht="15" customHeight="1" x14ac:dyDescent="0.3">
      <c r="M15305" s="5"/>
    </row>
    <row r="15306" spans="13:13" ht="15" customHeight="1" x14ac:dyDescent="0.3">
      <c r="M15306" s="5"/>
    </row>
    <row r="15307" spans="13:13" ht="15" customHeight="1" x14ac:dyDescent="0.3">
      <c r="M15307" s="5"/>
    </row>
    <row r="15308" spans="13:13" ht="15" customHeight="1" x14ac:dyDescent="0.3">
      <c r="M15308" s="5"/>
    </row>
    <row r="15309" spans="13:13" ht="15" customHeight="1" x14ac:dyDescent="0.3">
      <c r="M15309" s="5"/>
    </row>
    <row r="15310" spans="13:13" ht="15" customHeight="1" x14ac:dyDescent="0.3">
      <c r="M15310" s="5"/>
    </row>
    <row r="15311" spans="13:13" ht="15" customHeight="1" x14ac:dyDescent="0.3">
      <c r="M15311" s="5"/>
    </row>
    <row r="15312" spans="13:13" ht="15" customHeight="1" x14ac:dyDescent="0.3">
      <c r="M15312" s="5"/>
    </row>
    <row r="15313" spans="13:13" ht="15" customHeight="1" x14ac:dyDescent="0.3">
      <c r="M15313" s="5"/>
    </row>
    <row r="15314" spans="13:13" ht="15" customHeight="1" x14ac:dyDescent="0.3">
      <c r="M15314" s="5"/>
    </row>
    <row r="15315" spans="13:13" ht="15" customHeight="1" x14ac:dyDescent="0.3">
      <c r="M15315" s="5"/>
    </row>
    <row r="15316" spans="13:13" ht="15" customHeight="1" x14ac:dyDescent="0.3">
      <c r="M15316" s="5"/>
    </row>
    <row r="15317" spans="13:13" ht="15" customHeight="1" x14ac:dyDescent="0.3">
      <c r="M15317" s="5"/>
    </row>
    <row r="15318" spans="13:13" ht="15" customHeight="1" x14ac:dyDescent="0.3">
      <c r="M15318" s="5"/>
    </row>
    <row r="15319" spans="13:13" ht="15" customHeight="1" x14ac:dyDescent="0.3">
      <c r="M15319" s="5"/>
    </row>
    <row r="15320" spans="13:13" ht="15" customHeight="1" x14ac:dyDescent="0.3">
      <c r="M15320" s="5"/>
    </row>
    <row r="15321" spans="13:13" ht="15" customHeight="1" x14ac:dyDescent="0.3">
      <c r="M15321" s="5"/>
    </row>
    <row r="15322" spans="13:13" ht="15" customHeight="1" x14ac:dyDescent="0.3">
      <c r="M15322" s="5"/>
    </row>
    <row r="15323" spans="13:13" ht="15" customHeight="1" x14ac:dyDescent="0.3">
      <c r="M15323" s="5"/>
    </row>
    <row r="15324" spans="13:13" ht="15" customHeight="1" x14ac:dyDescent="0.3">
      <c r="M15324" s="5"/>
    </row>
    <row r="15325" spans="13:13" ht="15" customHeight="1" x14ac:dyDescent="0.3">
      <c r="M15325" s="5"/>
    </row>
    <row r="15326" spans="13:13" ht="15" customHeight="1" x14ac:dyDescent="0.3">
      <c r="M15326" s="5"/>
    </row>
    <row r="15327" spans="13:13" ht="15" customHeight="1" x14ac:dyDescent="0.3">
      <c r="M15327" s="5"/>
    </row>
    <row r="15328" spans="13:13" ht="15" customHeight="1" x14ac:dyDescent="0.3">
      <c r="M15328" s="5"/>
    </row>
    <row r="15329" spans="13:13" ht="15" customHeight="1" x14ac:dyDescent="0.3">
      <c r="M15329" s="5"/>
    </row>
    <row r="15330" spans="13:13" ht="15" customHeight="1" x14ac:dyDescent="0.3">
      <c r="M15330" s="5"/>
    </row>
    <row r="15331" spans="13:13" ht="15" customHeight="1" x14ac:dyDescent="0.3">
      <c r="M15331" s="5"/>
    </row>
    <row r="15332" spans="13:13" ht="15" customHeight="1" x14ac:dyDescent="0.3">
      <c r="M15332" s="5"/>
    </row>
    <row r="15333" spans="13:13" ht="15" customHeight="1" x14ac:dyDescent="0.3">
      <c r="M15333" s="5"/>
    </row>
    <row r="15334" spans="13:13" ht="15" customHeight="1" x14ac:dyDescent="0.3">
      <c r="M15334" s="5"/>
    </row>
    <row r="15335" spans="13:13" ht="15" customHeight="1" x14ac:dyDescent="0.3">
      <c r="M15335" s="5"/>
    </row>
    <row r="15336" spans="13:13" ht="15" customHeight="1" x14ac:dyDescent="0.3">
      <c r="M15336" s="5"/>
    </row>
    <row r="15337" spans="13:13" ht="15" customHeight="1" x14ac:dyDescent="0.3">
      <c r="M15337" s="5"/>
    </row>
    <row r="15338" spans="13:13" ht="15" customHeight="1" x14ac:dyDescent="0.3">
      <c r="M15338" s="5"/>
    </row>
    <row r="15339" spans="13:13" ht="15" customHeight="1" x14ac:dyDescent="0.3">
      <c r="M15339" s="5"/>
    </row>
    <row r="15340" spans="13:13" ht="15" customHeight="1" x14ac:dyDescent="0.3">
      <c r="M15340" s="5"/>
    </row>
    <row r="15341" spans="13:13" ht="15" customHeight="1" x14ac:dyDescent="0.3">
      <c r="M15341" s="5"/>
    </row>
    <row r="15342" spans="13:13" ht="15" customHeight="1" x14ac:dyDescent="0.3">
      <c r="M15342" s="5"/>
    </row>
    <row r="15343" spans="13:13" ht="15" customHeight="1" x14ac:dyDescent="0.3">
      <c r="M15343" s="5"/>
    </row>
    <row r="15344" spans="13:13" ht="15" customHeight="1" x14ac:dyDescent="0.3">
      <c r="M15344" s="5"/>
    </row>
    <row r="15345" spans="13:13" ht="15" customHeight="1" x14ac:dyDescent="0.3">
      <c r="M15345" s="5"/>
    </row>
    <row r="15346" spans="13:13" ht="15" customHeight="1" x14ac:dyDescent="0.3">
      <c r="M15346" s="5"/>
    </row>
    <row r="15347" spans="13:13" ht="15" customHeight="1" x14ac:dyDescent="0.3">
      <c r="M15347" s="5"/>
    </row>
    <row r="15348" spans="13:13" ht="15" customHeight="1" x14ac:dyDescent="0.3">
      <c r="M15348" s="5"/>
    </row>
    <row r="15349" spans="13:13" ht="15" customHeight="1" x14ac:dyDescent="0.3">
      <c r="M15349" s="5"/>
    </row>
    <row r="15350" spans="13:13" ht="15" customHeight="1" x14ac:dyDescent="0.3">
      <c r="M15350" s="5"/>
    </row>
    <row r="15351" spans="13:13" ht="15" customHeight="1" x14ac:dyDescent="0.3">
      <c r="M15351" s="5"/>
    </row>
    <row r="15352" spans="13:13" ht="15" customHeight="1" x14ac:dyDescent="0.3">
      <c r="M15352" s="5"/>
    </row>
    <row r="15353" spans="13:13" ht="15" customHeight="1" x14ac:dyDescent="0.3">
      <c r="M15353" s="5"/>
    </row>
    <row r="15354" spans="13:13" ht="15" customHeight="1" x14ac:dyDescent="0.3">
      <c r="M15354" s="5"/>
    </row>
    <row r="15355" spans="13:13" ht="15" customHeight="1" x14ac:dyDescent="0.3">
      <c r="M15355" s="5"/>
    </row>
    <row r="15356" spans="13:13" ht="15" customHeight="1" x14ac:dyDescent="0.3">
      <c r="M15356" s="5"/>
    </row>
    <row r="15357" spans="13:13" ht="15" customHeight="1" x14ac:dyDescent="0.3">
      <c r="M15357" s="5"/>
    </row>
    <row r="15358" spans="13:13" ht="15" customHeight="1" x14ac:dyDescent="0.3">
      <c r="M15358" s="5"/>
    </row>
    <row r="15359" spans="13:13" ht="15" customHeight="1" x14ac:dyDescent="0.3">
      <c r="M15359" s="5"/>
    </row>
    <row r="15360" spans="13:13" ht="15" customHeight="1" x14ac:dyDescent="0.3">
      <c r="M15360" s="5"/>
    </row>
    <row r="15361" spans="13:13" ht="15" customHeight="1" x14ac:dyDescent="0.3">
      <c r="M15361" s="5"/>
    </row>
    <row r="15362" spans="13:13" ht="15" customHeight="1" x14ac:dyDescent="0.3">
      <c r="M15362" s="5"/>
    </row>
    <row r="15363" spans="13:13" ht="15" customHeight="1" x14ac:dyDescent="0.3">
      <c r="M15363" s="5"/>
    </row>
    <row r="15364" spans="13:13" ht="15" customHeight="1" x14ac:dyDescent="0.3">
      <c r="M15364" s="5"/>
    </row>
    <row r="15365" spans="13:13" ht="15" customHeight="1" x14ac:dyDescent="0.3">
      <c r="M15365" s="5"/>
    </row>
    <row r="15366" spans="13:13" ht="15" customHeight="1" x14ac:dyDescent="0.3">
      <c r="M15366" s="5"/>
    </row>
    <row r="15367" spans="13:13" ht="15" customHeight="1" x14ac:dyDescent="0.3">
      <c r="M15367" s="5"/>
    </row>
    <row r="15368" spans="13:13" ht="15" customHeight="1" x14ac:dyDescent="0.3">
      <c r="M15368" s="5"/>
    </row>
    <row r="15369" spans="13:13" ht="15" customHeight="1" x14ac:dyDescent="0.3">
      <c r="M15369" s="5"/>
    </row>
    <row r="15370" spans="13:13" ht="15" customHeight="1" x14ac:dyDescent="0.3">
      <c r="M15370" s="5"/>
    </row>
    <row r="15371" spans="13:13" ht="15" customHeight="1" x14ac:dyDescent="0.3">
      <c r="M15371" s="5"/>
    </row>
    <row r="15372" spans="13:13" ht="15" customHeight="1" x14ac:dyDescent="0.3">
      <c r="M15372" s="5"/>
    </row>
    <row r="15373" spans="13:13" ht="15" customHeight="1" x14ac:dyDescent="0.3">
      <c r="M15373" s="5"/>
    </row>
    <row r="15374" spans="13:13" ht="15" customHeight="1" x14ac:dyDescent="0.3">
      <c r="M15374" s="5"/>
    </row>
    <row r="15375" spans="13:13" ht="15" customHeight="1" x14ac:dyDescent="0.3">
      <c r="M15375" s="5"/>
    </row>
    <row r="15376" spans="13:13" ht="15" customHeight="1" x14ac:dyDescent="0.3">
      <c r="M15376" s="5"/>
    </row>
    <row r="15377" spans="13:13" ht="15" customHeight="1" x14ac:dyDescent="0.3">
      <c r="M15377" s="5"/>
    </row>
    <row r="15378" spans="13:13" ht="15" customHeight="1" x14ac:dyDescent="0.3">
      <c r="M15378" s="5"/>
    </row>
    <row r="15379" spans="13:13" ht="15" customHeight="1" x14ac:dyDescent="0.3">
      <c r="M15379" s="5"/>
    </row>
    <row r="15380" spans="13:13" ht="15" customHeight="1" x14ac:dyDescent="0.3">
      <c r="M15380" s="5"/>
    </row>
    <row r="15381" spans="13:13" ht="15" customHeight="1" x14ac:dyDescent="0.3">
      <c r="M15381" s="5"/>
    </row>
    <row r="15382" spans="13:13" ht="15" customHeight="1" x14ac:dyDescent="0.3">
      <c r="M15382" s="5"/>
    </row>
    <row r="15383" spans="13:13" ht="15" customHeight="1" x14ac:dyDescent="0.3">
      <c r="M15383" s="5"/>
    </row>
    <row r="15384" spans="13:13" ht="15" customHeight="1" x14ac:dyDescent="0.3">
      <c r="M15384" s="5"/>
    </row>
    <row r="15385" spans="13:13" ht="15" customHeight="1" x14ac:dyDescent="0.3">
      <c r="M15385" s="5"/>
    </row>
    <row r="15386" spans="13:13" ht="15" customHeight="1" x14ac:dyDescent="0.3">
      <c r="M15386" s="5"/>
    </row>
    <row r="15387" spans="13:13" ht="15" customHeight="1" x14ac:dyDescent="0.3">
      <c r="M15387" s="5"/>
    </row>
    <row r="15388" spans="13:13" ht="15" customHeight="1" x14ac:dyDescent="0.3">
      <c r="M15388" s="5"/>
    </row>
    <row r="15389" spans="13:13" ht="15" customHeight="1" x14ac:dyDescent="0.3">
      <c r="M15389" s="5"/>
    </row>
    <row r="15390" spans="13:13" ht="15" customHeight="1" x14ac:dyDescent="0.3">
      <c r="M15390" s="5"/>
    </row>
    <row r="15391" spans="13:13" ht="15" customHeight="1" x14ac:dyDescent="0.3">
      <c r="M15391" s="5"/>
    </row>
    <row r="15392" spans="13:13" ht="15" customHeight="1" x14ac:dyDescent="0.3">
      <c r="M15392" s="5"/>
    </row>
    <row r="15393" spans="13:13" ht="15" customHeight="1" x14ac:dyDescent="0.3">
      <c r="M15393" s="5"/>
    </row>
    <row r="15394" spans="13:13" ht="15" customHeight="1" x14ac:dyDescent="0.3">
      <c r="M15394" s="5"/>
    </row>
    <row r="15395" spans="13:13" ht="15" customHeight="1" x14ac:dyDescent="0.3">
      <c r="M15395" s="5"/>
    </row>
    <row r="15396" spans="13:13" ht="15" customHeight="1" x14ac:dyDescent="0.3">
      <c r="M15396" s="5"/>
    </row>
    <row r="15397" spans="13:13" ht="15" customHeight="1" x14ac:dyDescent="0.3">
      <c r="M15397" s="5"/>
    </row>
    <row r="15398" spans="13:13" ht="15" customHeight="1" x14ac:dyDescent="0.3">
      <c r="M15398" s="5"/>
    </row>
    <row r="15399" spans="13:13" ht="15" customHeight="1" x14ac:dyDescent="0.3">
      <c r="M15399" s="5"/>
    </row>
    <row r="15400" spans="13:13" ht="15" customHeight="1" x14ac:dyDescent="0.3">
      <c r="M15400" s="5"/>
    </row>
    <row r="15401" spans="13:13" ht="15" customHeight="1" x14ac:dyDescent="0.3">
      <c r="M15401" s="5"/>
    </row>
    <row r="15402" spans="13:13" ht="15" customHeight="1" x14ac:dyDescent="0.3">
      <c r="M15402" s="5"/>
    </row>
    <row r="15403" spans="13:13" ht="15" customHeight="1" x14ac:dyDescent="0.3">
      <c r="M15403" s="5"/>
    </row>
    <row r="15404" spans="13:13" ht="15" customHeight="1" x14ac:dyDescent="0.3">
      <c r="M15404" s="5"/>
    </row>
    <row r="15405" spans="13:13" ht="15" customHeight="1" x14ac:dyDescent="0.3">
      <c r="M15405" s="5"/>
    </row>
    <row r="15406" spans="13:13" ht="15" customHeight="1" x14ac:dyDescent="0.3">
      <c r="M15406" s="5"/>
    </row>
    <row r="15407" spans="13:13" ht="15" customHeight="1" x14ac:dyDescent="0.3">
      <c r="M15407" s="5"/>
    </row>
    <row r="15408" spans="13:13" ht="15" customHeight="1" x14ac:dyDescent="0.3">
      <c r="M15408" s="5"/>
    </row>
    <row r="15409" spans="13:13" ht="15" customHeight="1" x14ac:dyDescent="0.3">
      <c r="M15409" s="5"/>
    </row>
    <row r="15410" spans="13:13" ht="15" customHeight="1" x14ac:dyDescent="0.3">
      <c r="M15410" s="5"/>
    </row>
    <row r="15411" spans="13:13" ht="15" customHeight="1" x14ac:dyDescent="0.3">
      <c r="M15411" s="5"/>
    </row>
    <row r="15412" spans="13:13" ht="15" customHeight="1" x14ac:dyDescent="0.3">
      <c r="M15412" s="5"/>
    </row>
    <row r="15413" spans="13:13" ht="15" customHeight="1" x14ac:dyDescent="0.3">
      <c r="M15413" s="5"/>
    </row>
    <row r="15414" spans="13:13" ht="15" customHeight="1" x14ac:dyDescent="0.3">
      <c r="M15414" s="5"/>
    </row>
    <row r="15415" spans="13:13" ht="15" customHeight="1" x14ac:dyDescent="0.3">
      <c r="M15415" s="5"/>
    </row>
    <row r="15416" spans="13:13" ht="15" customHeight="1" x14ac:dyDescent="0.3">
      <c r="M15416" s="5"/>
    </row>
    <row r="15417" spans="13:13" ht="15" customHeight="1" x14ac:dyDescent="0.3">
      <c r="M15417" s="5"/>
    </row>
    <row r="15418" spans="13:13" ht="15" customHeight="1" x14ac:dyDescent="0.3">
      <c r="M15418" s="5"/>
    </row>
    <row r="15419" spans="13:13" ht="15" customHeight="1" x14ac:dyDescent="0.3">
      <c r="M15419" s="5"/>
    </row>
    <row r="15420" spans="13:13" ht="15" customHeight="1" x14ac:dyDescent="0.3">
      <c r="M15420" s="5"/>
    </row>
    <row r="15421" spans="13:13" ht="15" customHeight="1" x14ac:dyDescent="0.3">
      <c r="M15421" s="5"/>
    </row>
    <row r="15422" spans="13:13" ht="15" customHeight="1" x14ac:dyDescent="0.3">
      <c r="M15422" s="5"/>
    </row>
    <row r="15423" spans="13:13" ht="15" customHeight="1" x14ac:dyDescent="0.3">
      <c r="M15423" s="5"/>
    </row>
    <row r="15424" spans="13:13" ht="15" customHeight="1" x14ac:dyDescent="0.3">
      <c r="M15424" s="5"/>
    </row>
    <row r="15425" spans="13:13" ht="15" customHeight="1" x14ac:dyDescent="0.3">
      <c r="M15425" s="5"/>
    </row>
    <row r="15426" spans="13:13" ht="15" customHeight="1" x14ac:dyDescent="0.3">
      <c r="M15426" s="5"/>
    </row>
    <row r="15427" spans="13:13" ht="15" customHeight="1" x14ac:dyDescent="0.3">
      <c r="M15427" s="5"/>
    </row>
    <row r="15428" spans="13:13" ht="15" customHeight="1" x14ac:dyDescent="0.3">
      <c r="M15428" s="5"/>
    </row>
    <row r="15429" spans="13:13" ht="15" customHeight="1" x14ac:dyDescent="0.3">
      <c r="M15429" s="5"/>
    </row>
    <row r="15430" spans="13:13" ht="15" customHeight="1" x14ac:dyDescent="0.3">
      <c r="M15430" s="5"/>
    </row>
    <row r="15431" spans="13:13" ht="15" customHeight="1" x14ac:dyDescent="0.3">
      <c r="M15431" s="5"/>
    </row>
    <row r="15432" spans="13:13" ht="15" customHeight="1" x14ac:dyDescent="0.3">
      <c r="M15432" s="5"/>
    </row>
    <row r="15433" spans="13:13" ht="15" customHeight="1" x14ac:dyDescent="0.3">
      <c r="M15433" s="5"/>
    </row>
    <row r="15434" spans="13:13" ht="15" customHeight="1" x14ac:dyDescent="0.3">
      <c r="M15434" s="5"/>
    </row>
    <row r="15435" spans="13:13" ht="15" customHeight="1" x14ac:dyDescent="0.3">
      <c r="M15435" s="5"/>
    </row>
    <row r="15436" spans="13:13" ht="15" customHeight="1" x14ac:dyDescent="0.3">
      <c r="M15436" s="5"/>
    </row>
    <row r="15437" spans="13:13" ht="15" customHeight="1" x14ac:dyDescent="0.3">
      <c r="M15437" s="5"/>
    </row>
    <row r="15438" spans="13:13" ht="15" customHeight="1" x14ac:dyDescent="0.3">
      <c r="M15438" s="5"/>
    </row>
    <row r="15439" spans="13:13" ht="15" customHeight="1" x14ac:dyDescent="0.3">
      <c r="M15439" s="5"/>
    </row>
    <row r="15440" spans="13:13" ht="15" customHeight="1" x14ac:dyDescent="0.3">
      <c r="M15440" s="5"/>
    </row>
    <row r="15441" spans="13:13" ht="15" customHeight="1" x14ac:dyDescent="0.3">
      <c r="M15441" s="5"/>
    </row>
    <row r="15442" spans="13:13" ht="15" customHeight="1" x14ac:dyDescent="0.3">
      <c r="M15442" s="5"/>
    </row>
    <row r="15443" spans="13:13" ht="15" customHeight="1" x14ac:dyDescent="0.3">
      <c r="M15443" s="5"/>
    </row>
    <row r="15444" spans="13:13" ht="15" customHeight="1" x14ac:dyDescent="0.3">
      <c r="M15444" s="5"/>
    </row>
    <row r="15445" spans="13:13" ht="15" customHeight="1" x14ac:dyDescent="0.3">
      <c r="M15445" s="5"/>
    </row>
    <row r="15446" spans="13:13" ht="15" customHeight="1" x14ac:dyDescent="0.3">
      <c r="M15446" s="5"/>
    </row>
    <row r="15447" spans="13:13" ht="15" customHeight="1" x14ac:dyDescent="0.3">
      <c r="M15447" s="5"/>
    </row>
    <row r="15448" spans="13:13" ht="15" customHeight="1" x14ac:dyDescent="0.3">
      <c r="M15448" s="5"/>
    </row>
    <row r="15449" spans="13:13" ht="15" customHeight="1" x14ac:dyDescent="0.3">
      <c r="M15449" s="5"/>
    </row>
    <row r="15450" spans="13:13" ht="15" customHeight="1" x14ac:dyDescent="0.3">
      <c r="M15450" s="5"/>
    </row>
    <row r="15451" spans="13:13" ht="15" customHeight="1" x14ac:dyDescent="0.3">
      <c r="M15451" s="5"/>
    </row>
    <row r="15452" spans="13:13" ht="15" customHeight="1" x14ac:dyDescent="0.3">
      <c r="M15452" s="5"/>
    </row>
    <row r="15453" spans="13:13" ht="15" customHeight="1" x14ac:dyDescent="0.3">
      <c r="M15453" s="5"/>
    </row>
    <row r="15454" spans="13:13" ht="15" customHeight="1" x14ac:dyDescent="0.3">
      <c r="M15454" s="5"/>
    </row>
    <row r="15455" spans="13:13" ht="15" customHeight="1" x14ac:dyDescent="0.3">
      <c r="M15455" s="5"/>
    </row>
    <row r="15456" spans="13:13" ht="15" customHeight="1" x14ac:dyDescent="0.3">
      <c r="M15456" s="5"/>
    </row>
    <row r="15457" spans="13:13" ht="15" customHeight="1" x14ac:dyDescent="0.3">
      <c r="M15457" s="5"/>
    </row>
    <row r="15458" spans="13:13" ht="15" customHeight="1" x14ac:dyDescent="0.3">
      <c r="M15458" s="5"/>
    </row>
    <row r="15459" spans="13:13" ht="15" customHeight="1" x14ac:dyDescent="0.3">
      <c r="M15459" s="5"/>
    </row>
    <row r="15460" spans="13:13" ht="15" customHeight="1" x14ac:dyDescent="0.3">
      <c r="M15460" s="5"/>
    </row>
    <row r="15461" spans="13:13" ht="15" customHeight="1" x14ac:dyDescent="0.3">
      <c r="M15461" s="5"/>
    </row>
    <row r="15462" spans="13:13" ht="15" customHeight="1" x14ac:dyDescent="0.3">
      <c r="M15462" s="5"/>
    </row>
    <row r="15463" spans="13:13" ht="15" customHeight="1" x14ac:dyDescent="0.3">
      <c r="M15463" s="5"/>
    </row>
    <row r="15464" spans="13:13" ht="15" customHeight="1" x14ac:dyDescent="0.3">
      <c r="M15464" s="5"/>
    </row>
    <row r="15465" spans="13:13" ht="15" customHeight="1" x14ac:dyDescent="0.3">
      <c r="M15465" s="5"/>
    </row>
    <row r="15466" spans="13:13" ht="15" customHeight="1" x14ac:dyDescent="0.3">
      <c r="M15466" s="5"/>
    </row>
    <row r="15467" spans="13:13" ht="15" customHeight="1" x14ac:dyDescent="0.3">
      <c r="M15467" s="5"/>
    </row>
    <row r="15468" spans="13:13" ht="15" customHeight="1" x14ac:dyDescent="0.3">
      <c r="M15468" s="5"/>
    </row>
    <row r="15469" spans="13:13" ht="15" customHeight="1" x14ac:dyDescent="0.3">
      <c r="M15469" s="5"/>
    </row>
    <row r="15470" spans="13:13" ht="15" customHeight="1" x14ac:dyDescent="0.3">
      <c r="M15470" s="5"/>
    </row>
    <row r="15471" spans="13:13" ht="15" customHeight="1" x14ac:dyDescent="0.3">
      <c r="M15471" s="5"/>
    </row>
    <row r="15472" spans="13:13" ht="15" customHeight="1" x14ac:dyDescent="0.3">
      <c r="M15472" s="5"/>
    </row>
    <row r="15473" spans="13:13" ht="15" customHeight="1" x14ac:dyDescent="0.3">
      <c r="M15473" s="5"/>
    </row>
    <row r="15474" spans="13:13" ht="15" customHeight="1" x14ac:dyDescent="0.3">
      <c r="M15474" s="5"/>
    </row>
    <row r="15475" spans="13:13" ht="15" customHeight="1" x14ac:dyDescent="0.3">
      <c r="M15475" s="5"/>
    </row>
    <row r="15476" spans="13:13" ht="15" customHeight="1" x14ac:dyDescent="0.3">
      <c r="M15476" s="5"/>
    </row>
    <row r="15477" spans="13:13" ht="15" customHeight="1" x14ac:dyDescent="0.3">
      <c r="M15477" s="5"/>
    </row>
    <row r="15478" spans="13:13" ht="15" customHeight="1" x14ac:dyDescent="0.3">
      <c r="M15478" s="5"/>
    </row>
    <row r="15479" spans="13:13" ht="15" customHeight="1" x14ac:dyDescent="0.3">
      <c r="M15479" s="5"/>
    </row>
    <row r="15480" spans="13:13" ht="15" customHeight="1" x14ac:dyDescent="0.3">
      <c r="M15480" s="5"/>
    </row>
    <row r="15481" spans="13:13" ht="15" customHeight="1" x14ac:dyDescent="0.3">
      <c r="M15481" s="5"/>
    </row>
    <row r="15482" spans="13:13" ht="15" customHeight="1" x14ac:dyDescent="0.3">
      <c r="M15482" s="5"/>
    </row>
    <row r="15483" spans="13:13" ht="15" customHeight="1" x14ac:dyDescent="0.3">
      <c r="M15483" s="5"/>
    </row>
    <row r="15484" spans="13:13" ht="15" customHeight="1" x14ac:dyDescent="0.3">
      <c r="M15484" s="5"/>
    </row>
    <row r="15485" spans="13:13" ht="15" customHeight="1" x14ac:dyDescent="0.3">
      <c r="M15485" s="5"/>
    </row>
    <row r="15486" spans="13:13" ht="15" customHeight="1" x14ac:dyDescent="0.3">
      <c r="M15486" s="5"/>
    </row>
    <row r="15487" spans="13:13" ht="15" customHeight="1" x14ac:dyDescent="0.3">
      <c r="M15487" s="5"/>
    </row>
    <row r="15488" spans="13:13" ht="15" customHeight="1" x14ac:dyDescent="0.3">
      <c r="M15488" s="5"/>
    </row>
    <row r="15489" spans="13:13" ht="15" customHeight="1" x14ac:dyDescent="0.3">
      <c r="M15489" s="5"/>
    </row>
    <row r="15490" spans="13:13" ht="15" customHeight="1" x14ac:dyDescent="0.3">
      <c r="M15490" s="5"/>
    </row>
    <row r="15491" spans="13:13" ht="15" customHeight="1" x14ac:dyDescent="0.3">
      <c r="M15491" s="5"/>
    </row>
    <row r="15492" spans="13:13" ht="15" customHeight="1" x14ac:dyDescent="0.3">
      <c r="M15492" s="5"/>
    </row>
    <row r="15493" spans="13:13" ht="15" customHeight="1" x14ac:dyDescent="0.3">
      <c r="M15493" s="5"/>
    </row>
    <row r="15494" spans="13:13" ht="15" customHeight="1" x14ac:dyDescent="0.3">
      <c r="M15494" s="5"/>
    </row>
    <row r="15495" spans="13:13" ht="15" customHeight="1" x14ac:dyDescent="0.3">
      <c r="M15495" s="5"/>
    </row>
    <row r="15496" spans="13:13" ht="15" customHeight="1" x14ac:dyDescent="0.3">
      <c r="M15496" s="5"/>
    </row>
    <row r="15497" spans="13:13" ht="15" customHeight="1" x14ac:dyDescent="0.3">
      <c r="M15497" s="5"/>
    </row>
    <row r="15498" spans="13:13" ht="15" customHeight="1" x14ac:dyDescent="0.3">
      <c r="M15498" s="5"/>
    </row>
    <row r="15499" spans="13:13" ht="15" customHeight="1" x14ac:dyDescent="0.3">
      <c r="M15499" s="5"/>
    </row>
    <row r="15500" spans="13:13" ht="15" customHeight="1" x14ac:dyDescent="0.3">
      <c r="M15500" s="5"/>
    </row>
    <row r="15501" spans="13:13" ht="15" customHeight="1" x14ac:dyDescent="0.3">
      <c r="M15501" s="5"/>
    </row>
    <row r="15502" spans="13:13" ht="15" customHeight="1" x14ac:dyDescent="0.3">
      <c r="M15502" s="5"/>
    </row>
    <row r="15503" spans="13:13" ht="15" customHeight="1" x14ac:dyDescent="0.3">
      <c r="M15503" s="5"/>
    </row>
    <row r="15504" spans="13:13" ht="15" customHeight="1" x14ac:dyDescent="0.3">
      <c r="M15504" s="5"/>
    </row>
    <row r="15505" spans="13:13" ht="15" customHeight="1" x14ac:dyDescent="0.3">
      <c r="M15505" s="5"/>
    </row>
    <row r="15506" spans="13:13" ht="15" customHeight="1" x14ac:dyDescent="0.3">
      <c r="M15506" s="5"/>
    </row>
    <row r="15507" spans="13:13" ht="15" customHeight="1" x14ac:dyDescent="0.3">
      <c r="M15507" s="5"/>
    </row>
    <row r="15508" spans="13:13" ht="15" customHeight="1" x14ac:dyDescent="0.3">
      <c r="M15508" s="5"/>
    </row>
    <row r="15509" spans="13:13" ht="15" customHeight="1" x14ac:dyDescent="0.3">
      <c r="M15509" s="5"/>
    </row>
    <row r="15510" spans="13:13" ht="15" customHeight="1" x14ac:dyDescent="0.3">
      <c r="M15510" s="5"/>
    </row>
    <row r="15511" spans="13:13" ht="15" customHeight="1" x14ac:dyDescent="0.3">
      <c r="M15511" s="5"/>
    </row>
    <row r="15512" spans="13:13" ht="15" customHeight="1" x14ac:dyDescent="0.3">
      <c r="M15512" s="5"/>
    </row>
    <row r="15513" spans="13:13" ht="15" customHeight="1" x14ac:dyDescent="0.3">
      <c r="M15513" s="5"/>
    </row>
    <row r="15514" spans="13:13" ht="15" customHeight="1" x14ac:dyDescent="0.3">
      <c r="M15514" s="5"/>
    </row>
    <row r="15515" spans="13:13" ht="15" customHeight="1" x14ac:dyDescent="0.3">
      <c r="M15515" s="5"/>
    </row>
    <row r="15516" spans="13:13" ht="15" customHeight="1" x14ac:dyDescent="0.3">
      <c r="M15516" s="5"/>
    </row>
    <row r="15517" spans="13:13" ht="15" customHeight="1" x14ac:dyDescent="0.3">
      <c r="M15517" s="5"/>
    </row>
    <row r="15518" spans="13:13" ht="15" customHeight="1" x14ac:dyDescent="0.3">
      <c r="M15518" s="5"/>
    </row>
    <row r="15519" spans="13:13" ht="15" customHeight="1" x14ac:dyDescent="0.3">
      <c r="M15519" s="5"/>
    </row>
    <row r="15520" spans="13:13" ht="15" customHeight="1" x14ac:dyDescent="0.3">
      <c r="M15520" s="5"/>
    </row>
    <row r="15521" spans="13:13" ht="15" customHeight="1" x14ac:dyDescent="0.3">
      <c r="M15521" s="5"/>
    </row>
    <row r="15522" spans="13:13" ht="15" customHeight="1" x14ac:dyDescent="0.3">
      <c r="M15522" s="5"/>
    </row>
    <row r="15523" spans="13:13" ht="15" customHeight="1" x14ac:dyDescent="0.3">
      <c r="M15523" s="5"/>
    </row>
    <row r="15524" spans="13:13" ht="15" customHeight="1" x14ac:dyDescent="0.3">
      <c r="M15524" s="5"/>
    </row>
    <row r="15525" spans="13:13" ht="15" customHeight="1" x14ac:dyDescent="0.3">
      <c r="M15525" s="5"/>
    </row>
    <row r="15526" spans="13:13" ht="15" customHeight="1" x14ac:dyDescent="0.3">
      <c r="M15526" s="5"/>
    </row>
    <row r="15527" spans="13:13" ht="15" customHeight="1" x14ac:dyDescent="0.3">
      <c r="M15527" s="5"/>
    </row>
    <row r="15528" spans="13:13" ht="15" customHeight="1" x14ac:dyDescent="0.3">
      <c r="M15528" s="5"/>
    </row>
    <row r="15529" spans="13:13" ht="15" customHeight="1" x14ac:dyDescent="0.3">
      <c r="M15529" s="5"/>
    </row>
    <row r="15530" spans="13:13" ht="15" customHeight="1" x14ac:dyDescent="0.3">
      <c r="M15530" s="5"/>
    </row>
    <row r="15531" spans="13:13" ht="15" customHeight="1" x14ac:dyDescent="0.3">
      <c r="M15531" s="5"/>
    </row>
    <row r="15532" spans="13:13" ht="15" customHeight="1" x14ac:dyDescent="0.3">
      <c r="M15532" s="5"/>
    </row>
    <row r="15533" spans="13:13" ht="15" customHeight="1" x14ac:dyDescent="0.3">
      <c r="M15533" s="5"/>
    </row>
    <row r="15534" spans="13:13" ht="15" customHeight="1" x14ac:dyDescent="0.3">
      <c r="M15534" s="5"/>
    </row>
    <row r="15535" spans="13:13" ht="15" customHeight="1" x14ac:dyDescent="0.3">
      <c r="M15535" s="5"/>
    </row>
    <row r="15536" spans="13:13" ht="15" customHeight="1" x14ac:dyDescent="0.3">
      <c r="M15536" s="5"/>
    </row>
    <row r="15537" spans="13:13" ht="15" customHeight="1" x14ac:dyDescent="0.3">
      <c r="M15537" s="5"/>
    </row>
    <row r="15538" spans="13:13" ht="15" customHeight="1" x14ac:dyDescent="0.3">
      <c r="M15538" s="5"/>
    </row>
    <row r="15539" spans="13:13" ht="15" customHeight="1" x14ac:dyDescent="0.3">
      <c r="M15539" s="5"/>
    </row>
    <row r="15540" spans="13:13" ht="15" customHeight="1" x14ac:dyDescent="0.3">
      <c r="M15540" s="5"/>
    </row>
    <row r="15541" spans="13:13" ht="15" customHeight="1" x14ac:dyDescent="0.3">
      <c r="M15541" s="5"/>
    </row>
    <row r="15542" spans="13:13" ht="15" customHeight="1" x14ac:dyDescent="0.3">
      <c r="M15542" s="5"/>
    </row>
    <row r="15543" spans="13:13" ht="15" customHeight="1" x14ac:dyDescent="0.3">
      <c r="M15543" s="5"/>
    </row>
    <row r="15544" spans="13:13" ht="15" customHeight="1" x14ac:dyDescent="0.3">
      <c r="M15544" s="5"/>
    </row>
    <row r="15545" spans="13:13" ht="15" customHeight="1" x14ac:dyDescent="0.3">
      <c r="M15545" s="5"/>
    </row>
    <row r="15546" spans="13:13" ht="15" customHeight="1" x14ac:dyDescent="0.3">
      <c r="M15546" s="5"/>
    </row>
    <row r="15547" spans="13:13" ht="15" customHeight="1" x14ac:dyDescent="0.3">
      <c r="M15547" s="5"/>
    </row>
    <row r="15548" spans="13:13" ht="15" customHeight="1" x14ac:dyDescent="0.3">
      <c r="M15548" s="5"/>
    </row>
    <row r="15549" spans="13:13" ht="15" customHeight="1" x14ac:dyDescent="0.3">
      <c r="M15549" s="5"/>
    </row>
    <row r="15550" spans="13:13" ht="15" customHeight="1" x14ac:dyDescent="0.3">
      <c r="M15550" s="5"/>
    </row>
    <row r="15551" spans="13:13" ht="15" customHeight="1" x14ac:dyDescent="0.3">
      <c r="M15551" s="5"/>
    </row>
    <row r="15552" spans="13:13" ht="15" customHeight="1" x14ac:dyDescent="0.3">
      <c r="M15552" s="5"/>
    </row>
    <row r="15553" spans="13:13" ht="15" customHeight="1" x14ac:dyDescent="0.3">
      <c r="M15553" s="5"/>
    </row>
    <row r="15554" spans="13:13" ht="15" customHeight="1" x14ac:dyDescent="0.3">
      <c r="M15554" s="5"/>
    </row>
    <row r="15555" spans="13:13" ht="15" customHeight="1" x14ac:dyDescent="0.3">
      <c r="M15555" s="5"/>
    </row>
    <row r="15556" spans="13:13" ht="15" customHeight="1" x14ac:dyDescent="0.3">
      <c r="M15556" s="5"/>
    </row>
    <row r="15557" spans="13:13" ht="15" customHeight="1" x14ac:dyDescent="0.3">
      <c r="M15557" s="5"/>
    </row>
    <row r="15558" spans="13:13" ht="15" customHeight="1" x14ac:dyDescent="0.3">
      <c r="M15558" s="5"/>
    </row>
    <row r="15559" spans="13:13" ht="15" customHeight="1" x14ac:dyDescent="0.3">
      <c r="M15559" s="5"/>
    </row>
    <row r="15560" spans="13:13" ht="15" customHeight="1" x14ac:dyDescent="0.3">
      <c r="M15560" s="5"/>
    </row>
    <row r="15561" spans="13:13" ht="15" customHeight="1" x14ac:dyDescent="0.3">
      <c r="M15561" s="5"/>
    </row>
    <row r="15562" spans="13:13" ht="15" customHeight="1" x14ac:dyDescent="0.3">
      <c r="M15562" s="5"/>
    </row>
    <row r="15563" spans="13:13" ht="15" customHeight="1" x14ac:dyDescent="0.3">
      <c r="M15563" s="5"/>
    </row>
    <row r="15564" spans="13:13" ht="15" customHeight="1" x14ac:dyDescent="0.3">
      <c r="M15564" s="5"/>
    </row>
    <row r="15565" spans="13:13" ht="15" customHeight="1" x14ac:dyDescent="0.3">
      <c r="M15565" s="5"/>
    </row>
    <row r="15566" spans="13:13" ht="15" customHeight="1" x14ac:dyDescent="0.3">
      <c r="M15566" s="5"/>
    </row>
    <row r="15567" spans="13:13" ht="15" customHeight="1" x14ac:dyDescent="0.3">
      <c r="M15567" s="5"/>
    </row>
    <row r="15568" spans="13:13" ht="15" customHeight="1" x14ac:dyDescent="0.3">
      <c r="M15568" s="5"/>
    </row>
    <row r="15569" spans="13:13" ht="15" customHeight="1" x14ac:dyDescent="0.3">
      <c r="M15569" s="5"/>
    </row>
    <row r="15570" spans="13:13" ht="15" customHeight="1" x14ac:dyDescent="0.3">
      <c r="M15570" s="5"/>
    </row>
    <row r="15571" spans="13:13" ht="15" customHeight="1" x14ac:dyDescent="0.3">
      <c r="M15571" s="5"/>
    </row>
    <row r="15572" spans="13:13" ht="15" customHeight="1" x14ac:dyDescent="0.3">
      <c r="M15572" s="5"/>
    </row>
    <row r="15573" spans="13:13" ht="15" customHeight="1" x14ac:dyDescent="0.3">
      <c r="M15573" s="5"/>
    </row>
    <row r="15574" spans="13:13" ht="15" customHeight="1" x14ac:dyDescent="0.3">
      <c r="M15574" s="5"/>
    </row>
    <row r="15575" spans="13:13" ht="15" customHeight="1" x14ac:dyDescent="0.3">
      <c r="M15575" s="5"/>
    </row>
    <row r="15576" spans="13:13" ht="15" customHeight="1" x14ac:dyDescent="0.3">
      <c r="M15576" s="5"/>
    </row>
    <row r="15577" spans="13:13" ht="15" customHeight="1" x14ac:dyDescent="0.3">
      <c r="M15577" s="5"/>
    </row>
    <row r="15578" spans="13:13" ht="15" customHeight="1" x14ac:dyDescent="0.3">
      <c r="M15578" s="5"/>
    </row>
    <row r="15579" spans="13:13" ht="15" customHeight="1" x14ac:dyDescent="0.3">
      <c r="M15579" s="5"/>
    </row>
    <row r="15580" spans="13:13" ht="15" customHeight="1" x14ac:dyDescent="0.3">
      <c r="M15580" s="5"/>
    </row>
    <row r="15581" spans="13:13" ht="15" customHeight="1" x14ac:dyDescent="0.3">
      <c r="M15581" s="5"/>
    </row>
    <row r="15582" spans="13:13" ht="15" customHeight="1" x14ac:dyDescent="0.3">
      <c r="M15582" s="5"/>
    </row>
    <row r="15583" spans="13:13" ht="15" customHeight="1" x14ac:dyDescent="0.3">
      <c r="M15583" s="5"/>
    </row>
    <row r="15584" spans="13:13" ht="15" customHeight="1" x14ac:dyDescent="0.3">
      <c r="M15584" s="5"/>
    </row>
    <row r="15585" spans="13:13" ht="15" customHeight="1" x14ac:dyDescent="0.3">
      <c r="M15585" s="5"/>
    </row>
    <row r="15586" spans="13:13" ht="15" customHeight="1" x14ac:dyDescent="0.3">
      <c r="M15586" s="5"/>
    </row>
    <row r="15587" spans="13:13" ht="15" customHeight="1" x14ac:dyDescent="0.3">
      <c r="M15587" s="5"/>
    </row>
    <row r="15588" spans="13:13" ht="15" customHeight="1" x14ac:dyDescent="0.3">
      <c r="M15588" s="5"/>
    </row>
    <row r="15589" spans="13:13" ht="15" customHeight="1" x14ac:dyDescent="0.3">
      <c r="M15589" s="5"/>
    </row>
    <row r="15590" spans="13:13" ht="15" customHeight="1" x14ac:dyDescent="0.3">
      <c r="M15590" s="5"/>
    </row>
    <row r="15591" spans="13:13" ht="15" customHeight="1" x14ac:dyDescent="0.3">
      <c r="M15591" s="5"/>
    </row>
    <row r="15592" spans="13:13" ht="15" customHeight="1" x14ac:dyDescent="0.3">
      <c r="M15592" s="5"/>
    </row>
    <row r="15593" spans="13:13" ht="15" customHeight="1" x14ac:dyDescent="0.3">
      <c r="M15593" s="5"/>
    </row>
    <row r="15594" spans="13:13" ht="15" customHeight="1" x14ac:dyDescent="0.3">
      <c r="M15594" s="5"/>
    </row>
    <row r="15595" spans="13:13" ht="15" customHeight="1" x14ac:dyDescent="0.3">
      <c r="M15595" s="5"/>
    </row>
    <row r="15596" spans="13:13" ht="15" customHeight="1" x14ac:dyDescent="0.3">
      <c r="M15596" s="5"/>
    </row>
    <row r="15597" spans="13:13" ht="15" customHeight="1" x14ac:dyDescent="0.3">
      <c r="M15597" s="5"/>
    </row>
    <row r="15598" spans="13:13" ht="15" customHeight="1" x14ac:dyDescent="0.3">
      <c r="M15598" s="5"/>
    </row>
    <row r="15599" spans="13:13" ht="15" customHeight="1" x14ac:dyDescent="0.3">
      <c r="M15599" s="5"/>
    </row>
    <row r="15600" spans="13:13" ht="15" customHeight="1" x14ac:dyDescent="0.3">
      <c r="M15600" s="5"/>
    </row>
    <row r="15601" spans="13:13" ht="15" customHeight="1" x14ac:dyDescent="0.3">
      <c r="M15601" s="5"/>
    </row>
    <row r="15602" spans="13:13" ht="15" customHeight="1" x14ac:dyDescent="0.3">
      <c r="M15602" s="5"/>
    </row>
    <row r="15603" spans="13:13" ht="15" customHeight="1" x14ac:dyDescent="0.3">
      <c r="M15603" s="5"/>
    </row>
    <row r="15604" spans="13:13" ht="15" customHeight="1" x14ac:dyDescent="0.3">
      <c r="M15604" s="5"/>
    </row>
    <row r="15605" spans="13:13" ht="15" customHeight="1" x14ac:dyDescent="0.3">
      <c r="M15605" s="5"/>
    </row>
    <row r="15606" spans="13:13" ht="15" customHeight="1" x14ac:dyDescent="0.3">
      <c r="M15606" s="5"/>
    </row>
    <row r="15607" spans="13:13" ht="15" customHeight="1" x14ac:dyDescent="0.3">
      <c r="M15607" s="5"/>
    </row>
    <row r="15608" spans="13:13" ht="15" customHeight="1" x14ac:dyDescent="0.3">
      <c r="M15608" s="5"/>
    </row>
    <row r="15609" spans="13:13" ht="15" customHeight="1" x14ac:dyDescent="0.3">
      <c r="M15609" s="5"/>
    </row>
    <row r="15610" spans="13:13" ht="15" customHeight="1" x14ac:dyDescent="0.3">
      <c r="M15610" s="5"/>
    </row>
    <row r="15611" spans="13:13" ht="15" customHeight="1" x14ac:dyDescent="0.3">
      <c r="M15611" s="5"/>
    </row>
    <row r="15612" spans="13:13" ht="15" customHeight="1" x14ac:dyDescent="0.3">
      <c r="M15612" s="5"/>
    </row>
    <row r="15613" spans="13:13" ht="15" customHeight="1" x14ac:dyDescent="0.3">
      <c r="M15613" s="5"/>
    </row>
    <row r="15614" spans="13:13" ht="15" customHeight="1" x14ac:dyDescent="0.3">
      <c r="M15614" s="5"/>
    </row>
    <row r="15615" spans="13:13" ht="15" customHeight="1" x14ac:dyDescent="0.3">
      <c r="M15615" s="5"/>
    </row>
    <row r="15616" spans="13:13" ht="15" customHeight="1" x14ac:dyDescent="0.3">
      <c r="M15616" s="5"/>
    </row>
    <row r="15617" spans="13:13" ht="15" customHeight="1" x14ac:dyDescent="0.3">
      <c r="M15617" s="5"/>
    </row>
    <row r="15618" spans="13:13" ht="15" customHeight="1" x14ac:dyDescent="0.3">
      <c r="M15618" s="5"/>
    </row>
    <row r="15619" spans="13:13" ht="15" customHeight="1" x14ac:dyDescent="0.3">
      <c r="M15619" s="5"/>
    </row>
    <row r="15620" spans="13:13" ht="15" customHeight="1" x14ac:dyDescent="0.3">
      <c r="M15620" s="5"/>
    </row>
    <row r="15621" spans="13:13" ht="15" customHeight="1" x14ac:dyDescent="0.3">
      <c r="M15621" s="5"/>
    </row>
    <row r="15622" spans="13:13" ht="15" customHeight="1" x14ac:dyDescent="0.3">
      <c r="M15622" s="5"/>
    </row>
    <row r="15623" spans="13:13" ht="15" customHeight="1" x14ac:dyDescent="0.3">
      <c r="M15623" s="5"/>
    </row>
    <row r="15624" spans="13:13" ht="15" customHeight="1" x14ac:dyDescent="0.3">
      <c r="M15624" s="5"/>
    </row>
    <row r="15625" spans="13:13" ht="15" customHeight="1" x14ac:dyDescent="0.3">
      <c r="M15625" s="5"/>
    </row>
    <row r="15626" spans="13:13" ht="15" customHeight="1" x14ac:dyDescent="0.3">
      <c r="M15626" s="5"/>
    </row>
    <row r="15627" spans="13:13" ht="15" customHeight="1" x14ac:dyDescent="0.3">
      <c r="M15627" s="5"/>
    </row>
    <row r="15628" spans="13:13" ht="15" customHeight="1" x14ac:dyDescent="0.3">
      <c r="M15628" s="5"/>
    </row>
    <row r="15629" spans="13:13" ht="15" customHeight="1" x14ac:dyDescent="0.3">
      <c r="M15629" s="5"/>
    </row>
    <row r="15630" spans="13:13" ht="15" customHeight="1" x14ac:dyDescent="0.3">
      <c r="M15630" s="5"/>
    </row>
    <row r="15631" spans="13:13" ht="15" customHeight="1" x14ac:dyDescent="0.3">
      <c r="M15631" s="5"/>
    </row>
    <row r="15632" spans="13:13" ht="15" customHeight="1" x14ac:dyDescent="0.3">
      <c r="M15632" s="5"/>
    </row>
    <row r="15633" spans="13:13" ht="15" customHeight="1" x14ac:dyDescent="0.3">
      <c r="M15633" s="5"/>
    </row>
    <row r="15634" spans="13:13" ht="15" customHeight="1" x14ac:dyDescent="0.3">
      <c r="M15634" s="5"/>
    </row>
    <row r="15635" spans="13:13" ht="15" customHeight="1" x14ac:dyDescent="0.3">
      <c r="M15635" s="5"/>
    </row>
    <row r="15636" spans="13:13" ht="15" customHeight="1" x14ac:dyDescent="0.3">
      <c r="M15636" s="5"/>
    </row>
    <row r="15637" spans="13:13" ht="15" customHeight="1" x14ac:dyDescent="0.3">
      <c r="M15637" s="5"/>
    </row>
    <row r="15638" spans="13:13" ht="15" customHeight="1" x14ac:dyDescent="0.3">
      <c r="M15638" s="5"/>
    </row>
    <row r="15639" spans="13:13" ht="15" customHeight="1" x14ac:dyDescent="0.3">
      <c r="M15639" s="5"/>
    </row>
    <row r="15640" spans="13:13" ht="15" customHeight="1" x14ac:dyDescent="0.3">
      <c r="M15640" s="5"/>
    </row>
    <row r="15641" spans="13:13" ht="15" customHeight="1" x14ac:dyDescent="0.3">
      <c r="M15641" s="5"/>
    </row>
    <row r="15642" spans="13:13" ht="15" customHeight="1" x14ac:dyDescent="0.3">
      <c r="M15642" s="5"/>
    </row>
    <row r="15643" spans="13:13" ht="15" customHeight="1" x14ac:dyDescent="0.3">
      <c r="M15643" s="5"/>
    </row>
    <row r="15644" spans="13:13" ht="15" customHeight="1" x14ac:dyDescent="0.3">
      <c r="M15644" s="5"/>
    </row>
    <row r="15645" spans="13:13" ht="15" customHeight="1" x14ac:dyDescent="0.3">
      <c r="M15645" s="5"/>
    </row>
    <row r="15646" spans="13:13" ht="15" customHeight="1" x14ac:dyDescent="0.3">
      <c r="M15646" s="5"/>
    </row>
    <row r="15647" spans="13:13" ht="15" customHeight="1" x14ac:dyDescent="0.3">
      <c r="M15647" s="5"/>
    </row>
    <row r="15648" spans="13:13" ht="15" customHeight="1" x14ac:dyDescent="0.3">
      <c r="M15648" s="5"/>
    </row>
    <row r="15649" spans="13:13" ht="15" customHeight="1" x14ac:dyDescent="0.3">
      <c r="M15649" s="5"/>
    </row>
    <row r="15650" spans="13:13" ht="15" customHeight="1" x14ac:dyDescent="0.3">
      <c r="M15650" s="5"/>
    </row>
    <row r="15651" spans="13:13" ht="15" customHeight="1" x14ac:dyDescent="0.3">
      <c r="M15651" s="5"/>
    </row>
    <row r="15652" spans="13:13" ht="15" customHeight="1" x14ac:dyDescent="0.3">
      <c r="M15652" s="5"/>
    </row>
    <row r="15653" spans="13:13" ht="15" customHeight="1" x14ac:dyDescent="0.3">
      <c r="M15653" s="5"/>
    </row>
    <row r="15654" spans="13:13" ht="15" customHeight="1" x14ac:dyDescent="0.3">
      <c r="M15654" s="5"/>
    </row>
    <row r="15655" spans="13:13" ht="15" customHeight="1" x14ac:dyDescent="0.3">
      <c r="M15655" s="5"/>
    </row>
    <row r="15656" spans="13:13" ht="15" customHeight="1" x14ac:dyDescent="0.3">
      <c r="M15656" s="5"/>
    </row>
    <row r="15657" spans="13:13" ht="15" customHeight="1" x14ac:dyDescent="0.3">
      <c r="M15657" s="5"/>
    </row>
    <row r="15658" spans="13:13" ht="15" customHeight="1" x14ac:dyDescent="0.3">
      <c r="M15658" s="5"/>
    </row>
    <row r="15659" spans="13:13" ht="15" customHeight="1" x14ac:dyDescent="0.3">
      <c r="M15659" s="5"/>
    </row>
    <row r="15660" spans="13:13" ht="15" customHeight="1" x14ac:dyDescent="0.3">
      <c r="M15660" s="5"/>
    </row>
    <row r="15661" spans="13:13" ht="15" customHeight="1" x14ac:dyDescent="0.3">
      <c r="M15661" s="5"/>
    </row>
    <row r="15662" spans="13:13" ht="15" customHeight="1" x14ac:dyDescent="0.3">
      <c r="M15662" s="5"/>
    </row>
    <row r="15663" spans="13:13" ht="15" customHeight="1" x14ac:dyDescent="0.3">
      <c r="M15663" s="5"/>
    </row>
    <row r="15664" spans="13:13" ht="15" customHeight="1" x14ac:dyDescent="0.3">
      <c r="M15664" s="5"/>
    </row>
    <row r="15665" spans="13:13" ht="15" customHeight="1" x14ac:dyDescent="0.3">
      <c r="M15665" s="5"/>
    </row>
    <row r="15666" spans="13:13" ht="15" customHeight="1" x14ac:dyDescent="0.3">
      <c r="M15666" s="5"/>
    </row>
    <row r="15667" spans="13:13" ht="15" customHeight="1" x14ac:dyDescent="0.3">
      <c r="M15667" s="5"/>
    </row>
    <row r="15668" spans="13:13" ht="15" customHeight="1" x14ac:dyDescent="0.3">
      <c r="M15668" s="5"/>
    </row>
    <row r="15669" spans="13:13" ht="15" customHeight="1" x14ac:dyDescent="0.3">
      <c r="M15669" s="5"/>
    </row>
    <row r="15670" spans="13:13" ht="15" customHeight="1" x14ac:dyDescent="0.3">
      <c r="M15670" s="5"/>
    </row>
    <row r="15671" spans="13:13" ht="15" customHeight="1" x14ac:dyDescent="0.3">
      <c r="M15671" s="5"/>
    </row>
    <row r="15672" spans="13:13" ht="15" customHeight="1" x14ac:dyDescent="0.3">
      <c r="M15672" s="5"/>
    </row>
    <row r="15673" spans="13:13" ht="15" customHeight="1" x14ac:dyDescent="0.3">
      <c r="M15673" s="5"/>
    </row>
    <row r="15674" spans="13:13" ht="15" customHeight="1" x14ac:dyDescent="0.3">
      <c r="M15674" s="5"/>
    </row>
    <row r="15675" spans="13:13" ht="15" customHeight="1" x14ac:dyDescent="0.3">
      <c r="M15675" s="5"/>
    </row>
    <row r="15676" spans="13:13" ht="15" customHeight="1" x14ac:dyDescent="0.3">
      <c r="M15676" s="5"/>
    </row>
    <row r="15677" spans="13:13" ht="15" customHeight="1" x14ac:dyDescent="0.3">
      <c r="M15677" s="5"/>
    </row>
    <row r="15678" spans="13:13" ht="15" customHeight="1" x14ac:dyDescent="0.3">
      <c r="M15678" s="5"/>
    </row>
    <row r="15679" spans="13:13" ht="15" customHeight="1" x14ac:dyDescent="0.3">
      <c r="M15679" s="5"/>
    </row>
    <row r="15680" spans="13:13" ht="15" customHeight="1" x14ac:dyDescent="0.3">
      <c r="M15680" s="5"/>
    </row>
    <row r="15681" spans="13:13" ht="15" customHeight="1" x14ac:dyDescent="0.3">
      <c r="M15681" s="5"/>
    </row>
    <row r="15682" spans="13:13" ht="15" customHeight="1" x14ac:dyDescent="0.3">
      <c r="M15682" s="5"/>
    </row>
    <row r="15683" spans="13:13" ht="15" customHeight="1" x14ac:dyDescent="0.3">
      <c r="M15683" s="5"/>
    </row>
    <row r="15684" spans="13:13" ht="15" customHeight="1" x14ac:dyDescent="0.3">
      <c r="M15684" s="5"/>
    </row>
    <row r="15685" spans="13:13" ht="15" customHeight="1" x14ac:dyDescent="0.3">
      <c r="M15685" s="5"/>
    </row>
    <row r="15686" spans="13:13" ht="15" customHeight="1" x14ac:dyDescent="0.3">
      <c r="M15686" s="5"/>
    </row>
    <row r="15687" spans="13:13" ht="15" customHeight="1" x14ac:dyDescent="0.3">
      <c r="M15687" s="5"/>
    </row>
    <row r="15688" spans="13:13" ht="15" customHeight="1" x14ac:dyDescent="0.3">
      <c r="M15688" s="5"/>
    </row>
    <row r="15689" spans="13:13" ht="15" customHeight="1" x14ac:dyDescent="0.3">
      <c r="M15689" s="5"/>
    </row>
    <row r="15690" spans="13:13" ht="15" customHeight="1" x14ac:dyDescent="0.3">
      <c r="M15690" s="5"/>
    </row>
    <row r="15691" spans="13:13" ht="15" customHeight="1" x14ac:dyDescent="0.3">
      <c r="M15691" s="5"/>
    </row>
    <row r="15692" spans="13:13" ht="15" customHeight="1" x14ac:dyDescent="0.3">
      <c r="M15692" s="5"/>
    </row>
    <row r="15693" spans="13:13" ht="15" customHeight="1" x14ac:dyDescent="0.3">
      <c r="M15693" s="5"/>
    </row>
    <row r="15694" spans="13:13" ht="15" customHeight="1" x14ac:dyDescent="0.3">
      <c r="M15694" s="5"/>
    </row>
    <row r="15695" spans="13:13" ht="15" customHeight="1" x14ac:dyDescent="0.3">
      <c r="M15695" s="5"/>
    </row>
    <row r="15696" spans="13:13" ht="15" customHeight="1" x14ac:dyDescent="0.3">
      <c r="M15696" s="5"/>
    </row>
    <row r="15697" spans="13:13" ht="15" customHeight="1" x14ac:dyDescent="0.3">
      <c r="M15697" s="5"/>
    </row>
    <row r="15698" spans="13:13" ht="15" customHeight="1" x14ac:dyDescent="0.3">
      <c r="M15698" s="5"/>
    </row>
    <row r="15699" spans="13:13" ht="15" customHeight="1" x14ac:dyDescent="0.3">
      <c r="M15699" s="5"/>
    </row>
    <row r="15700" spans="13:13" ht="15" customHeight="1" x14ac:dyDescent="0.3">
      <c r="M15700" s="5"/>
    </row>
    <row r="15701" spans="13:13" ht="15" customHeight="1" x14ac:dyDescent="0.3">
      <c r="M15701" s="5"/>
    </row>
    <row r="15702" spans="13:13" ht="15" customHeight="1" x14ac:dyDescent="0.3">
      <c r="M15702" s="5"/>
    </row>
    <row r="15703" spans="13:13" ht="15" customHeight="1" x14ac:dyDescent="0.3">
      <c r="M15703" s="5"/>
    </row>
    <row r="15704" spans="13:13" ht="15" customHeight="1" x14ac:dyDescent="0.3">
      <c r="M15704" s="5"/>
    </row>
    <row r="15705" spans="13:13" ht="15" customHeight="1" x14ac:dyDescent="0.3">
      <c r="M15705" s="5"/>
    </row>
    <row r="15706" spans="13:13" ht="15" customHeight="1" x14ac:dyDescent="0.3">
      <c r="M15706" s="5"/>
    </row>
    <row r="15707" spans="13:13" ht="15" customHeight="1" x14ac:dyDescent="0.3">
      <c r="M15707" s="5"/>
    </row>
    <row r="15708" spans="13:13" ht="15" customHeight="1" x14ac:dyDescent="0.3">
      <c r="M15708" s="5"/>
    </row>
    <row r="15709" spans="13:13" ht="15" customHeight="1" x14ac:dyDescent="0.3">
      <c r="M15709" s="5"/>
    </row>
    <row r="15710" spans="13:13" ht="15" customHeight="1" x14ac:dyDescent="0.3">
      <c r="M15710" s="5"/>
    </row>
    <row r="15711" spans="13:13" ht="15" customHeight="1" x14ac:dyDescent="0.3">
      <c r="M15711" s="5"/>
    </row>
    <row r="15712" spans="13:13" ht="15" customHeight="1" x14ac:dyDescent="0.3">
      <c r="M15712" s="5"/>
    </row>
    <row r="15713" spans="13:13" ht="15" customHeight="1" x14ac:dyDescent="0.3">
      <c r="M15713" s="5"/>
    </row>
    <row r="15714" spans="13:13" ht="15" customHeight="1" x14ac:dyDescent="0.3">
      <c r="M15714" s="5"/>
    </row>
    <row r="15715" spans="13:13" ht="15" customHeight="1" x14ac:dyDescent="0.3">
      <c r="M15715" s="5"/>
    </row>
    <row r="15716" spans="13:13" ht="15" customHeight="1" x14ac:dyDescent="0.3">
      <c r="M15716" s="5"/>
    </row>
    <row r="15717" spans="13:13" ht="15" customHeight="1" x14ac:dyDescent="0.3">
      <c r="M15717" s="5"/>
    </row>
    <row r="15718" spans="13:13" ht="15" customHeight="1" x14ac:dyDescent="0.3">
      <c r="M15718" s="5"/>
    </row>
    <row r="15719" spans="13:13" ht="15" customHeight="1" x14ac:dyDescent="0.3">
      <c r="M15719" s="5"/>
    </row>
    <row r="15720" spans="13:13" ht="15" customHeight="1" x14ac:dyDescent="0.3">
      <c r="M15720" s="5"/>
    </row>
    <row r="15721" spans="13:13" ht="15" customHeight="1" x14ac:dyDescent="0.3">
      <c r="M15721" s="5"/>
    </row>
    <row r="15722" spans="13:13" ht="15" customHeight="1" x14ac:dyDescent="0.3">
      <c r="M15722" s="5"/>
    </row>
    <row r="15723" spans="13:13" ht="15" customHeight="1" x14ac:dyDescent="0.3">
      <c r="M15723" s="5"/>
    </row>
    <row r="15724" spans="13:13" ht="15" customHeight="1" x14ac:dyDescent="0.3">
      <c r="M15724" s="5"/>
    </row>
    <row r="15725" spans="13:13" ht="15" customHeight="1" x14ac:dyDescent="0.3">
      <c r="M15725" s="5"/>
    </row>
    <row r="15726" spans="13:13" ht="15" customHeight="1" x14ac:dyDescent="0.3">
      <c r="M15726" s="5"/>
    </row>
    <row r="15727" spans="13:13" ht="15" customHeight="1" x14ac:dyDescent="0.3">
      <c r="M15727" s="5"/>
    </row>
    <row r="15728" spans="13:13" ht="15" customHeight="1" x14ac:dyDescent="0.3">
      <c r="M15728" s="5"/>
    </row>
    <row r="15729" spans="13:13" ht="15" customHeight="1" x14ac:dyDescent="0.3">
      <c r="M15729" s="5"/>
    </row>
    <row r="15730" spans="13:13" ht="15" customHeight="1" x14ac:dyDescent="0.3">
      <c r="M15730" s="5"/>
    </row>
    <row r="15731" spans="13:13" ht="15" customHeight="1" x14ac:dyDescent="0.3">
      <c r="M15731" s="5"/>
    </row>
    <row r="15732" spans="13:13" ht="15" customHeight="1" x14ac:dyDescent="0.3">
      <c r="M15732" s="5"/>
    </row>
    <row r="15733" spans="13:13" ht="15" customHeight="1" x14ac:dyDescent="0.3">
      <c r="M15733" s="5"/>
    </row>
    <row r="15734" spans="13:13" ht="15" customHeight="1" x14ac:dyDescent="0.3">
      <c r="M15734" s="5"/>
    </row>
    <row r="15735" spans="13:13" ht="15" customHeight="1" x14ac:dyDescent="0.3">
      <c r="M15735" s="5"/>
    </row>
    <row r="15736" spans="13:13" ht="15" customHeight="1" x14ac:dyDescent="0.3">
      <c r="M15736" s="5"/>
    </row>
    <row r="15737" spans="13:13" ht="15" customHeight="1" x14ac:dyDescent="0.3">
      <c r="M15737" s="5"/>
    </row>
    <row r="15738" spans="13:13" ht="15" customHeight="1" x14ac:dyDescent="0.3">
      <c r="M15738" s="5"/>
    </row>
    <row r="15739" spans="13:13" ht="15" customHeight="1" x14ac:dyDescent="0.3">
      <c r="M15739" s="5"/>
    </row>
    <row r="15740" spans="13:13" ht="15" customHeight="1" x14ac:dyDescent="0.3">
      <c r="M15740" s="5"/>
    </row>
    <row r="15741" spans="13:13" ht="15" customHeight="1" x14ac:dyDescent="0.3">
      <c r="M15741" s="5"/>
    </row>
    <row r="15742" spans="13:13" ht="15" customHeight="1" x14ac:dyDescent="0.3">
      <c r="M15742" s="5"/>
    </row>
    <row r="15743" spans="13:13" ht="15" customHeight="1" x14ac:dyDescent="0.3">
      <c r="M15743" s="5"/>
    </row>
    <row r="15744" spans="13:13" ht="15" customHeight="1" x14ac:dyDescent="0.3">
      <c r="M15744" s="5"/>
    </row>
    <row r="15745" spans="13:13" ht="15" customHeight="1" x14ac:dyDescent="0.3">
      <c r="M15745" s="5"/>
    </row>
    <row r="15746" spans="13:13" ht="15" customHeight="1" x14ac:dyDescent="0.3">
      <c r="M15746" s="5"/>
    </row>
    <row r="15747" spans="13:13" ht="15" customHeight="1" x14ac:dyDescent="0.3">
      <c r="M15747" s="5"/>
    </row>
    <row r="15748" spans="13:13" ht="15" customHeight="1" x14ac:dyDescent="0.3">
      <c r="M15748" s="5"/>
    </row>
    <row r="15749" spans="13:13" ht="15" customHeight="1" x14ac:dyDescent="0.3">
      <c r="M15749" s="5"/>
    </row>
    <row r="15750" spans="13:13" ht="15" customHeight="1" x14ac:dyDescent="0.3">
      <c r="M15750" s="5"/>
    </row>
    <row r="15751" spans="13:13" ht="15" customHeight="1" x14ac:dyDescent="0.3">
      <c r="M15751" s="5"/>
    </row>
    <row r="15752" spans="13:13" ht="15" customHeight="1" x14ac:dyDescent="0.3">
      <c r="M15752" s="5"/>
    </row>
    <row r="15753" spans="13:13" ht="15" customHeight="1" x14ac:dyDescent="0.3">
      <c r="M15753" s="5"/>
    </row>
    <row r="15754" spans="13:13" ht="15" customHeight="1" x14ac:dyDescent="0.3">
      <c r="M15754" s="5"/>
    </row>
    <row r="15755" spans="13:13" ht="15" customHeight="1" x14ac:dyDescent="0.3">
      <c r="M15755" s="5"/>
    </row>
    <row r="15756" spans="13:13" ht="15" customHeight="1" x14ac:dyDescent="0.3">
      <c r="M15756" s="5"/>
    </row>
    <row r="15757" spans="13:13" ht="15" customHeight="1" x14ac:dyDescent="0.3">
      <c r="M15757" s="5"/>
    </row>
    <row r="15758" spans="13:13" ht="15" customHeight="1" x14ac:dyDescent="0.3">
      <c r="M15758" s="5"/>
    </row>
    <row r="15759" spans="13:13" ht="15" customHeight="1" x14ac:dyDescent="0.3">
      <c r="M15759" s="5"/>
    </row>
    <row r="15760" spans="13:13" ht="15" customHeight="1" x14ac:dyDescent="0.3">
      <c r="M15760" s="5"/>
    </row>
    <row r="15761" spans="13:13" ht="15" customHeight="1" x14ac:dyDescent="0.3">
      <c r="M15761" s="5"/>
    </row>
    <row r="15762" spans="13:13" ht="15" customHeight="1" x14ac:dyDescent="0.3">
      <c r="M15762" s="5"/>
    </row>
    <row r="15763" spans="13:13" ht="15" customHeight="1" x14ac:dyDescent="0.3">
      <c r="M15763" s="5"/>
    </row>
    <row r="15764" spans="13:13" ht="15" customHeight="1" x14ac:dyDescent="0.3">
      <c r="M15764" s="5"/>
    </row>
    <row r="15765" spans="13:13" ht="15" customHeight="1" x14ac:dyDescent="0.3">
      <c r="M15765" s="5"/>
    </row>
    <row r="15766" spans="13:13" ht="15" customHeight="1" x14ac:dyDescent="0.3">
      <c r="M15766" s="5"/>
    </row>
    <row r="15767" spans="13:13" ht="15" customHeight="1" x14ac:dyDescent="0.3">
      <c r="M15767" s="5"/>
    </row>
    <row r="15768" spans="13:13" ht="15" customHeight="1" x14ac:dyDescent="0.3">
      <c r="M15768" s="5"/>
    </row>
    <row r="15769" spans="13:13" ht="15" customHeight="1" x14ac:dyDescent="0.3">
      <c r="M15769" s="5"/>
    </row>
    <row r="15770" spans="13:13" ht="15" customHeight="1" x14ac:dyDescent="0.3">
      <c r="M15770" s="5"/>
    </row>
    <row r="15771" spans="13:13" ht="15" customHeight="1" x14ac:dyDescent="0.3">
      <c r="M15771" s="5"/>
    </row>
    <row r="15772" spans="13:13" ht="15" customHeight="1" x14ac:dyDescent="0.3">
      <c r="M15772" s="5"/>
    </row>
    <row r="15773" spans="13:13" ht="15" customHeight="1" x14ac:dyDescent="0.3">
      <c r="M15773" s="5"/>
    </row>
    <row r="15774" spans="13:13" ht="15" customHeight="1" x14ac:dyDescent="0.3">
      <c r="M15774" s="5"/>
    </row>
    <row r="15775" spans="13:13" ht="15" customHeight="1" x14ac:dyDescent="0.3">
      <c r="M15775" s="5"/>
    </row>
    <row r="15776" spans="13:13" ht="15" customHeight="1" x14ac:dyDescent="0.3">
      <c r="M15776" s="5"/>
    </row>
    <row r="15777" spans="13:13" ht="15" customHeight="1" x14ac:dyDescent="0.3">
      <c r="M15777" s="5"/>
    </row>
    <row r="15778" spans="13:13" ht="15" customHeight="1" x14ac:dyDescent="0.3">
      <c r="M15778" s="5"/>
    </row>
    <row r="15779" spans="13:13" ht="15" customHeight="1" x14ac:dyDescent="0.3">
      <c r="M15779" s="5"/>
    </row>
    <row r="15780" spans="13:13" ht="15" customHeight="1" x14ac:dyDescent="0.3">
      <c r="M15780" s="5"/>
    </row>
    <row r="15781" spans="13:13" ht="15" customHeight="1" x14ac:dyDescent="0.3">
      <c r="M15781" s="5"/>
    </row>
    <row r="15782" spans="13:13" ht="15" customHeight="1" x14ac:dyDescent="0.3">
      <c r="M15782" s="5"/>
    </row>
    <row r="15783" spans="13:13" ht="15" customHeight="1" x14ac:dyDescent="0.3">
      <c r="M15783" s="5"/>
    </row>
    <row r="15784" spans="13:13" ht="15" customHeight="1" x14ac:dyDescent="0.3">
      <c r="M15784" s="5"/>
    </row>
    <row r="15785" spans="13:13" ht="15" customHeight="1" x14ac:dyDescent="0.3">
      <c r="M15785" s="5"/>
    </row>
    <row r="15786" spans="13:13" ht="15" customHeight="1" x14ac:dyDescent="0.3">
      <c r="M15786" s="5"/>
    </row>
    <row r="15787" spans="13:13" ht="15" customHeight="1" x14ac:dyDescent="0.3">
      <c r="M15787" s="5"/>
    </row>
    <row r="15788" spans="13:13" ht="15" customHeight="1" x14ac:dyDescent="0.3">
      <c r="M15788" s="5"/>
    </row>
    <row r="15789" spans="13:13" ht="15" customHeight="1" x14ac:dyDescent="0.3">
      <c r="M15789" s="5"/>
    </row>
    <row r="15790" spans="13:13" ht="15" customHeight="1" x14ac:dyDescent="0.3">
      <c r="M15790" s="5"/>
    </row>
    <row r="15791" spans="13:13" ht="15" customHeight="1" x14ac:dyDescent="0.3">
      <c r="M15791" s="5"/>
    </row>
    <row r="15792" spans="13:13" ht="15" customHeight="1" x14ac:dyDescent="0.3">
      <c r="M15792" s="5"/>
    </row>
    <row r="15793" spans="13:13" ht="15" customHeight="1" x14ac:dyDescent="0.3">
      <c r="M15793" s="5"/>
    </row>
    <row r="15794" spans="13:13" ht="15" customHeight="1" x14ac:dyDescent="0.3">
      <c r="M15794" s="5"/>
    </row>
    <row r="15795" spans="13:13" ht="15" customHeight="1" x14ac:dyDescent="0.3">
      <c r="M15795" s="5"/>
    </row>
    <row r="15796" spans="13:13" ht="15" customHeight="1" x14ac:dyDescent="0.3">
      <c r="M15796" s="5"/>
    </row>
    <row r="15797" spans="13:13" ht="15" customHeight="1" x14ac:dyDescent="0.3">
      <c r="M15797" s="5"/>
    </row>
    <row r="15798" spans="13:13" ht="15" customHeight="1" x14ac:dyDescent="0.3">
      <c r="M15798" s="5"/>
    </row>
    <row r="15799" spans="13:13" ht="15" customHeight="1" x14ac:dyDescent="0.3">
      <c r="M15799" s="5"/>
    </row>
    <row r="15800" spans="13:13" ht="15" customHeight="1" x14ac:dyDescent="0.3">
      <c r="M15800" s="5"/>
    </row>
    <row r="15801" spans="13:13" ht="15" customHeight="1" x14ac:dyDescent="0.3">
      <c r="M15801" s="5"/>
    </row>
    <row r="15802" spans="13:13" ht="15" customHeight="1" x14ac:dyDescent="0.3">
      <c r="M15802" s="5"/>
    </row>
    <row r="15803" spans="13:13" ht="15" customHeight="1" x14ac:dyDescent="0.3">
      <c r="M15803" s="5"/>
    </row>
    <row r="15804" spans="13:13" ht="15" customHeight="1" x14ac:dyDescent="0.3">
      <c r="M15804" s="5"/>
    </row>
    <row r="15805" spans="13:13" ht="15" customHeight="1" x14ac:dyDescent="0.3">
      <c r="M15805" s="5"/>
    </row>
    <row r="15806" spans="13:13" ht="15" customHeight="1" x14ac:dyDescent="0.3">
      <c r="M15806" s="5"/>
    </row>
    <row r="15807" spans="13:13" ht="15" customHeight="1" x14ac:dyDescent="0.3">
      <c r="M15807" s="5"/>
    </row>
    <row r="15808" spans="13:13" ht="15" customHeight="1" x14ac:dyDescent="0.3">
      <c r="M15808" s="5"/>
    </row>
    <row r="15809" spans="13:13" ht="15" customHeight="1" x14ac:dyDescent="0.3">
      <c r="M15809" s="5"/>
    </row>
    <row r="15810" spans="13:13" ht="15" customHeight="1" x14ac:dyDescent="0.3">
      <c r="M15810" s="5"/>
    </row>
    <row r="15811" spans="13:13" ht="15" customHeight="1" x14ac:dyDescent="0.3">
      <c r="M15811" s="5"/>
    </row>
    <row r="15812" spans="13:13" ht="15" customHeight="1" x14ac:dyDescent="0.3">
      <c r="M15812" s="5"/>
    </row>
    <row r="15813" spans="13:13" ht="15" customHeight="1" x14ac:dyDescent="0.3">
      <c r="M15813" s="5"/>
    </row>
    <row r="15814" spans="13:13" ht="15" customHeight="1" x14ac:dyDescent="0.3">
      <c r="M15814" s="5"/>
    </row>
    <row r="15815" spans="13:13" ht="15" customHeight="1" x14ac:dyDescent="0.3">
      <c r="M15815" s="5"/>
    </row>
    <row r="15816" spans="13:13" ht="15" customHeight="1" x14ac:dyDescent="0.3">
      <c r="M15816" s="5"/>
    </row>
    <row r="15817" spans="13:13" ht="15" customHeight="1" x14ac:dyDescent="0.3">
      <c r="M15817" s="5"/>
    </row>
    <row r="15818" spans="13:13" ht="15" customHeight="1" x14ac:dyDescent="0.3">
      <c r="M15818" s="5"/>
    </row>
    <row r="15819" spans="13:13" ht="15" customHeight="1" x14ac:dyDescent="0.3">
      <c r="M15819" s="5"/>
    </row>
    <row r="15820" spans="13:13" ht="15" customHeight="1" x14ac:dyDescent="0.3">
      <c r="M15820" s="5"/>
    </row>
    <row r="15821" spans="13:13" ht="15" customHeight="1" x14ac:dyDescent="0.3">
      <c r="M15821" s="5"/>
    </row>
    <row r="15822" spans="13:13" ht="15" customHeight="1" x14ac:dyDescent="0.3">
      <c r="M15822" s="5"/>
    </row>
    <row r="15823" spans="13:13" ht="15" customHeight="1" x14ac:dyDescent="0.3">
      <c r="M15823" s="5"/>
    </row>
    <row r="15824" spans="13:13" ht="15" customHeight="1" x14ac:dyDescent="0.3">
      <c r="M15824" s="5"/>
    </row>
    <row r="15825" spans="13:13" ht="15" customHeight="1" x14ac:dyDescent="0.3">
      <c r="M15825" s="5"/>
    </row>
    <row r="15826" spans="13:13" ht="15" customHeight="1" x14ac:dyDescent="0.3">
      <c r="M15826" s="5"/>
    </row>
    <row r="15827" spans="13:13" ht="15" customHeight="1" x14ac:dyDescent="0.3">
      <c r="M15827" s="5"/>
    </row>
    <row r="15828" spans="13:13" ht="15" customHeight="1" x14ac:dyDescent="0.3">
      <c r="M15828" s="5"/>
    </row>
    <row r="15829" spans="13:13" ht="15" customHeight="1" x14ac:dyDescent="0.3">
      <c r="M15829" s="5"/>
    </row>
    <row r="15830" spans="13:13" ht="15" customHeight="1" x14ac:dyDescent="0.3">
      <c r="M15830" s="5"/>
    </row>
    <row r="15831" spans="13:13" ht="15" customHeight="1" x14ac:dyDescent="0.3">
      <c r="M15831" s="5"/>
    </row>
    <row r="15832" spans="13:13" ht="15" customHeight="1" x14ac:dyDescent="0.3">
      <c r="M15832" s="5"/>
    </row>
    <row r="15833" spans="13:13" ht="15" customHeight="1" x14ac:dyDescent="0.3">
      <c r="M15833" s="5"/>
    </row>
    <row r="15834" spans="13:13" ht="15" customHeight="1" x14ac:dyDescent="0.3">
      <c r="M15834" s="5"/>
    </row>
    <row r="15835" spans="13:13" ht="15" customHeight="1" x14ac:dyDescent="0.3">
      <c r="M15835" s="5"/>
    </row>
    <row r="15836" spans="13:13" ht="15" customHeight="1" x14ac:dyDescent="0.3">
      <c r="M15836" s="5"/>
    </row>
    <row r="15837" spans="13:13" ht="15" customHeight="1" x14ac:dyDescent="0.3">
      <c r="M15837" s="5"/>
    </row>
    <row r="15838" spans="13:13" ht="15" customHeight="1" x14ac:dyDescent="0.3">
      <c r="M15838" s="5"/>
    </row>
    <row r="15839" spans="13:13" ht="15" customHeight="1" x14ac:dyDescent="0.3">
      <c r="M15839" s="5"/>
    </row>
    <row r="15840" spans="13:13" ht="15" customHeight="1" x14ac:dyDescent="0.3">
      <c r="M15840" s="5"/>
    </row>
    <row r="15841" spans="13:13" ht="15" customHeight="1" x14ac:dyDescent="0.3">
      <c r="M15841" s="5"/>
    </row>
    <row r="15842" spans="13:13" ht="15" customHeight="1" x14ac:dyDescent="0.3">
      <c r="M15842" s="5"/>
    </row>
    <row r="15843" spans="13:13" ht="15" customHeight="1" x14ac:dyDescent="0.3">
      <c r="M15843" s="5"/>
    </row>
    <row r="15844" spans="13:13" ht="15" customHeight="1" x14ac:dyDescent="0.3">
      <c r="M15844" s="5"/>
    </row>
    <row r="15845" spans="13:13" ht="15" customHeight="1" x14ac:dyDescent="0.3">
      <c r="M15845" s="5"/>
    </row>
    <row r="15846" spans="13:13" ht="15" customHeight="1" x14ac:dyDescent="0.3">
      <c r="M15846" s="5"/>
    </row>
    <row r="15847" spans="13:13" ht="15" customHeight="1" x14ac:dyDescent="0.3">
      <c r="M15847" s="5"/>
    </row>
    <row r="15848" spans="13:13" ht="15" customHeight="1" x14ac:dyDescent="0.3">
      <c r="M15848" s="5"/>
    </row>
    <row r="15849" spans="13:13" ht="15" customHeight="1" x14ac:dyDescent="0.3">
      <c r="M15849" s="5"/>
    </row>
    <row r="15850" spans="13:13" ht="15" customHeight="1" x14ac:dyDescent="0.3">
      <c r="M15850" s="5"/>
    </row>
    <row r="15851" spans="13:13" ht="15" customHeight="1" x14ac:dyDescent="0.3">
      <c r="M15851" s="5"/>
    </row>
    <row r="15852" spans="13:13" ht="15" customHeight="1" x14ac:dyDescent="0.3">
      <c r="M15852" s="5"/>
    </row>
    <row r="15853" spans="13:13" ht="15" customHeight="1" x14ac:dyDescent="0.3">
      <c r="M15853" s="5"/>
    </row>
    <row r="15854" spans="13:13" ht="15" customHeight="1" x14ac:dyDescent="0.3">
      <c r="M15854" s="5"/>
    </row>
    <row r="15855" spans="13:13" ht="15" customHeight="1" x14ac:dyDescent="0.3">
      <c r="M15855" s="5"/>
    </row>
    <row r="15856" spans="13:13" ht="15" customHeight="1" x14ac:dyDescent="0.3">
      <c r="M15856" s="5"/>
    </row>
    <row r="15857" spans="13:13" ht="15" customHeight="1" x14ac:dyDescent="0.3">
      <c r="M15857" s="5"/>
    </row>
    <row r="15858" spans="13:13" ht="15" customHeight="1" x14ac:dyDescent="0.3">
      <c r="M15858" s="5"/>
    </row>
    <row r="15859" spans="13:13" ht="15" customHeight="1" x14ac:dyDescent="0.3">
      <c r="M15859" s="5"/>
    </row>
    <row r="15860" spans="13:13" ht="15" customHeight="1" x14ac:dyDescent="0.3">
      <c r="M15860" s="5"/>
    </row>
    <row r="15861" spans="13:13" ht="15" customHeight="1" x14ac:dyDescent="0.3">
      <c r="M15861" s="5"/>
    </row>
    <row r="15862" spans="13:13" ht="15" customHeight="1" x14ac:dyDescent="0.3">
      <c r="M15862" s="5"/>
    </row>
    <row r="15863" spans="13:13" ht="15" customHeight="1" x14ac:dyDescent="0.3">
      <c r="M15863" s="5"/>
    </row>
    <row r="15864" spans="13:13" ht="15" customHeight="1" x14ac:dyDescent="0.3">
      <c r="M15864" s="5"/>
    </row>
    <row r="15865" spans="13:13" ht="15" customHeight="1" x14ac:dyDescent="0.3">
      <c r="M15865" s="5"/>
    </row>
    <row r="15866" spans="13:13" ht="15" customHeight="1" x14ac:dyDescent="0.3">
      <c r="M15866" s="5"/>
    </row>
    <row r="15867" spans="13:13" ht="15" customHeight="1" x14ac:dyDescent="0.3">
      <c r="M15867" s="5"/>
    </row>
    <row r="15868" spans="13:13" ht="15" customHeight="1" x14ac:dyDescent="0.3">
      <c r="M15868" s="5"/>
    </row>
    <row r="15869" spans="13:13" ht="15" customHeight="1" x14ac:dyDescent="0.3">
      <c r="M15869" s="5"/>
    </row>
    <row r="15870" spans="13:13" ht="15" customHeight="1" x14ac:dyDescent="0.3">
      <c r="M15870" s="5"/>
    </row>
    <row r="15871" spans="13:13" ht="15" customHeight="1" x14ac:dyDescent="0.3">
      <c r="M15871" s="5"/>
    </row>
    <row r="15872" spans="13:13" ht="15" customHeight="1" x14ac:dyDescent="0.3">
      <c r="M15872" s="5"/>
    </row>
    <row r="15873" spans="13:13" ht="15" customHeight="1" x14ac:dyDescent="0.3">
      <c r="M15873" s="5"/>
    </row>
    <row r="15874" spans="13:13" ht="15" customHeight="1" x14ac:dyDescent="0.3">
      <c r="M15874" s="5"/>
    </row>
    <row r="15875" spans="13:13" ht="15" customHeight="1" x14ac:dyDescent="0.3">
      <c r="M15875" s="5"/>
    </row>
    <row r="15876" spans="13:13" ht="15" customHeight="1" x14ac:dyDescent="0.3">
      <c r="M15876" s="5"/>
    </row>
    <row r="15877" spans="13:13" ht="15" customHeight="1" x14ac:dyDescent="0.3">
      <c r="M15877" s="5"/>
    </row>
    <row r="15878" spans="13:13" ht="15" customHeight="1" x14ac:dyDescent="0.3">
      <c r="M15878" s="5"/>
    </row>
    <row r="15879" spans="13:13" ht="15" customHeight="1" x14ac:dyDescent="0.3">
      <c r="M15879" s="5"/>
    </row>
    <row r="15880" spans="13:13" ht="15" customHeight="1" x14ac:dyDescent="0.3">
      <c r="M15880" s="5"/>
    </row>
    <row r="15881" spans="13:13" ht="15" customHeight="1" x14ac:dyDescent="0.3">
      <c r="M15881" s="5"/>
    </row>
    <row r="15882" spans="13:13" ht="15" customHeight="1" x14ac:dyDescent="0.3">
      <c r="M15882" s="5"/>
    </row>
    <row r="15883" spans="13:13" ht="15" customHeight="1" x14ac:dyDescent="0.3">
      <c r="M15883" s="5"/>
    </row>
    <row r="15884" spans="13:13" ht="15" customHeight="1" x14ac:dyDescent="0.3">
      <c r="M15884" s="5"/>
    </row>
    <row r="15885" spans="13:13" ht="15" customHeight="1" x14ac:dyDescent="0.3">
      <c r="M15885" s="5"/>
    </row>
    <row r="15886" spans="13:13" ht="15" customHeight="1" x14ac:dyDescent="0.3">
      <c r="M15886" s="5"/>
    </row>
    <row r="15887" spans="13:13" ht="15" customHeight="1" x14ac:dyDescent="0.3">
      <c r="M15887" s="5"/>
    </row>
    <row r="15888" spans="13:13" ht="15" customHeight="1" x14ac:dyDescent="0.3">
      <c r="M15888" s="5"/>
    </row>
    <row r="15889" spans="13:13" ht="15" customHeight="1" x14ac:dyDescent="0.3">
      <c r="M15889" s="5"/>
    </row>
    <row r="15890" spans="13:13" ht="15" customHeight="1" x14ac:dyDescent="0.3">
      <c r="M15890" s="5"/>
    </row>
    <row r="15891" spans="13:13" ht="15" customHeight="1" x14ac:dyDescent="0.3">
      <c r="M15891" s="5"/>
    </row>
    <row r="15892" spans="13:13" ht="15" customHeight="1" x14ac:dyDescent="0.3">
      <c r="M15892" s="5"/>
    </row>
    <row r="15893" spans="13:13" ht="15" customHeight="1" x14ac:dyDescent="0.3">
      <c r="M15893" s="5"/>
    </row>
    <row r="15894" spans="13:13" ht="15" customHeight="1" x14ac:dyDescent="0.3">
      <c r="M15894" s="5"/>
    </row>
    <row r="15895" spans="13:13" ht="15" customHeight="1" x14ac:dyDescent="0.3">
      <c r="M15895" s="5"/>
    </row>
    <row r="15896" spans="13:13" ht="15" customHeight="1" x14ac:dyDescent="0.3">
      <c r="M15896" s="5"/>
    </row>
    <row r="15897" spans="13:13" ht="15" customHeight="1" x14ac:dyDescent="0.3">
      <c r="M15897" s="5"/>
    </row>
    <row r="15898" spans="13:13" ht="15" customHeight="1" x14ac:dyDescent="0.3">
      <c r="M15898" s="5"/>
    </row>
    <row r="15899" spans="13:13" ht="15" customHeight="1" x14ac:dyDescent="0.3">
      <c r="M15899" s="5"/>
    </row>
    <row r="15900" spans="13:13" ht="15" customHeight="1" x14ac:dyDescent="0.3">
      <c r="M15900" s="5"/>
    </row>
    <row r="15901" spans="13:13" ht="15" customHeight="1" x14ac:dyDescent="0.3">
      <c r="M15901" s="5"/>
    </row>
    <row r="15902" spans="13:13" ht="15" customHeight="1" x14ac:dyDescent="0.3">
      <c r="M15902" s="5"/>
    </row>
    <row r="15903" spans="13:13" ht="15" customHeight="1" x14ac:dyDescent="0.3">
      <c r="M15903" s="5"/>
    </row>
    <row r="15904" spans="13:13" ht="15" customHeight="1" x14ac:dyDescent="0.3">
      <c r="M15904" s="5"/>
    </row>
    <row r="15905" spans="13:13" ht="15" customHeight="1" x14ac:dyDescent="0.3">
      <c r="M15905" s="5"/>
    </row>
    <row r="15906" spans="13:13" ht="15" customHeight="1" x14ac:dyDescent="0.3">
      <c r="M15906" s="5"/>
    </row>
    <row r="15907" spans="13:13" ht="15" customHeight="1" x14ac:dyDescent="0.3">
      <c r="M15907" s="5"/>
    </row>
    <row r="15908" spans="13:13" ht="15" customHeight="1" x14ac:dyDescent="0.3">
      <c r="M15908" s="5"/>
    </row>
    <row r="15909" spans="13:13" ht="15" customHeight="1" x14ac:dyDescent="0.3">
      <c r="M15909" s="5"/>
    </row>
    <row r="15910" spans="13:13" ht="15" customHeight="1" x14ac:dyDescent="0.3">
      <c r="M15910" s="5"/>
    </row>
    <row r="15911" spans="13:13" ht="15" customHeight="1" x14ac:dyDescent="0.3">
      <c r="M15911" s="5"/>
    </row>
    <row r="15912" spans="13:13" ht="15" customHeight="1" x14ac:dyDescent="0.3">
      <c r="M15912" s="5"/>
    </row>
    <row r="15913" spans="13:13" ht="15" customHeight="1" x14ac:dyDescent="0.3">
      <c r="M15913" s="5"/>
    </row>
    <row r="15914" spans="13:13" ht="15" customHeight="1" x14ac:dyDescent="0.3">
      <c r="M15914" s="5"/>
    </row>
    <row r="15915" spans="13:13" ht="15" customHeight="1" x14ac:dyDescent="0.3">
      <c r="M15915" s="5"/>
    </row>
    <row r="15916" spans="13:13" ht="15" customHeight="1" x14ac:dyDescent="0.3">
      <c r="M15916" s="5"/>
    </row>
    <row r="15917" spans="13:13" ht="15" customHeight="1" x14ac:dyDescent="0.3">
      <c r="M15917" s="5"/>
    </row>
    <row r="15918" spans="13:13" ht="15" customHeight="1" x14ac:dyDescent="0.3">
      <c r="M15918" s="5"/>
    </row>
    <row r="15919" spans="13:13" ht="15" customHeight="1" x14ac:dyDescent="0.3">
      <c r="M15919" s="5"/>
    </row>
    <row r="15920" spans="13:13" ht="15" customHeight="1" x14ac:dyDescent="0.3">
      <c r="M15920" s="5"/>
    </row>
    <row r="15921" spans="13:13" ht="15" customHeight="1" x14ac:dyDescent="0.3">
      <c r="M15921" s="5"/>
    </row>
    <row r="15922" spans="13:13" ht="15" customHeight="1" x14ac:dyDescent="0.3">
      <c r="M15922" s="5"/>
    </row>
    <row r="15923" spans="13:13" ht="15" customHeight="1" x14ac:dyDescent="0.3">
      <c r="M15923" s="5"/>
    </row>
    <row r="15924" spans="13:13" ht="15" customHeight="1" x14ac:dyDescent="0.3">
      <c r="M15924" s="5"/>
    </row>
    <row r="15925" spans="13:13" ht="15" customHeight="1" x14ac:dyDescent="0.3">
      <c r="M15925" s="5"/>
    </row>
    <row r="15926" spans="13:13" ht="15" customHeight="1" x14ac:dyDescent="0.3">
      <c r="M15926" s="5"/>
    </row>
    <row r="15927" spans="13:13" ht="15" customHeight="1" x14ac:dyDescent="0.3">
      <c r="M15927" s="5"/>
    </row>
    <row r="15928" spans="13:13" ht="15" customHeight="1" x14ac:dyDescent="0.3">
      <c r="M15928" s="5"/>
    </row>
    <row r="15929" spans="13:13" ht="15" customHeight="1" x14ac:dyDescent="0.3">
      <c r="M15929" s="5"/>
    </row>
    <row r="15930" spans="13:13" ht="15" customHeight="1" x14ac:dyDescent="0.3">
      <c r="M15930" s="5"/>
    </row>
    <row r="15931" spans="13:13" ht="15" customHeight="1" x14ac:dyDescent="0.3">
      <c r="M15931" s="5"/>
    </row>
    <row r="15932" spans="13:13" ht="15" customHeight="1" x14ac:dyDescent="0.3">
      <c r="M15932" s="5"/>
    </row>
    <row r="15933" spans="13:13" ht="15" customHeight="1" x14ac:dyDescent="0.3">
      <c r="M15933" s="5"/>
    </row>
    <row r="15934" spans="13:13" ht="15" customHeight="1" x14ac:dyDescent="0.3">
      <c r="M15934" s="5"/>
    </row>
    <row r="15935" spans="13:13" ht="15" customHeight="1" x14ac:dyDescent="0.3">
      <c r="M15935" s="5"/>
    </row>
    <row r="15936" spans="13:13" ht="15" customHeight="1" x14ac:dyDescent="0.3">
      <c r="M15936" s="5"/>
    </row>
    <row r="15937" spans="13:13" ht="15" customHeight="1" x14ac:dyDescent="0.3">
      <c r="M15937" s="5"/>
    </row>
    <row r="15938" spans="13:13" ht="15" customHeight="1" x14ac:dyDescent="0.3">
      <c r="M15938" s="5"/>
    </row>
    <row r="15939" spans="13:13" ht="15" customHeight="1" x14ac:dyDescent="0.3">
      <c r="M15939" s="5"/>
    </row>
    <row r="15940" spans="13:13" ht="15" customHeight="1" x14ac:dyDescent="0.3">
      <c r="M15940" s="5"/>
    </row>
    <row r="15941" spans="13:13" ht="15" customHeight="1" x14ac:dyDescent="0.3">
      <c r="M15941" s="5"/>
    </row>
    <row r="15942" spans="13:13" ht="15" customHeight="1" x14ac:dyDescent="0.3">
      <c r="M15942" s="5"/>
    </row>
    <row r="15943" spans="13:13" ht="15" customHeight="1" x14ac:dyDescent="0.3">
      <c r="M15943" s="5"/>
    </row>
    <row r="15944" spans="13:13" ht="15" customHeight="1" x14ac:dyDescent="0.3">
      <c r="M15944" s="5"/>
    </row>
    <row r="15945" spans="13:13" ht="15" customHeight="1" x14ac:dyDescent="0.3">
      <c r="M15945" s="5"/>
    </row>
    <row r="15946" spans="13:13" ht="15" customHeight="1" x14ac:dyDescent="0.3">
      <c r="M15946" s="5"/>
    </row>
    <row r="15947" spans="13:13" ht="15" customHeight="1" x14ac:dyDescent="0.3">
      <c r="M15947" s="5"/>
    </row>
    <row r="15948" spans="13:13" ht="15" customHeight="1" x14ac:dyDescent="0.3">
      <c r="M15948" s="5"/>
    </row>
    <row r="15949" spans="13:13" ht="15" customHeight="1" x14ac:dyDescent="0.3">
      <c r="M15949" s="5"/>
    </row>
    <row r="15950" spans="13:13" ht="15" customHeight="1" x14ac:dyDescent="0.3">
      <c r="M15950" s="5"/>
    </row>
    <row r="15951" spans="13:13" ht="15" customHeight="1" x14ac:dyDescent="0.3">
      <c r="M15951" s="5"/>
    </row>
    <row r="15952" spans="13:13" ht="15" customHeight="1" x14ac:dyDescent="0.3">
      <c r="M15952" s="5"/>
    </row>
    <row r="15953" spans="13:13" ht="15" customHeight="1" x14ac:dyDescent="0.3">
      <c r="M15953" s="5"/>
    </row>
    <row r="15954" spans="13:13" ht="15" customHeight="1" x14ac:dyDescent="0.3">
      <c r="M15954" s="5"/>
    </row>
    <row r="15955" spans="13:13" ht="15" customHeight="1" x14ac:dyDescent="0.3">
      <c r="M15955" s="5"/>
    </row>
    <row r="15956" spans="13:13" ht="15" customHeight="1" x14ac:dyDescent="0.3">
      <c r="M15956" s="5"/>
    </row>
    <row r="15957" spans="13:13" ht="15" customHeight="1" x14ac:dyDescent="0.3">
      <c r="M15957" s="5"/>
    </row>
    <row r="15958" spans="13:13" ht="15" customHeight="1" x14ac:dyDescent="0.3">
      <c r="M15958" s="5"/>
    </row>
    <row r="15959" spans="13:13" ht="15" customHeight="1" x14ac:dyDescent="0.3">
      <c r="M15959" s="5"/>
    </row>
    <row r="15960" spans="13:13" ht="15" customHeight="1" x14ac:dyDescent="0.3">
      <c r="M15960" s="5"/>
    </row>
    <row r="15961" spans="13:13" ht="15" customHeight="1" x14ac:dyDescent="0.3">
      <c r="M15961" s="5"/>
    </row>
    <row r="15962" spans="13:13" ht="15" customHeight="1" x14ac:dyDescent="0.3">
      <c r="M15962" s="5"/>
    </row>
    <row r="15963" spans="13:13" ht="15" customHeight="1" x14ac:dyDescent="0.3">
      <c r="M15963" s="5"/>
    </row>
    <row r="15964" spans="13:13" ht="15" customHeight="1" x14ac:dyDescent="0.3">
      <c r="M15964" s="5"/>
    </row>
    <row r="15965" spans="13:13" ht="15" customHeight="1" x14ac:dyDescent="0.3">
      <c r="M15965" s="5"/>
    </row>
    <row r="15966" spans="13:13" ht="15" customHeight="1" x14ac:dyDescent="0.3">
      <c r="M15966" s="5"/>
    </row>
    <row r="15967" spans="13:13" ht="15" customHeight="1" x14ac:dyDescent="0.3">
      <c r="M15967" s="5"/>
    </row>
    <row r="15968" spans="13:13" ht="15" customHeight="1" x14ac:dyDescent="0.3">
      <c r="M15968" s="5"/>
    </row>
    <row r="15969" spans="13:13" ht="15" customHeight="1" x14ac:dyDescent="0.3">
      <c r="M15969" s="5"/>
    </row>
    <row r="15970" spans="13:13" ht="15" customHeight="1" x14ac:dyDescent="0.3">
      <c r="M15970" s="5"/>
    </row>
    <row r="15971" spans="13:13" ht="15" customHeight="1" x14ac:dyDescent="0.3">
      <c r="M15971" s="5"/>
    </row>
    <row r="15972" spans="13:13" ht="15" customHeight="1" x14ac:dyDescent="0.3">
      <c r="M15972" s="5"/>
    </row>
    <row r="15973" spans="13:13" ht="15" customHeight="1" x14ac:dyDescent="0.3">
      <c r="M15973" s="5"/>
    </row>
    <row r="15974" spans="13:13" ht="15" customHeight="1" x14ac:dyDescent="0.3">
      <c r="M15974" s="5"/>
    </row>
    <row r="15975" spans="13:13" ht="15" customHeight="1" x14ac:dyDescent="0.3">
      <c r="M15975" s="5"/>
    </row>
    <row r="15976" spans="13:13" ht="15" customHeight="1" x14ac:dyDescent="0.3">
      <c r="M15976" s="5"/>
    </row>
    <row r="15977" spans="13:13" ht="15" customHeight="1" x14ac:dyDescent="0.3">
      <c r="M15977" s="5"/>
    </row>
    <row r="15978" spans="13:13" ht="15" customHeight="1" x14ac:dyDescent="0.3">
      <c r="M15978" s="5"/>
    </row>
    <row r="15979" spans="13:13" ht="15" customHeight="1" x14ac:dyDescent="0.3">
      <c r="M15979" s="5"/>
    </row>
    <row r="15980" spans="13:13" ht="15" customHeight="1" x14ac:dyDescent="0.3">
      <c r="M15980" s="5"/>
    </row>
    <row r="15981" spans="13:13" ht="15" customHeight="1" x14ac:dyDescent="0.3">
      <c r="M15981" s="5"/>
    </row>
    <row r="15982" spans="13:13" ht="15" customHeight="1" x14ac:dyDescent="0.3">
      <c r="M15982" s="5"/>
    </row>
    <row r="15983" spans="13:13" ht="15" customHeight="1" x14ac:dyDescent="0.3">
      <c r="M15983" s="5"/>
    </row>
    <row r="15984" spans="13:13" ht="15" customHeight="1" x14ac:dyDescent="0.3">
      <c r="M15984" s="5"/>
    </row>
    <row r="15985" spans="13:13" ht="15" customHeight="1" x14ac:dyDescent="0.3">
      <c r="M15985" s="5"/>
    </row>
    <row r="15986" spans="13:13" ht="15" customHeight="1" x14ac:dyDescent="0.3">
      <c r="M15986" s="5"/>
    </row>
    <row r="15987" spans="13:13" ht="15" customHeight="1" x14ac:dyDescent="0.3">
      <c r="M15987" s="5"/>
    </row>
    <row r="15988" spans="13:13" ht="15" customHeight="1" x14ac:dyDescent="0.3">
      <c r="M15988" s="5"/>
    </row>
    <row r="15989" spans="13:13" ht="15" customHeight="1" x14ac:dyDescent="0.3">
      <c r="M15989" s="5"/>
    </row>
    <row r="15990" spans="13:13" ht="15" customHeight="1" x14ac:dyDescent="0.3">
      <c r="M15990" s="5"/>
    </row>
    <row r="15991" spans="13:13" ht="15" customHeight="1" x14ac:dyDescent="0.3">
      <c r="M15991" s="5"/>
    </row>
    <row r="15992" spans="13:13" ht="15" customHeight="1" x14ac:dyDescent="0.3">
      <c r="M15992" s="5"/>
    </row>
    <row r="15993" spans="13:13" ht="15" customHeight="1" x14ac:dyDescent="0.3">
      <c r="M15993" s="5"/>
    </row>
    <row r="15994" spans="13:13" ht="15" customHeight="1" x14ac:dyDescent="0.3">
      <c r="M15994" s="5"/>
    </row>
    <row r="15995" spans="13:13" ht="15" customHeight="1" x14ac:dyDescent="0.3">
      <c r="M15995" s="5"/>
    </row>
    <row r="15996" spans="13:13" ht="15" customHeight="1" x14ac:dyDescent="0.3">
      <c r="M15996" s="5"/>
    </row>
    <row r="15997" spans="13:13" ht="15" customHeight="1" x14ac:dyDescent="0.3">
      <c r="M15997" s="5"/>
    </row>
    <row r="15998" spans="13:13" ht="15" customHeight="1" x14ac:dyDescent="0.3">
      <c r="M15998" s="5"/>
    </row>
    <row r="15999" spans="13:13" ht="15" customHeight="1" x14ac:dyDescent="0.3">
      <c r="M15999" s="5"/>
    </row>
    <row r="16000" spans="13:13" ht="15" customHeight="1" x14ac:dyDescent="0.3">
      <c r="M16000" s="5"/>
    </row>
    <row r="16001" spans="13:13" ht="15" customHeight="1" x14ac:dyDescent="0.3">
      <c r="M16001" s="5"/>
    </row>
    <row r="16002" spans="13:13" ht="15" customHeight="1" x14ac:dyDescent="0.3">
      <c r="M16002" s="5"/>
    </row>
    <row r="16003" spans="13:13" ht="15" customHeight="1" x14ac:dyDescent="0.3">
      <c r="M16003" s="5"/>
    </row>
    <row r="16004" spans="13:13" ht="15" customHeight="1" x14ac:dyDescent="0.3">
      <c r="M16004" s="5"/>
    </row>
    <row r="16005" spans="13:13" ht="15" customHeight="1" x14ac:dyDescent="0.3">
      <c r="M16005" s="5"/>
    </row>
    <row r="16006" spans="13:13" ht="15" customHeight="1" x14ac:dyDescent="0.3">
      <c r="M16006" s="5"/>
    </row>
    <row r="16007" spans="13:13" ht="15" customHeight="1" x14ac:dyDescent="0.3">
      <c r="M16007" s="5"/>
    </row>
    <row r="16008" spans="13:13" ht="15" customHeight="1" x14ac:dyDescent="0.3">
      <c r="M16008" s="5"/>
    </row>
    <row r="16009" spans="13:13" ht="15" customHeight="1" x14ac:dyDescent="0.3">
      <c r="M16009" s="5"/>
    </row>
    <row r="16010" spans="13:13" ht="15" customHeight="1" x14ac:dyDescent="0.3">
      <c r="M16010" s="5"/>
    </row>
    <row r="16011" spans="13:13" ht="15" customHeight="1" x14ac:dyDescent="0.3">
      <c r="M16011" s="5"/>
    </row>
    <row r="16012" spans="13:13" ht="15" customHeight="1" x14ac:dyDescent="0.3">
      <c r="M16012" s="5"/>
    </row>
    <row r="16013" spans="13:13" ht="15" customHeight="1" x14ac:dyDescent="0.3">
      <c r="M16013" s="5"/>
    </row>
    <row r="16014" spans="13:13" ht="15" customHeight="1" x14ac:dyDescent="0.3">
      <c r="M16014" s="5"/>
    </row>
    <row r="16015" spans="13:13" ht="15" customHeight="1" x14ac:dyDescent="0.3">
      <c r="M16015" s="5"/>
    </row>
    <row r="16016" spans="13:13" ht="15" customHeight="1" x14ac:dyDescent="0.3">
      <c r="M16016" s="5"/>
    </row>
    <row r="16017" spans="13:13" ht="15" customHeight="1" x14ac:dyDescent="0.3">
      <c r="M16017" s="5"/>
    </row>
    <row r="16018" spans="13:13" ht="15" customHeight="1" x14ac:dyDescent="0.3">
      <c r="M16018" s="5"/>
    </row>
    <row r="16019" spans="13:13" ht="15" customHeight="1" x14ac:dyDescent="0.3">
      <c r="M16019" s="5"/>
    </row>
    <row r="16020" spans="13:13" ht="15" customHeight="1" x14ac:dyDescent="0.3">
      <c r="M16020" s="5"/>
    </row>
    <row r="16021" spans="13:13" ht="15" customHeight="1" x14ac:dyDescent="0.3">
      <c r="M16021" s="5"/>
    </row>
    <row r="16022" spans="13:13" ht="15" customHeight="1" x14ac:dyDescent="0.3">
      <c r="M16022" s="5"/>
    </row>
    <row r="16023" spans="13:13" ht="15" customHeight="1" x14ac:dyDescent="0.3">
      <c r="M16023" s="5"/>
    </row>
    <row r="16024" spans="13:13" ht="15" customHeight="1" x14ac:dyDescent="0.3">
      <c r="M16024" s="5"/>
    </row>
    <row r="16025" spans="13:13" ht="15" customHeight="1" x14ac:dyDescent="0.3">
      <c r="M16025" s="5"/>
    </row>
    <row r="16026" spans="13:13" ht="15" customHeight="1" x14ac:dyDescent="0.3">
      <c r="M16026" s="5"/>
    </row>
    <row r="16027" spans="13:13" ht="15" customHeight="1" x14ac:dyDescent="0.3">
      <c r="M16027" s="5"/>
    </row>
    <row r="16028" spans="13:13" ht="15" customHeight="1" x14ac:dyDescent="0.3">
      <c r="M16028" s="5"/>
    </row>
    <row r="16029" spans="13:13" ht="15" customHeight="1" x14ac:dyDescent="0.3">
      <c r="M16029" s="5"/>
    </row>
    <row r="16030" spans="13:13" ht="15" customHeight="1" x14ac:dyDescent="0.3">
      <c r="M16030" s="5"/>
    </row>
    <row r="16031" spans="13:13" ht="15" customHeight="1" x14ac:dyDescent="0.3">
      <c r="M16031" s="5"/>
    </row>
    <row r="16032" spans="13:13" ht="15" customHeight="1" x14ac:dyDescent="0.3">
      <c r="M16032" s="5"/>
    </row>
    <row r="16033" spans="13:13" ht="15" customHeight="1" x14ac:dyDescent="0.3">
      <c r="M16033" s="5"/>
    </row>
    <row r="16034" spans="13:13" ht="15" customHeight="1" x14ac:dyDescent="0.3">
      <c r="M16034" s="5"/>
    </row>
    <row r="16035" spans="13:13" ht="15" customHeight="1" x14ac:dyDescent="0.3">
      <c r="M16035" s="5"/>
    </row>
    <row r="16036" spans="13:13" ht="15" customHeight="1" x14ac:dyDescent="0.3">
      <c r="M16036" s="5"/>
    </row>
    <row r="16037" spans="13:13" ht="15" customHeight="1" x14ac:dyDescent="0.3">
      <c r="M16037" s="5"/>
    </row>
    <row r="16038" spans="13:13" ht="15" customHeight="1" x14ac:dyDescent="0.3">
      <c r="M16038" s="5"/>
    </row>
    <row r="16039" spans="13:13" ht="15" customHeight="1" x14ac:dyDescent="0.3">
      <c r="M16039" s="5"/>
    </row>
    <row r="16040" spans="13:13" ht="15" customHeight="1" x14ac:dyDescent="0.3">
      <c r="M16040" s="5"/>
    </row>
    <row r="16041" spans="13:13" ht="15" customHeight="1" x14ac:dyDescent="0.3">
      <c r="M16041" s="5"/>
    </row>
    <row r="16042" spans="13:13" ht="15" customHeight="1" x14ac:dyDescent="0.3">
      <c r="M16042" s="5"/>
    </row>
    <row r="16043" spans="13:13" ht="15" customHeight="1" x14ac:dyDescent="0.3">
      <c r="M16043" s="5"/>
    </row>
    <row r="16044" spans="13:13" ht="15" customHeight="1" x14ac:dyDescent="0.3">
      <c r="M16044" s="5"/>
    </row>
    <row r="16045" spans="13:13" ht="15" customHeight="1" x14ac:dyDescent="0.3">
      <c r="M16045" s="5"/>
    </row>
    <row r="16046" spans="13:13" ht="15" customHeight="1" x14ac:dyDescent="0.3">
      <c r="M16046" s="5"/>
    </row>
    <row r="16047" spans="13:13" ht="15" customHeight="1" x14ac:dyDescent="0.3">
      <c r="M16047" s="5"/>
    </row>
    <row r="16048" spans="13:13" ht="15" customHeight="1" x14ac:dyDescent="0.3">
      <c r="M16048" s="5"/>
    </row>
    <row r="16049" spans="13:13" ht="15" customHeight="1" x14ac:dyDescent="0.3">
      <c r="M16049" s="5"/>
    </row>
    <row r="16050" spans="13:13" ht="15" customHeight="1" x14ac:dyDescent="0.3">
      <c r="M16050" s="5"/>
    </row>
    <row r="16051" spans="13:13" ht="15" customHeight="1" x14ac:dyDescent="0.3">
      <c r="M16051" s="5"/>
    </row>
    <row r="16052" spans="13:13" ht="15" customHeight="1" x14ac:dyDescent="0.3">
      <c r="M16052" s="5"/>
    </row>
    <row r="16053" spans="13:13" ht="15" customHeight="1" x14ac:dyDescent="0.3">
      <c r="M16053" s="5"/>
    </row>
    <row r="16054" spans="13:13" ht="15" customHeight="1" x14ac:dyDescent="0.3">
      <c r="M16054" s="5"/>
    </row>
    <row r="16055" spans="13:13" ht="15" customHeight="1" x14ac:dyDescent="0.3">
      <c r="M16055" s="5"/>
    </row>
    <row r="16056" spans="13:13" ht="15" customHeight="1" x14ac:dyDescent="0.3">
      <c r="M16056" s="5"/>
    </row>
    <row r="16057" spans="13:13" ht="15" customHeight="1" x14ac:dyDescent="0.3">
      <c r="M16057" s="5"/>
    </row>
    <row r="16058" spans="13:13" ht="15" customHeight="1" x14ac:dyDescent="0.3">
      <c r="M16058" s="5"/>
    </row>
    <row r="16059" spans="13:13" ht="15" customHeight="1" x14ac:dyDescent="0.3">
      <c r="M16059" s="5"/>
    </row>
    <row r="16060" spans="13:13" ht="15" customHeight="1" x14ac:dyDescent="0.3">
      <c r="M16060" s="5"/>
    </row>
    <row r="16061" spans="13:13" ht="15" customHeight="1" x14ac:dyDescent="0.3">
      <c r="M16061" s="5"/>
    </row>
    <row r="16062" spans="13:13" ht="15" customHeight="1" x14ac:dyDescent="0.3">
      <c r="M16062" s="5"/>
    </row>
    <row r="16063" spans="13:13" ht="15" customHeight="1" x14ac:dyDescent="0.3">
      <c r="M16063" s="5"/>
    </row>
    <row r="16064" spans="13:13" ht="15" customHeight="1" x14ac:dyDescent="0.3">
      <c r="M16064" s="5"/>
    </row>
    <row r="16065" spans="13:13" ht="15" customHeight="1" x14ac:dyDescent="0.3">
      <c r="M16065" s="5"/>
    </row>
    <row r="16066" spans="13:13" ht="15" customHeight="1" x14ac:dyDescent="0.3">
      <c r="M16066" s="5"/>
    </row>
    <row r="16067" spans="13:13" ht="15" customHeight="1" x14ac:dyDescent="0.3">
      <c r="M16067" s="5"/>
    </row>
    <row r="16068" spans="13:13" ht="15" customHeight="1" x14ac:dyDescent="0.3">
      <c r="M16068" s="5"/>
    </row>
    <row r="16069" spans="13:13" ht="15" customHeight="1" x14ac:dyDescent="0.3">
      <c r="M16069" s="5"/>
    </row>
    <row r="16070" spans="13:13" ht="15" customHeight="1" x14ac:dyDescent="0.3">
      <c r="M16070" s="5"/>
    </row>
    <row r="16071" spans="13:13" ht="15" customHeight="1" x14ac:dyDescent="0.3">
      <c r="M16071" s="5"/>
    </row>
    <row r="16072" spans="13:13" ht="15" customHeight="1" x14ac:dyDescent="0.3">
      <c r="M16072" s="5"/>
    </row>
    <row r="16073" spans="13:13" ht="15" customHeight="1" x14ac:dyDescent="0.3">
      <c r="M16073" s="5"/>
    </row>
    <row r="16074" spans="13:13" ht="15" customHeight="1" x14ac:dyDescent="0.3">
      <c r="M16074" s="5"/>
    </row>
    <row r="16075" spans="13:13" ht="15" customHeight="1" x14ac:dyDescent="0.3">
      <c r="M16075" s="5"/>
    </row>
    <row r="16076" spans="13:13" ht="15" customHeight="1" x14ac:dyDescent="0.3">
      <c r="M16076" s="5"/>
    </row>
    <row r="16077" spans="13:13" ht="15" customHeight="1" x14ac:dyDescent="0.3">
      <c r="M16077" s="5"/>
    </row>
    <row r="16078" spans="13:13" ht="15" customHeight="1" x14ac:dyDescent="0.3">
      <c r="M16078" s="5"/>
    </row>
    <row r="16079" spans="13:13" ht="15" customHeight="1" x14ac:dyDescent="0.3">
      <c r="M16079" s="5"/>
    </row>
    <row r="16080" spans="13:13" ht="15" customHeight="1" x14ac:dyDescent="0.3">
      <c r="M16080" s="5"/>
    </row>
    <row r="16081" spans="13:13" ht="15" customHeight="1" x14ac:dyDescent="0.3">
      <c r="M16081" s="5"/>
    </row>
    <row r="16082" spans="13:13" ht="15" customHeight="1" x14ac:dyDescent="0.3">
      <c r="M16082" s="5"/>
    </row>
    <row r="16083" spans="13:13" ht="15" customHeight="1" x14ac:dyDescent="0.3">
      <c r="M16083" s="5"/>
    </row>
    <row r="16084" spans="13:13" ht="15" customHeight="1" x14ac:dyDescent="0.3">
      <c r="M16084" s="5"/>
    </row>
    <row r="16085" spans="13:13" ht="15" customHeight="1" x14ac:dyDescent="0.3">
      <c r="M16085" s="5"/>
    </row>
    <row r="16086" spans="13:13" ht="15" customHeight="1" x14ac:dyDescent="0.3">
      <c r="M16086" s="5"/>
    </row>
    <row r="16087" spans="13:13" ht="15" customHeight="1" x14ac:dyDescent="0.3">
      <c r="M16087" s="5"/>
    </row>
    <row r="16088" spans="13:13" ht="15" customHeight="1" x14ac:dyDescent="0.3">
      <c r="M16088" s="5"/>
    </row>
    <row r="16089" spans="13:13" ht="15" customHeight="1" x14ac:dyDescent="0.3">
      <c r="M16089" s="5"/>
    </row>
    <row r="16090" spans="13:13" ht="15" customHeight="1" x14ac:dyDescent="0.3">
      <c r="M16090" s="5"/>
    </row>
    <row r="16091" spans="13:13" ht="15" customHeight="1" x14ac:dyDescent="0.3">
      <c r="M16091" s="5"/>
    </row>
    <row r="16092" spans="13:13" ht="15" customHeight="1" x14ac:dyDescent="0.3">
      <c r="M16092" s="5"/>
    </row>
    <row r="16093" spans="13:13" ht="15" customHeight="1" x14ac:dyDescent="0.3">
      <c r="M16093" s="5"/>
    </row>
    <row r="16094" spans="13:13" ht="15" customHeight="1" x14ac:dyDescent="0.3">
      <c r="M16094" s="5"/>
    </row>
    <row r="16095" spans="13:13" ht="15" customHeight="1" x14ac:dyDescent="0.3">
      <c r="M16095" s="5"/>
    </row>
    <row r="16096" spans="13:13" ht="15" customHeight="1" x14ac:dyDescent="0.3">
      <c r="M16096" s="5"/>
    </row>
    <row r="16097" spans="13:13" ht="15" customHeight="1" x14ac:dyDescent="0.3">
      <c r="M16097" s="5"/>
    </row>
    <row r="16098" spans="13:13" ht="15" customHeight="1" x14ac:dyDescent="0.3">
      <c r="M16098" s="5"/>
    </row>
    <row r="16099" spans="13:13" ht="15" customHeight="1" x14ac:dyDescent="0.3">
      <c r="M16099" s="5"/>
    </row>
    <row r="16100" spans="13:13" ht="15" customHeight="1" x14ac:dyDescent="0.3">
      <c r="M16100" s="5"/>
    </row>
    <row r="16101" spans="13:13" ht="15" customHeight="1" x14ac:dyDescent="0.3">
      <c r="M16101" s="5"/>
    </row>
    <row r="16102" spans="13:13" ht="15" customHeight="1" x14ac:dyDescent="0.3">
      <c r="M16102" s="5"/>
    </row>
    <row r="16103" spans="13:13" ht="15" customHeight="1" x14ac:dyDescent="0.3">
      <c r="M16103" s="5"/>
    </row>
    <row r="16104" spans="13:13" ht="15" customHeight="1" x14ac:dyDescent="0.3">
      <c r="M16104" s="5"/>
    </row>
    <row r="16105" spans="13:13" ht="15" customHeight="1" x14ac:dyDescent="0.3">
      <c r="M16105" s="5"/>
    </row>
    <row r="16106" spans="13:13" ht="15" customHeight="1" x14ac:dyDescent="0.3">
      <c r="M16106" s="5"/>
    </row>
    <row r="16107" spans="13:13" ht="15" customHeight="1" x14ac:dyDescent="0.3">
      <c r="M16107" s="5"/>
    </row>
    <row r="16108" spans="13:13" ht="15" customHeight="1" x14ac:dyDescent="0.3">
      <c r="M16108" s="5"/>
    </row>
    <row r="16109" spans="13:13" ht="15" customHeight="1" x14ac:dyDescent="0.3">
      <c r="M16109" s="5"/>
    </row>
    <row r="16110" spans="13:13" ht="15" customHeight="1" x14ac:dyDescent="0.3">
      <c r="M16110" s="5"/>
    </row>
    <row r="16111" spans="13:13" ht="15" customHeight="1" x14ac:dyDescent="0.3">
      <c r="M16111" s="5"/>
    </row>
    <row r="16112" spans="13:13" ht="15" customHeight="1" x14ac:dyDescent="0.3">
      <c r="M16112" s="5"/>
    </row>
    <row r="16113" spans="13:13" ht="15" customHeight="1" x14ac:dyDescent="0.3">
      <c r="M16113" s="5"/>
    </row>
    <row r="16114" spans="13:13" ht="15" customHeight="1" x14ac:dyDescent="0.3">
      <c r="M16114" s="5"/>
    </row>
    <row r="16115" spans="13:13" ht="15" customHeight="1" x14ac:dyDescent="0.3">
      <c r="M16115" s="5"/>
    </row>
    <row r="16116" spans="13:13" ht="15" customHeight="1" x14ac:dyDescent="0.3">
      <c r="M16116" s="5"/>
    </row>
    <row r="16117" spans="13:13" ht="15" customHeight="1" x14ac:dyDescent="0.3">
      <c r="M16117" s="5"/>
    </row>
    <row r="16118" spans="13:13" ht="15" customHeight="1" x14ac:dyDescent="0.3">
      <c r="M16118" s="5"/>
    </row>
    <row r="16119" spans="13:13" ht="15" customHeight="1" x14ac:dyDescent="0.3">
      <c r="M16119" s="5"/>
    </row>
    <row r="16120" spans="13:13" ht="15" customHeight="1" x14ac:dyDescent="0.3">
      <c r="M16120" s="5"/>
    </row>
    <row r="16121" spans="13:13" ht="15" customHeight="1" x14ac:dyDescent="0.3">
      <c r="M16121" s="5"/>
    </row>
    <row r="16122" spans="13:13" ht="15" customHeight="1" x14ac:dyDescent="0.3">
      <c r="M16122" s="5"/>
    </row>
    <row r="16123" spans="13:13" ht="15" customHeight="1" x14ac:dyDescent="0.3">
      <c r="M16123" s="5"/>
    </row>
    <row r="16124" spans="13:13" ht="15" customHeight="1" x14ac:dyDescent="0.3">
      <c r="M16124" s="5"/>
    </row>
    <row r="16125" spans="13:13" ht="15" customHeight="1" x14ac:dyDescent="0.3">
      <c r="M16125" s="5"/>
    </row>
    <row r="16126" spans="13:13" ht="15" customHeight="1" x14ac:dyDescent="0.3">
      <c r="M16126" s="5"/>
    </row>
    <row r="16127" spans="13:13" ht="15" customHeight="1" x14ac:dyDescent="0.3">
      <c r="M16127" s="5"/>
    </row>
    <row r="16128" spans="13:13" ht="15" customHeight="1" x14ac:dyDescent="0.3">
      <c r="M16128" s="5"/>
    </row>
    <row r="16129" spans="13:13" ht="15" customHeight="1" x14ac:dyDescent="0.3">
      <c r="M16129" s="5"/>
    </row>
    <row r="16130" spans="13:13" ht="15" customHeight="1" x14ac:dyDescent="0.3">
      <c r="M16130" s="5"/>
    </row>
    <row r="16131" spans="13:13" ht="15" customHeight="1" x14ac:dyDescent="0.3">
      <c r="M16131" s="5"/>
    </row>
    <row r="16132" spans="13:13" ht="15" customHeight="1" x14ac:dyDescent="0.3">
      <c r="M16132" s="5"/>
    </row>
    <row r="16133" spans="13:13" ht="15" customHeight="1" x14ac:dyDescent="0.3">
      <c r="M16133" s="5"/>
    </row>
    <row r="16134" spans="13:13" ht="15" customHeight="1" x14ac:dyDescent="0.3">
      <c r="M16134" s="5"/>
    </row>
    <row r="16135" spans="13:13" ht="15" customHeight="1" x14ac:dyDescent="0.3">
      <c r="M16135" s="5"/>
    </row>
    <row r="16136" spans="13:13" ht="15" customHeight="1" x14ac:dyDescent="0.3">
      <c r="M16136" s="5"/>
    </row>
    <row r="16137" spans="13:13" ht="15" customHeight="1" x14ac:dyDescent="0.3">
      <c r="M16137" s="5"/>
    </row>
    <row r="16138" spans="13:13" ht="15" customHeight="1" x14ac:dyDescent="0.3">
      <c r="M16138" s="5"/>
    </row>
    <row r="16139" spans="13:13" ht="15" customHeight="1" x14ac:dyDescent="0.3">
      <c r="M16139" s="5"/>
    </row>
    <row r="16140" spans="13:13" ht="15" customHeight="1" x14ac:dyDescent="0.3">
      <c r="M16140" s="5"/>
    </row>
    <row r="16141" spans="13:13" ht="15" customHeight="1" x14ac:dyDescent="0.3">
      <c r="M16141" s="5"/>
    </row>
    <row r="16142" spans="13:13" ht="15" customHeight="1" x14ac:dyDescent="0.3">
      <c r="M16142" s="5"/>
    </row>
    <row r="16143" spans="13:13" ht="15" customHeight="1" x14ac:dyDescent="0.3">
      <c r="M16143" s="5"/>
    </row>
    <row r="16144" spans="13:13" ht="15" customHeight="1" x14ac:dyDescent="0.3">
      <c r="M16144" s="5"/>
    </row>
    <row r="16145" spans="13:13" ht="15" customHeight="1" x14ac:dyDescent="0.3">
      <c r="M16145" s="5"/>
    </row>
    <row r="16146" spans="13:13" ht="15" customHeight="1" x14ac:dyDescent="0.3">
      <c r="M16146" s="5"/>
    </row>
    <row r="16147" spans="13:13" ht="15" customHeight="1" x14ac:dyDescent="0.3">
      <c r="M16147" s="5"/>
    </row>
    <row r="16148" spans="13:13" ht="15" customHeight="1" x14ac:dyDescent="0.3">
      <c r="M16148" s="5"/>
    </row>
    <row r="16149" spans="13:13" ht="15" customHeight="1" x14ac:dyDescent="0.3">
      <c r="M16149" s="5"/>
    </row>
    <row r="16150" spans="13:13" ht="15" customHeight="1" x14ac:dyDescent="0.3">
      <c r="M16150" s="5"/>
    </row>
    <row r="16151" spans="13:13" ht="15" customHeight="1" x14ac:dyDescent="0.3">
      <c r="M16151" s="5"/>
    </row>
    <row r="16152" spans="13:13" ht="15" customHeight="1" x14ac:dyDescent="0.3">
      <c r="M16152" s="5"/>
    </row>
    <row r="16153" spans="13:13" ht="15" customHeight="1" x14ac:dyDescent="0.3">
      <c r="M16153" s="5"/>
    </row>
    <row r="16154" spans="13:13" ht="15" customHeight="1" x14ac:dyDescent="0.3">
      <c r="M16154" s="5"/>
    </row>
    <row r="16155" spans="13:13" ht="15" customHeight="1" x14ac:dyDescent="0.3">
      <c r="M16155" s="5"/>
    </row>
    <row r="16156" spans="13:13" ht="15" customHeight="1" x14ac:dyDescent="0.3">
      <c r="M16156" s="5"/>
    </row>
    <row r="16157" spans="13:13" ht="15" customHeight="1" x14ac:dyDescent="0.3">
      <c r="M16157" s="5"/>
    </row>
    <row r="16158" spans="13:13" ht="15" customHeight="1" x14ac:dyDescent="0.3">
      <c r="M16158" s="5"/>
    </row>
    <row r="16159" spans="13:13" ht="15" customHeight="1" x14ac:dyDescent="0.3">
      <c r="M16159" s="5"/>
    </row>
    <row r="16160" spans="13:13" ht="15" customHeight="1" x14ac:dyDescent="0.3">
      <c r="M16160" s="5"/>
    </row>
    <row r="16161" spans="13:13" ht="15" customHeight="1" x14ac:dyDescent="0.3">
      <c r="M16161" s="5"/>
    </row>
    <row r="16162" spans="13:13" ht="15" customHeight="1" x14ac:dyDescent="0.3">
      <c r="M16162" s="5"/>
    </row>
    <row r="16163" spans="13:13" ht="15" customHeight="1" x14ac:dyDescent="0.3">
      <c r="M16163" s="5"/>
    </row>
    <row r="16164" spans="13:13" ht="15" customHeight="1" x14ac:dyDescent="0.3">
      <c r="M16164" s="5"/>
    </row>
    <row r="16165" spans="13:13" ht="15" customHeight="1" x14ac:dyDescent="0.3">
      <c r="M16165" s="5"/>
    </row>
    <row r="16166" spans="13:13" ht="15" customHeight="1" x14ac:dyDescent="0.3">
      <c r="M16166" s="5"/>
    </row>
    <row r="16167" spans="13:13" ht="15" customHeight="1" x14ac:dyDescent="0.3">
      <c r="M16167" s="5"/>
    </row>
    <row r="16168" spans="13:13" ht="15" customHeight="1" x14ac:dyDescent="0.3">
      <c r="M16168" s="5"/>
    </row>
    <row r="16169" spans="13:13" ht="15" customHeight="1" x14ac:dyDescent="0.3">
      <c r="M16169" s="5"/>
    </row>
    <row r="16170" spans="13:13" ht="15" customHeight="1" x14ac:dyDescent="0.3">
      <c r="M16170" s="5"/>
    </row>
    <row r="16171" spans="13:13" ht="15" customHeight="1" x14ac:dyDescent="0.3">
      <c r="M16171" s="5"/>
    </row>
    <row r="16172" spans="13:13" ht="15" customHeight="1" x14ac:dyDescent="0.3">
      <c r="M16172" s="5"/>
    </row>
    <row r="16173" spans="13:13" ht="15" customHeight="1" x14ac:dyDescent="0.3">
      <c r="M16173" s="5"/>
    </row>
    <row r="16174" spans="13:13" ht="15" customHeight="1" x14ac:dyDescent="0.3">
      <c r="M16174" s="5"/>
    </row>
    <row r="16175" spans="13:13" ht="15" customHeight="1" x14ac:dyDescent="0.3">
      <c r="M16175" s="5"/>
    </row>
    <row r="16176" spans="13:13" ht="15" customHeight="1" x14ac:dyDescent="0.3">
      <c r="M16176" s="5"/>
    </row>
    <row r="16177" spans="13:13" ht="15" customHeight="1" x14ac:dyDescent="0.3">
      <c r="M16177" s="5"/>
    </row>
    <row r="16178" spans="13:13" ht="15" customHeight="1" x14ac:dyDescent="0.3">
      <c r="M16178" s="5"/>
    </row>
    <row r="16179" spans="13:13" ht="15" customHeight="1" x14ac:dyDescent="0.3">
      <c r="M16179" s="5"/>
    </row>
    <row r="16180" spans="13:13" ht="15" customHeight="1" x14ac:dyDescent="0.3">
      <c r="M16180" s="5"/>
    </row>
    <row r="16181" spans="13:13" ht="15" customHeight="1" x14ac:dyDescent="0.3">
      <c r="M16181" s="5"/>
    </row>
    <row r="16182" spans="13:13" ht="15" customHeight="1" x14ac:dyDescent="0.3">
      <c r="M16182" s="5"/>
    </row>
    <row r="16183" spans="13:13" ht="15" customHeight="1" x14ac:dyDescent="0.3">
      <c r="M16183" s="5"/>
    </row>
    <row r="16184" spans="13:13" ht="15" customHeight="1" x14ac:dyDescent="0.3">
      <c r="M16184" s="5"/>
    </row>
    <row r="16185" spans="13:13" ht="15" customHeight="1" x14ac:dyDescent="0.3">
      <c r="M16185" s="5"/>
    </row>
    <row r="16186" spans="13:13" ht="15" customHeight="1" x14ac:dyDescent="0.3">
      <c r="M16186" s="5"/>
    </row>
    <row r="16187" spans="13:13" ht="15" customHeight="1" x14ac:dyDescent="0.3">
      <c r="M16187" s="5"/>
    </row>
    <row r="16188" spans="13:13" ht="15" customHeight="1" x14ac:dyDescent="0.3">
      <c r="M16188" s="5"/>
    </row>
    <row r="16189" spans="13:13" ht="15" customHeight="1" x14ac:dyDescent="0.3">
      <c r="M16189" s="5"/>
    </row>
    <row r="16190" spans="13:13" ht="15" customHeight="1" x14ac:dyDescent="0.3">
      <c r="M16190" s="5"/>
    </row>
    <row r="16191" spans="13:13" ht="15" customHeight="1" x14ac:dyDescent="0.3">
      <c r="M16191" s="5"/>
    </row>
    <row r="16192" spans="13:13" ht="15" customHeight="1" x14ac:dyDescent="0.3">
      <c r="M16192" s="5"/>
    </row>
    <row r="16193" spans="13:13" ht="15" customHeight="1" x14ac:dyDescent="0.3">
      <c r="M16193" s="5"/>
    </row>
    <row r="16194" spans="13:13" ht="15" customHeight="1" x14ac:dyDescent="0.3">
      <c r="M16194" s="5"/>
    </row>
    <row r="16195" spans="13:13" ht="15" customHeight="1" x14ac:dyDescent="0.3">
      <c r="M16195" s="5"/>
    </row>
    <row r="16196" spans="13:13" ht="15" customHeight="1" x14ac:dyDescent="0.3">
      <c r="M16196" s="5"/>
    </row>
    <row r="16197" spans="13:13" ht="15" customHeight="1" x14ac:dyDescent="0.3">
      <c r="M16197" s="5"/>
    </row>
    <row r="16198" spans="13:13" ht="15" customHeight="1" x14ac:dyDescent="0.3">
      <c r="M16198" s="5"/>
    </row>
    <row r="16199" spans="13:13" ht="15" customHeight="1" x14ac:dyDescent="0.3">
      <c r="M16199" s="5"/>
    </row>
    <row r="16200" spans="13:13" ht="15" customHeight="1" x14ac:dyDescent="0.3">
      <c r="M16200" s="5"/>
    </row>
    <row r="16201" spans="13:13" ht="15" customHeight="1" x14ac:dyDescent="0.3">
      <c r="M16201" s="5"/>
    </row>
    <row r="16202" spans="13:13" ht="15" customHeight="1" x14ac:dyDescent="0.3">
      <c r="M16202" s="5"/>
    </row>
    <row r="16203" spans="13:13" ht="15" customHeight="1" x14ac:dyDescent="0.3">
      <c r="M16203" s="5"/>
    </row>
    <row r="16204" spans="13:13" ht="15" customHeight="1" x14ac:dyDescent="0.3">
      <c r="M16204" s="5"/>
    </row>
    <row r="16205" spans="13:13" ht="15" customHeight="1" x14ac:dyDescent="0.3">
      <c r="M16205" s="5"/>
    </row>
    <row r="16206" spans="13:13" ht="15" customHeight="1" x14ac:dyDescent="0.3">
      <c r="M16206" s="5"/>
    </row>
    <row r="16207" spans="13:13" ht="15" customHeight="1" x14ac:dyDescent="0.3">
      <c r="M16207" s="5"/>
    </row>
    <row r="16208" spans="13:13" ht="15" customHeight="1" x14ac:dyDescent="0.3">
      <c r="M16208" s="5"/>
    </row>
    <row r="16209" spans="13:13" ht="15" customHeight="1" x14ac:dyDescent="0.3">
      <c r="M16209" s="5"/>
    </row>
    <row r="16210" spans="13:13" ht="15" customHeight="1" x14ac:dyDescent="0.3">
      <c r="M16210" s="5"/>
    </row>
    <row r="16211" spans="13:13" ht="15" customHeight="1" x14ac:dyDescent="0.3">
      <c r="M16211" s="5"/>
    </row>
    <row r="16212" spans="13:13" ht="15" customHeight="1" x14ac:dyDescent="0.3">
      <c r="M16212" s="5"/>
    </row>
    <row r="16213" spans="13:13" ht="15" customHeight="1" x14ac:dyDescent="0.3">
      <c r="M16213" s="5"/>
    </row>
    <row r="16214" spans="13:13" ht="15" customHeight="1" x14ac:dyDescent="0.3">
      <c r="M16214" s="5"/>
    </row>
    <row r="16215" spans="13:13" ht="15" customHeight="1" x14ac:dyDescent="0.3">
      <c r="M16215" s="5"/>
    </row>
    <row r="16216" spans="13:13" ht="15" customHeight="1" x14ac:dyDescent="0.3">
      <c r="M16216" s="5"/>
    </row>
    <row r="16217" spans="13:13" ht="15" customHeight="1" x14ac:dyDescent="0.3">
      <c r="M16217" s="5"/>
    </row>
    <row r="16218" spans="13:13" ht="15" customHeight="1" x14ac:dyDescent="0.3">
      <c r="M16218" s="5"/>
    </row>
    <row r="16219" spans="13:13" ht="15" customHeight="1" x14ac:dyDescent="0.3">
      <c r="M16219" s="5"/>
    </row>
    <row r="16220" spans="13:13" ht="15" customHeight="1" x14ac:dyDescent="0.3">
      <c r="M16220" s="5"/>
    </row>
    <row r="16221" spans="13:13" ht="15" customHeight="1" x14ac:dyDescent="0.3">
      <c r="M16221" s="5"/>
    </row>
    <row r="16222" spans="13:13" ht="15" customHeight="1" x14ac:dyDescent="0.3">
      <c r="M16222" s="5"/>
    </row>
    <row r="16223" spans="13:13" ht="15" customHeight="1" x14ac:dyDescent="0.3">
      <c r="M16223" s="5"/>
    </row>
    <row r="16224" spans="13:13" ht="15" customHeight="1" x14ac:dyDescent="0.3">
      <c r="M16224" s="5"/>
    </row>
    <row r="16225" spans="13:13" ht="15" customHeight="1" x14ac:dyDescent="0.3">
      <c r="M16225" s="5"/>
    </row>
    <row r="16226" spans="13:13" ht="15" customHeight="1" x14ac:dyDescent="0.3">
      <c r="M16226" s="5"/>
    </row>
    <row r="16227" spans="13:13" ht="15" customHeight="1" x14ac:dyDescent="0.3">
      <c r="M16227" s="5"/>
    </row>
    <row r="16228" spans="13:13" ht="15" customHeight="1" x14ac:dyDescent="0.3">
      <c r="M16228" s="5"/>
    </row>
    <row r="16229" spans="13:13" ht="15" customHeight="1" x14ac:dyDescent="0.3">
      <c r="M16229" s="5"/>
    </row>
    <row r="16230" spans="13:13" ht="15" customHeight="1" x14ac:dyDescent="0.3">
      <c r="M16230" s="5"/>
    </row>
    <row r="16231" spans="13:13" ht="15" customHeight="1" x14ac:dyDescent="0.3">
      <c r="M16231" s="5"/>
    </row>
    <row r="16232" spans="13:13" ht="15" customHeight="1" x14ac:dyDescent="0.3">
      <c r="M16232" s="5"/>
    </row>
    <row r="16233" spans="13:13" ht="15" customHeight="1" x14ac:dyDescent="0.3">
      <c r="M16233" s="5"/>
    </row>
    <row r="16234" spans="13:13" ht="15" customHeight="1" x14ac:dyDescent="0.3">
      <c r="M16234" s="5"/>
    </row>
    <row r="16235" spans="13:13" ht="15" customHeight="1" x14ac:dyDescent="0.3">
      <c r="M16235" s="5"/>
    </row>
    <row r="16236" spans="13:13" ht="15" customHeight="1" x14ac:dyDescent="0.3">
      <c r="M16236" s="5"/>
    </row>
    <row r="16237" spans="13:13" ht="15" customHeight="1" x14ac:dyDescent="0.3">
      <c r="M16237" s="5"/>
    </row>
    <row r="16238" spans="13:13" ht="15" customHeight="1" x14ac:dyDescent="0.3">
      <c r="M16238" s="5"/>
    </row>
    <row r="16239" spans="13:13" ht="15" customHeight="1" x14ac:dyDescent="0.3">
      <c r="M16239" s="5"/>
    </row>
    <row r="16240" spans="13:13" ht="15" customHeight="1" x14ac:dyDescent="0.3">
      <c r="M16240" s="5"/>
    </row>
    <row r="16241" spans="13:13" ht="15" customHeight="1" x14ac:dyDescent="0.3">
      <c r="M16241" s="5"/>
    </row>
    <row r="16242" spans="13:13" ht="15" customHeight="1" x14ac:dyDescent="0.3">
      <c r="M16242" s="5"/>
    </row>
    <row r="16243" spans="13:13" ht="15" customHeight="1" x14ac:dyDescent="0.3">
      <c r="M16243" s="5"/>
    </row>
    <row r="16244" spans="13:13" ht="15" customHeight="1" x14ac:dyDescent="0.3">
      <c r="M16244" s="5"/>
    </row>
    <row r="16245" spans="13:13" ht="15" customHeight="1" x14ac:dyDescent="0.3">
      <c r="M16245" s="5"/>
    </row>
    <row r="16246" spans="13:13" ht="15" customHeight="1" x14ac:dyDescent="0.3">
      <c r="M16246" s="5"/>
    </row>
    <row r="16247" spans="13:13" ht="15" customHeight="1" x14ac:dyDescent="0.3">
      <c r="M16247" s="5"/>
    </row>
    <row r="16248" spans="13:13" ht="15" customHeight="1" x14ac:dyDescent="0.3">
      <c r="M16248" s="5"/>
    </row>
    <row r="16249" spans="13:13" ht="15" customHeight="1" x14ac:dyDescent="0.3">
      <c r="M16249" s="5"/>
    </row>
    <row r="16250" spans="13:13" ht="15" customHeight="1" x14ac:dyDescent="0.3">
      <c r="M16250" s="5"/>
    </row>
    <row r="16251" spans="13:13" ht="15" customHeight="1" x14ac:dyDescent="0.3">
      <c r="M16251" s="5"/>
    </row>
    <row r="16252" spans="13:13" ht="15" customHeight="1" x14ac:dyDescent="0.3">
      <c r="M16252" s="5"/>
    </row>
    <row r="16253" spans="13:13" ht="15" customHeight="1" x14ac:dyDescent="0.3">
      <c r="M16253" s="5"/>
    </row>
    <row r="16254" spans="13:13" ht="15" customHeight="1" x14ac:dyDescent="0.3">
      <c r="M16254" s="5"/>
    </row>
    <row r="16255" spans="13:13" ht="15" customHeight="1" x14ac:dyDescent="0.3">
      <c r="M16255" s="5"/>
    </row>
    <row r="16256" spans="13:13" ht="15" customHeight="1" x14ac:dyDescent="0.3">
      <c r="M16256" s="5"/>
    </row>
    <row r="16257" spans="13:13" ht="15" customHeight="1" x14ac:dyDescent="0.3">
      <c r="M16257" s="5"/>
    </row>
    <row r="16258" spans="13:13" ht="15" customHeight="1" x14ac:dyDescent="0.3">
      <c r="M16258" s="5"/>
    </row>
    <row r="16259" spans="13:13" ht="15" customHeight="1" x14ac:dyDescent="0.3">
      <c r="M16259" s="5"/>
    </row>
    <row r="16260" spans="13:13" ht="15" customHeight="1" x14ac:dyDescent="0.3">
      <c r="M16260" s="5"/>
    </row>
    <row r="16261" spans="13:13" ht="15" customHeight="1" x14ac:dyDescent="0.3">
      <c r="M16261" s="5"/>
    </row>
    <row r="16262" spans="13:13" ht="15" customHeight="1" x14ac:dyDescent="0.3">
      <c r="M16262" s="5"/>
    </row>
    <row r="16263" spans="13:13" ht="15" customHeight="1" x14ac:dyDescent="0.3">
      <c r="M16263" s="5"/>
    </row>
    <row r="16264" spans="13:13" ht="15" customHeight="1" x14ac:dyDescent="0.3">
      <c r="M16264" s="5"/>
    </row>
    <row r="16265" spans="13:13" ht="15" customHeight="1" x14ac:dyDescent="0.3">
      <c r="M16265" s="5"/>
    </row>
    <row r="16266" spans="13:13" ht="15" customHeight="1" x14ac:dyDescent="0.3">
      <c r="M16266" s="5"/>
    </row>
    <row r="16267" spans="13:13" ht="15" customHeight="1" x14ac:dyDescent="0.3">
      <c r="M16267" s="5"/>
    </row>
    <row r="16268" spans="13:13" ht="15" customHeight="1" x14ac:dyDescent="0.3">
      <c r="M16268" s="5"/>
    </row>
    <row r="16269" spans="13:13" ht="15" customHeight="1" x14ac:dyDescent="0.3">
      <c r="M16269" s="5"/>
    </row>
    <row r="16270" spans="13:13" ht="15" customHeight="1" x14ac:dyDescent="0.3">
      <c r="M16270" s="5"/>
    </row>
    <row r="16271" spans="13:13" ht="15" customHeight="1" x14ac:dyDescent="0.3">
      <c r="M16271" s="5"/>
    </row>
    <row r="16272" spans="13:13" ht="15" customHeight="1" x14ac:dyDescent="0.3">
      <c r="M16272" s="5"/>
    </row>
    <row r="16273" spans="13:13" ht="15" customHeight="1" x14ac:dyDescent="0.3">
      <c r="M16273" s="5"/>
    </row>
    <row r="16274" spans="13:13" ht="15" customHeight="1" x14ac:dyDescent="0.3">
      <c r="M16274" s="5"/>
    </row>
    <row r="16275" spans="13:13" ht="15" customHeight="1" x14ac:dyDescent="0.3">
      <c r="M16275" s="5"/>
    </row>
    <row r="16276" spans="13:13" ht="15" customHeight="1" x14ac:dyDescent="0.3">
      <c r="M16276" s="5"/>
    </row>
    <row r="16277" spans="13:13" ht="15" customHeight="1" x14ac:dyDescent="0.3">
      <c r="M16277" s="5"/>
    </row>
    <row r="16278" spans="13:13" ht="15" customHeight="1" x14ac:dyDescent="0.3">
      <c r="M16278" s="5"/>
    </row>
    <row r="16279" spans="13:13" ht="15" customHeight="1" x14ac:dyDescent="0.3">
      <c r="M16279" s="5"/>
    </row>
    <row r="16280" spans="13:13" ht="15" customHeight="1" x14ac:dyDescent="0.3">
      <c r="M16280" s="5"/>
    </row>
    <row r="16281" spans="13:13" ht="15" customHeight="1" x14ac:dyDescent="0.3">
      <c r="M16281" s="5"/>
    </row>
    <row r="16282" spans="13:13" ht="15" customHeight="1" x14ac:dyDescent="0.3">
      <c r="M16282" s="5"/>
    </row>
    <row r="16283" spans="13:13" ht="15" customHeight="1" x14ac:dyDescent="0.3">
      <c r="M16283" s="5"/>
    </row>
    <row r="16284" spans="13:13" ht="15" customHeight="1" x14ac:dyDescent="0.3">
      <c r="M16284" s="5"/>
    </row>
    <row r="16285" spans="13:13" ht="15" customHeight="1" x14ac:dyDescent="0.3">
      <c r="M16285" s="5"/>
    </row>
    <row r="16286" spans="13:13" ht="15" customHeight="1" x14ac:dyDescent="0.3">
      <c r="M16286" s="5"/>
    </row>
    <row r="16287" spans="13:13" ht="15" customHeight="1" x14ac:dyDescent="0.3">
      <c r="M16287" s="5"/>
    </row>
    <row r="16288" spans="13:13" ht="15" customHeight="1" x14ac:dyDescent="0.3">
      <c r="M16288" s="5"/>
    </row>
    <row r="16289" spans="13:13" ht="15" customHeight="1" x14ac:dyDescent="0.3">
      <c r="M16289" s="5"/>
    </row>
    <row r="16290" spans="13:13" ht="15" customHeight="1" x14ac:dyDescent="0.3">
      <c r="M16290" s="5"/>
    </row>
    <row r="16291" spans="13:13" ht="15" customHeight="1" x14ac:dyDescent="0.3">
      <c r="M16291" s="5"/>
    </row>
    <row r="16292" spans="13:13" ht="15" customHeight="1" x14ac:dyDescent="0.3">
      <c r="M16292" s="5"/>
    </row>
    <row r="16293" spans="13:13" ht="15" customHeight="1" x14ac:dyDescent="0.3">
      <c r="M16293" s="5"/>
    </row>
    <row r="16294" spans="13:13" ht="15" customHeight="1" x14ac:dyDescent="0.3">
      <c r="M16294" s="5"/>
    </row>
    <row r="16295" spans="13:13" ht="15" customHeight="1" x14ac:dyDescent="0.3">
      <c r="M16295" s="5"/>
    </row>
    <row r="16296" spans="13:13" ht="15" customHeight="1" x14ac:dyDescent="0.3">
      <c r="M16296" s="5"/>
    </row>
    <row r="16297" spans="13:13" ht="15" customHeight="1" x14ac:dyDescent="0.3">
      <c r="M16297" s="5"/>
    </row>
    <row r="16298" spans="13:13" ht="15" customHeight="1" x14ac:dyDescent="0.3">
      <c r="M16298" s="5"/>
    </row>
    <row r="16299" spans="13:13" ht="15" customHeight="1" x14ac:dyDescent="0.3">
      <c r="M16299" s="5"/>
    </row>
    <row r="16300" spans="13:13" ht="15" customHeight="1" x14ac:dyDescent="0.3">
      <c r="M16300" s="5"/>
    </row>
    <row r="16301" spans="13:13" ht="15" customHeight="1" x14ac:dyDescent="0.3">
      <c r="M16301" s="5"/>
    </row>
    <row r="16302" spans="13:13" ht="15" customHeight="1" x14ac:dyDescent="0.3">
      <c r="M16302" s="5"/>
    </row>
    <row r="16303" spans="13:13" ht="15" customHeight="1" x14ac:dyDescent="0.3">
      <c r="M16303" s="5"/>
    </row>
    <row r="16304" spans="13:13" ht="15" customHeight="1" x14ac:dyDescent="0.3">
      <c r="M16304" s="5"/>
    </row>
    <row r="16305" spans="13:13" ht="15" customHeight="1" x14ac:dyDescent="0.3">
      <c r="M16305" s="5"/>
    </row>
    <row r="16306" spans="13:13" ht="15" customHeight="1" x14ac:dyDescent="0.3">
      <c r="M16306" s="5"/>
    </row>
    <row r="16307" spans="13:13" ht="15" customHeight="1" x14ac:dyDescent="0.3">
      <c r="M16307" s="5"/>
    </row>
    <row r="16308" spans="13:13" ht="15" customHeight="1" x14ac:dyDescent="0.3">
      <c r="M16308" s="5"/>
    </row>
    <row r="16309" spans="13:13" ht="15" customHeight="1" x14ac:dyDescent="0.3">
      <c r="M16309" s="5"/>
    </row>
    <row r="16310" spans="13:13" ht="15" customHeight="1" x14ac:dyDescent="0.3">
      <c r="M16310" s="5"/>
    </row>
    <row r="16311" spans="13:13" ht="15" customHeight="1" x14ac:dyDescent="0.3">
      <c r="M16311" s="5"/>
    </row>
    <row r="16312" spans="13:13" ht="15" customHeight="1" x14ac:dyDescent="0.3">
      <c r="M16312" s="5"/>
    </row>
    <row r="16313" spans="13:13" ht="15" customHeight="1" x14ac:dyDescent="0.3">
      <c r="M16313" s="5"/>
    </row>
    <row r="16314" spans="13:13" ht="15" customHeight="1" x14ac:dyDescent="0.3">
      <c r="M16314" s="5"/>
    </row>
    <row r="16315" spans="13:13" ht="15" customHeight="1" x14ac:dyDescent="0.3">
      <c r="M16315" s="5"/>
    </row>
    <row r="16316" spans="13:13" ht="15" customHeight="1" x14ac:dyDescent="0.3">
      <c r="M16316" s="5"/>
    </row>
    <row r="16317" spans="13:13" ht="15" customHeight="1" x14ac:dyDescent="0.3">
      <c r="M16317" s="5"/>
    </row>
    <row r="16318" spans="13:13" ht="15" customHeight="1" x14ac:dyDescent="0.3">
      <c r="M16318" s="5"/>
    </row>
    <row r="16319" spans="13:13" ht="15" customHeight="1" x14ac:dyDescent="0.3">
      <c r="M16319" s="5"/>
    </row>
    <row r="16320" spans="13:13" ht="15" customHeight="1" x14ac:dyDescent="0.3">
      <c r="M16320" s="5"/>
    </row>
    <row r="16321" spans="13:13" ht="15" customHeight="1" x14ac:dyDescent="0.3">
      <c r="M16321" s="5"/>
    </row>
    <row r="16322" spans="13:13" ht="15" customHeight="1" x14ac:dyDescent="0.3">
      <c r="M16322" s="5"/>
    </row>
    <row r="16323" spans="13:13" ht="15" customHeight="1" x14ac:dyDescent="0.3">
      <c r="M16323" s="5"/>
    </row>
    <row r="16324" spans="13:13" ht="15" customHeight="1" x14ac:dyDescent="0.3">
      <c r="M16324" s="5"/>
    </row>
    <row r="16325" spans="13:13" ht="15" customHeight="1" x14ac:dyDescent="0.3">
      <c r="M16325" s="5"/>
    </row>
    <row r="16326" spans="13:13" ht="15" customHeight="1" x14ac:dyDescent="0.3">
      <c r="M16326" s="5"/>
    </row>
    <row r="16327" spans="13:13" ht="15" customHeight="1" x14ac:dyDescent="0.3">
      <c r="M16327" s="5"/>
    </row>
    <row r="16328" spans="13:13" ht="15" customHeight="1" x14ac:dyDescent="0.3">
      <c r="M16328" s="5"/>
    </row>
    <row r="16329" spans="13:13" ht="15" customHeight="1" x14ac:dyDescent="0.3">
      <c r="M16329" s="5"/>
    </row>
    <row r="16330" spans="13:13" ht="15" customHeight="1" x14ac:dyDescent="0.3">
      <c r="M16330" s="5"/>
    </row>
    <row r="16331" spans="13:13" ht="15" customHeight="1" x14ac:dyDescent="0.3">
      <c r="M16331" s="5"/>
    </row>
    <row r="16332" spans="13:13" ht="15" customHeight="1" x14ac:dyDescent="0.3">
      <c r="M16332" s="5"/>
    </row>
    <row r="16333" spans="13:13" ht="15" customHeight="1" x14ac:dyDescent="0.3">
      <c r="M16333" s="5"/>
    </row>
    <row r="16334" spans="13:13" ht="15" customHeight="1" x14ac:dyDescent="0.3">
      <c r="M16334" s="5"/>
    </row>
    <row r="16335" spans="13:13" ht="15" customHeight="1" x14ac:dyDescent="0.3">
      <c r="M16335" s="5"/>
    </row>
    <row r="16336" spans="13:13" ht="15" customHeight="1" x14ac:dyDescent="0.3">
      <c r="M16336" s="5"/>
    </row>
    <row r="16337" spans="13:13" ht="15" customHeight="1" x14ac:dyDescent="0.3">
      <c r="M16337" s="5"/>
    </row>
    <row r="16338" spans="13:13" ht="15" customHeight="1" x14ac:dyDescent="0.3">
      <c r="M16338" s="5"/>
    </row>
    <row r="16339" spans="13:13" ht="15" customHeight="1" x14ac:dyDescent="0.3">
      <c r="M16339" s="5"/>
    </row>
    <row r="16340" spans="13:13" ht="15" customHeight="1" x14ac:dyDescent="0.3">
      <c r="M16340" s="5"/>
    </row>
    <row r="16341" spans="13:13" ht="15" customHeight="1" x14ac:dyDescent="0.3">
      <c r="M16341" s="5"/>
    </row>
    <row r="16342" spans="13:13" ht="15" customHeight="1" x14ac:dyDescent="0.3">
      <c r="M16342" s="5"/>
    </row>
    <row r="16343" spans="13:13" ht="15" customHeight="1" x14ac:dyDescent="0.3">
      <c r="M16343" s="5"/>
    </row>
    <row r="16344" spans="13:13" ht="15" customHeight="1" x14ac:dyDescent="0.3">
      <c r="M16344" s="5"/>
    </row>
    <row r="16345" spans="13:13" ht="15" customHeight="1" x14ac:dyDescent="0.3">
      <c r="M16345" s="5"/>
    </row>
    <row r="16346" spans="13:13" ht="15" customHeight="1" x14ac:dyDescent="0.3">
      <c r="M16346" s="5"/>
    </row>
    <row r="16347" spans="13:13" ht="15" customHeight="1" x14ac:dyDescent="0.3">
      <c r="M16347" s="5"/>
    </row>
    <row r="16348" spans="13:13" ht="15" customHeight="1" x14ac:dyDescent="0.3">
      <c r="M16348" s="5"/>
    </row>
    <row r="16349" spans="13:13" ht="15" customHeight="1" x14ac:dyDescent="0.3">
      <c r="M16349" s="5"/>
    </row>
    <row r="16350" spans="13:13" ht="15" customHeight="1" x14ac:dyDescent="0.3">
      <c r="M16350" s="5"/>
    </row>
    <row r="16351" spans="13:13" ht="15" customHeight="1" x14ac:dyDescent="0.3">
      <c r="M16351" s="5"/>
    </row>
    <row r="16352" spans="13:13" ht="15" customHeight="1" x14ac:dyDescent="0.3">
      <c r="M16352" s="5"/>
    </row>
    <row r="16353" spans="13:13" ht="15" customHeight="1" x14ac:dyDescent="0.3">
      <c r="M16353" s="5"/>
    </row>
    <row r="16354" spans="13:13" ht="15" customHeight="1" x14ac:dyDescent="0.3">
      <c r="M16354" s="5"/>
    </row>
    <row r="16355" spans="13:13" ht="15" customHeight="1" x14ac:dyDescent="0.3">
      <c r="M16355" s="5"/>
    </row>
    <row r="16356" spans="13:13" ht="15" customHeight="1" x14ac:dyDescent="0.3">
      <c r="M16356" s="5"/>
    </row>
    <row r="16357" spans="13:13" ht="15" customHeight="1" x14ac:dyDescent="0.3">
      <c r="M16357" s="5"/>
    </row>
    <row r="16358" spans="13:13" ht="15" customHeight="1" x14ac:dyDescent="0.3">
      <c r="M16358" s="5"/>
    </row>
    <row r="16359" spans="13:13" ht="15" customHeight="1" x14ac:dyDescent="0.3">
      <c r="M16359" s="5"/>
    </row>
    <row r="16360" spans="13:13" ht="15" customHeight="1" x14ac:dyDescent="0.3">
      <c r="M16360" s="5"/>
    </row>
    <row r="16361" spans="13:13" ht="15" customHeight="1" x14ac:dyDescent="0.3">
      <c r="M16361" s="5"/>
    </row>
    <row r="16362" spans="13:13" ht="15" customHeight="1" x14ac:dyDescent="0.3">
      <c r="M16362" s="5"/>
    </row>
    <row r="16363" spans="13:13" ht="15" customHeight="1" x14ac:dyDescent="0.3">
      <c r="M16363" s="5"/>
    </row>
    <row r="16364" spans="13:13" ht="15" customHeight="1" x14ac:dyDescent="0.3">
      <c r="M16364" s="5"/>
    </row>
    <row r="16365" spans="13:13" ht="15" customHeight="1" x14ac:dyDescent="0.3">
      <c r="M16365" s="5"/>
    </row>
    <row r="16366" spans="13:13" ht="15" customHeight="1" x14ac:dyDescent="0.3">
      <c r="M16366" s="5"/>
    </row>
    <row r="16367" spans="13:13" ht="15" customHeight="1" x14ac:dyDescent="0.3">
      <c r="M16367" s="5"/>
    </row>
    <row r="16368" spans="13:13" ht="15" customHeight="1" x14ac:dyDescent="0.3">
      <c r="M16368" s="5"/>
    </row>
    <row r="16369" spans="13:13" ht="15" customHeight="1" x14ac:dyDescent="0.3">
      <c r="M16369" s="5"/>
    </row>
    <row r="16370" spans="13:13" ht="15" customHeight="1" x14ac:dyDescent="0.3">
      <c r="M16370" s="5"/>
    </row>
    <row r="16371" spans="13:13" ht="15" customHeight="1" x14ac:dyDescent="0.3">
      <c r="M16371" s="5"/>
    </row>
    <row r="16372" spans="13:13" ht="15" customHeight="1" x14ac:dyDescent="0.3">
      <c r="M16372" s="5"/>
    </row>
    <row r="16373" spans="13:13" ht="15" customHeight="1" x14ac:dyDescent="0.3">
      <c r="M16373" s="5"/>
    </row>
    <row r="16374" spans="13:13" ht="15" customHeight="1" x14ac:dyDescent="0.3">
      <c r="M16374" s="5"/>
    </row>
    <row r="16375" spans="13:13" ht="15" customHeight="1" x14ac:dyDescent="0.3">
      <c r="M16375" s="5"/>
    </row>
    <row r="16376" spans="13:13" ht="15" customHeight="1" x14ac:dyDescent="0.3">
      <c r="M16376" s="5"/>
    </row>
    <row r="16377" spans="13:13" ht="15" customHeight="1" x14ac:dyDescent="0.3">
      <c r="M16377" s="5"/>
    </row>
    <row r="16378" spans="13:13" ht="15" customHeight="1" x14ac:dyDescent="0.3">
      <c r="M16378" s="5"/>
    </row>
    <row r="16379" spans="13:13" ht="15" customHeight="1" x14ac:dyDescent="0.3">
      <c r="M16379" s="5"/>
    </row>
    <row r="16380" spans="13:13" ht="15" customHeight="1" x14ac:dyDescent="0.3">
      <c r="M16380" s="5"/>
    </row>
    <row r="16381" spans="13:13" ht="15" customHeight="1" x14ac:dyDescent="0.3">
      <c r="M16381" s="5"/>
    </row>
    <row r="16382" spans="13:13" ht="15" customHeight="1" x14ac:dyDescent="0.3">
      <c r="M16382" s="5"/>
    </row>
    <row r="16383" spans="13:13" ht="15" customHeight="1" x14ac:dyDescent="0.3">
      <c r="M16383" s="5"/>
    </row>
    <row r="16384" spans="13:13" ht="15" customHeight="1" x14ac:dyDescent="0.3">
      <c r="M16384" s="5"/>
    </row>
    <row r="16385" spans="13:13" ht="15" customHeight="1" x14ac:dyDescent="0.3">
      <c r="M16385" s="5"/>
    </row>
    <row r="16386" spans="13:13" ht="15" customHeight="1" x14ac:dyDescent="0.3">
      <c r="M16386" s="5"/>
    </row>
    <row r="16387" spans="13:13" ht="15" customHeight="1" x14ac:dyDescent="0.3">
      <c r="M16387" s="5"/>
    </row>
    <row r="16388" spans="13:13" ht="15" customHeight="1" x14ac:dyDescent="0.3">
      <c r="M16388" s="5"/>
    </row>
    <row r="16389" spans="13:13" ht="15" customHeight="1" x14ac:dyDescent="0.3">
      <c r="M16389" s="5"/>
    </row>
    <row r="16390" spans="13:13" ht="15" customHeight="1" x14ac:dyDescent="0.3">
      <c r="M16390" s="5"/>
    </row>
  </sheetData>
  <mergeCells count="3">
    <mergeCell ref="I55:J55"/>
    <mergeCell ref="A34:J45"/>
    <mergeCell ref="A16:J26"/>
  </mergeCells>
  <conditionalFormatting sqref="O8:O36">
    <cfRule type="cellIs" dxfId="1" priority="2" operator="greaterThan">
      <formula>255</formula>
    </cfRule>
  </conditionalFormatting>
  <conditionalFormatting sqref="M7:M36">
    <cfRule type="cellIs" dxfId="0" priority="1" operator="greaterThan">
      <formula>255</formula>
    </cfRule>
  </conditionalFormatting>
  <hyperlinks>
    <hyperlink ref="N28" r:id="rId1" display="https://www.nice.org.uk/guidance/ph10/evidence/smoking-cessation-services-economics-modelling-report-369845965" xr:uid="{00000000-0004-0000-0300-000000000000}"/>
  </hyperlinks>
  <pageMargins left="0.23622047244094491" right="0" top="0.19685039370078741" bottom="0.19685039370078741" header="0.31496062992125984" footer="0.31496062992125984"/>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7"/>
    <pageSetUpPr fitToPage="1"/>
  </sheetPr>
  <dimension ref="A1:AD64"/>
  <sheetViews>
    <sheetView showGridLines="0" showRowColHeaders="0" zoomScaleNormal="100" workbookViewId="0">
      <selection activeCell="T5" sqref="T5"/>
    </sheetView>
  </sheetViews>
  <sheetFormatPr defaultColWidth="8.88671875" defaultRowHeight="14.4" x14ac:dyDescent="0.3"/>
  <cols>
    <col min="4" max="4" width="2.88671875" customWidth="1"/>
    <col min="15" max="15" width="18.5546875" customWidth="1"/>
  </cols>
  <sheetData>
    <row r="1" spans="1:30" x14ac:dyDescent="0.3">
      <c r="A1" s="7"/>
      <c r="B1" s="7"/>
      <c r="C1" s="7"/>
      <c r="D1" s="8"/>
      <c r="E1" s="9"/>
      <c r="F1" s="9"/>
      <c r="G1" s="9"/>
      <c r="H1" s="9"/>
      <c r="I1" s="9"/>
      <c r="J1" s="9"/>
      <c r="K1" s="9"/>
      <c r="L1" s="9"/>
      <c r="M1" s="9"/>
      <c r="N1" s="9"/>
      <c r="O1" s="9"/>
      <c r="P1" s="9"/>
      <c r="Q1" s="9"/>
      <c r="R1" s="9"/>
      <c r="S1" s="9"/>
      <c r="T1" s="10"/>
    </row>
    <row r="2" spans="1:30" x14ac:dyDescent="0.3">
      <c r="A2" s="7"/>
      <c r="B2" s="7"/>
      <c r="C2" s="7"/>
      <c r="D2" s="11"/>
      <c r="E2" s="12"/>
      <c r="F2" s="12"/>
      <c r="G2" s="12"/>
      <c r="H2" s="12"/>
      <c r="I2" s="12"/>
      <c r="J2" s="12"/>
      <c r="K2" s="12"/>
      <c r="L2" s="12"/>
      <c r="M2" s="12"/>
      <c r="N2" s="12"/>
      <c r="O2" s="12"/>
      <c r="P2" s="12"/>
      <c r="Q2" s="12"/>
      <c r="R2" s="12"/>
      <c r="S2" s="12"/>
      <c r="T2" s="13"/>
    </row>
    <row r="3" spans="1:30" ht="22.8" x14ac:dyDescent="0.4">
      <c r="A3" s="7"/>
      <c r="B3" s="7"/>
      <c r="C3" s="7"/>
      <c r="D3" s="11"/>
      <c r="E3" s="14" t="s">
        <v>1688</v>
      </c>
      <c r="F3" s="12"/>
      <c r="G3" s="12"/>
      <c r="H3" s="12"/>
      <c r="I3" s="12"/>
      <c r="J3" s="12"/>
      <c r="K3" s="12"/>
      <c r="L3" s="12"/>
      <c r="M3" s="12"/>
      <c r="N3" s="12"/>
      <c r="O3" s="12"/>
      <c r="P3" s="12"/>
      <c r="Q3" s="12"/>
      <c r="R3" s="12"/>
      <c r="S3" s="12"/>
      <c r="T3" s="12"/>
    </row>
    <row r="4" spans="1:30" x14ac:dyDescent="0.3">
      <c r="A4" s="7"/>
      <c r="B4" s="7"/>
      <c r="C4" s="7"/>
      <c r="D4" s="15"/>
      <c r="E4" s="16"/>
      <c r="F4" s="16"/>
      <c r="G4" s="16"/>
      <c r="H4" s="16"/>
      <c r="I4" s="16"/>
      <c r="J4" s="16"/>
      <c r="K4" s="16"/>
      <c r="L4" s="16"/>
      <c r="M4" s="16"/>
      <c r="N4" s="16"/>
      <c r="O4" s="16"/>
      <c r="P4" s="16"/>
      <c r="Q4" s="16"/>
      <c r="R4" s="16"/>
      <c r="S4" s="16"/>
      <c r="T4" s="183" t="s">
        <v>2783</v>
      </c>
    </row>
    <row r="5" spans="1:30" x14ac:dyDescent="0.3">
      <c r="A5" s="8"/>
      <c r="B5" s="9"/>
      <c r="C5" s="10"/>
      <c r="D5" s="7"/>
      <c r="E5" s="7"/>
      <c r="F5" s="7"/>
      <c r="G5" s="7"/>
      <c r="H5" s="7"/>
      <c r="I5" s="7"/>
      <c r="J5" s="7"/>
      <c r="K5" s="7"/>
      <c r="L5" s="7"/>
      <c r="M5" s="7"/>
      <c r="N5" s="7"/>
      <c r="O5" s="7"/>
      <c r="P5" s="7"/>
      <c r="Q5" s="7"/>
      <c r="R5" s="25"/>
      <c r="S5" s="25"/>
      <c r="T5" s="7"/>
      <c r="AD5" s="7"/>
    </row>
    <row r="6" spans="1:30" x14ac:dyDescent="0.3">
      <c r="A6" s="11"/>
      <c r="B6" s="12"/>
      <c r="C6" s="13"/>
      <c r="D6" s="7"/>
      <c r="E6" s="18"/>
      <c r="F6" s="7"/>
      <c r="G6" s="18"/>
      <c r="H6" s="7"/>
      <c r="I6" s="18"/>
      <c r="J6" s="7"/>
      <c r="K6" s="7"/>
      <c r="L6" s="7"/>
      <c r="M6" s="7"/>
      <c r="N6" s="7"/>
      <c r="O6" s="7"/>
      <c r="P6" s="7"/>
      <c r="Q6" s="7"/>
      <c r="R6" s="25"/>
      <c r="S6" s="25"/>
      <c r="T6" s="7"/>
      <c r="AD6" s="7"/>
    </row>
    <row r="7" spans="1:30" x14ac:dyDescent="0.3">
      <c r="A7" s="11"/>
      <c r="B7" s="12"/>
      <c r="C7" s="13"/>
      <c r="D7" s="7"/>
      <c r="E7" s="7"/>
      <c r="F7" s="7"/>
      <c r="G7" s="7"/>
      <c r="H7" s="7"/>
      <c r="I7" s="7"/>
      <c r="J7" s="7"/>
      <c r="K7" s="7"/>
      <c r="L7" s="7"/>
      <c r="M7" s="7"/>
      <c r="N7" s="7"/>
      <c r="O7" s="7"/>
      <c r="P7" s="7"/>
      <c r="Q7" s="7"/>
      <c r="R7" s="25"/>
      <c r="S7" s="25"/>
      <c r="T7" s="7"/>
      <c r="AD7" s="7"/>
    </row>
    <row r="8" spans="1:30" x14ac:dyDescent="0.3">
      <c r="A8" s="11"/>
      <c r="B8" s="12"/>
      <c r="C8" s="13"/>
      <c r="D8" s="7"/>
      <c r="E8" s="7"/>
      <c r="F8" s="7"/>
      <c r="G8" s="7"/>
      <c r="H8" s="7"/>
      <c r="I8" s="7"/>
      <c r="J8" s="7"/>
      <c r="K8" s="7"/>
      <c r="L8" s="7"/>
      <c r="M8" s="7"/>
      <c r="N8" s="7"/>
      <c r="O8" s="7"/>
      <c r="P8" s="7"/>
      <c r="Q8" s="7"/>
      <c r="R8" s="25"/>
      <c r="S8" s="25"/>
      <c r="T8" s="7"/>
      <c r="AD8" s="7"/>
    </row>
    <row r="9" spans="1:30" x14ac:dyDescent="0.3">
      <c r="A9" s="11"/>
      <c r="B9" s="12"/>
      <c r="C9" s="13"/>
      <c r="D9" s="7"/>
      <c r="E9" s="84" t="s">
        <v>1888</v>
      </c>
      <c r="F9" s="85"/>
      <c r="G9" s="85"/>
      <c r="H9" s="85"/>
      <c r="I9" s="86"/>
      <c r="J9" s="86"/>
      <c r="K9" s="86"/>
      <c r="L9" s="86"/>
      <c r="M9" s="86"/>
      <c r="N9" s="86"/>
      <c r="O9" s="86"/>
      <c r="P9" s="86"/>
      <c r="Q9" s="86"/>
      <c r="R9" s="86"/>
      <c r="S9" s="86"/>
      <c r="T9" s="87"/>
      <c r="AD9" s="7"/>
    </row>
    <row r="10" spans="1:30" x14ac:dyDescent="0.3">
      <c r="A10" s="11"/>
      <c r="B10" s="12"/>
      <c r="C10" s="13"/>
      <c r="D10" s="7"/>
      <c r="E10" s="41" t="s">
        <v>1744</v>
      </c>
      <c r="F10" s="89"/>
      <c r="G10" s="89"/>
      <c r="H10" s="89"/>
      <c r="I10" s="160"/>
      <c r="J10" s="90"/>
      <c r="K10" s="90"/>
      <c r="L10" s="90"/>
      <c r="M10" s="90"/>
      <c r="N10" s="90"/>
      <c r="O10" s="90"/>
      <c r="P10" s="90"/>
      <c r="Q10" s="90"/>
      <c r="R10" s="90"/>
      <c r="S10" s="90"/>
      <c r="T10" s="91"/>
      <c r="AD10" s="7"/>
    </row>
    <row r="11" spans="1:30" x14ac:dyDescent="0.3">
      <c r="A11" s="11"/>
      <c r="B11" s="12"/>
      <c r="C11" s="13"/>
      <c r="D11" s="7"/>
      <c r="E11" s="305" t="s">
        <v>1723</v>
      </c>
      <c r="F11" s="306"/>
      <c r="G11" s="306"/>
      <c r="H11" s="306"/>
      <c r="I11" s="306"/>
      <c r="J11" s="306"/>
      <c r="K11" s="306"/>
      <c r="L11" s="306"/>
      <c r="M11" s="306"/>
      <c r="N11" s="306"/>
      <c r="O11" s="306"/>
      <c r="P11" s="306"/>
      <c r="Q11" s="306"/>
      <c r="R11" s="306"/>
      <c r="S11" s="306"/>
      <c r="T11" s="307"/>
      <c r="AD11" s="7"/>
    </row>
    <row r="12" spans="1:30" x14ac:dyDescent="0.3">
      <c r="A12" s="11"/>
      <c r="B12" s="12"/>
      <c r="C12" s="13"/>
      <c r="D12" s="7"/>
      <c r="E12" s="305" t="s">
        <v>1724</v>
      </c>
      <c r="F12" s="306"/>
      <c r="G12" s="306"/>
      <c r="H12" s="306"/>
      <c r="I12" s="306"/>
      <c r="J12" s="306"/>
      <c r="K12" s="306"/>
      <c r="L12" s="306"/>
      <c r="M12" s="306"/>
      <c r="N12" s="306"/>
      <c r="O12" s="306"/>
      <c r="P12" s="306"/>
      <c r="Q12" s="306"/>
      <c r="R12" s="306"/>
      <c r="S12" s="306"/>
      <c r="T12" s="307"/>
      <c r="AD12" s="7"/>
    </row>
    <row r="13" spans="1:30" x14ac:dyDescent="0.3">
      <c r="A13" s="11"/>
      <c r="B13" s="12"/>
      <c r="C13" s="13"/>
      <c r="D13" s="7"/>
      <c r="E13" s="305" t="s">
        <v>1725</v>
      </c>
      <c r="F13" s="306"/>
      <c r="G13" s="306"/>
      <c r="H13" s="306"/>
      <c r="I13" s="306"/>
      <c r="J13" s="306"/>
      <c r="K13" s="306"/>
      <c r="L13" s="306"/>
      <c r="M13" s="306"/>
      <c r="N13" s="306"/>
      <c r="O13" s="306"/>
      <c r="P13" s="306"/>
      <c r="Q13" s="306"/>
      <c r="R13" s="306"/>
      <c r="S13" s="306"/>
      <c r="T13" s="307"/>
      <c r="AD13" s="7"/>
    </row>
    <row r="14" spans="1:30" x14ac:dyDescent="0.3">
      <c r="A14" s="11"/>
      <c r="B14" s="12"/>
      <c r="C14" s="13"/>
      <c r="D14" s="7"/>
      <c r="E14" s="308" t="s">
        <v>1749</v>
      </c>
      <c r="F14" s="309"/>
      <c r="G14" s="309"/>
      <c r="H14" s="309"/>
      <c r="I14" s="309"/>
      <c r="J14" s="309"/>
      <c r="K14" s="309"/>
      <c r="L14" s="309"/>
      <c r="M14" s="309"/>
      <c r="N14" s="309"/>
      <c r="O14" s="309"/>
      <c r="P14" s="309"/>
      <c r="Q14" s="309"/>
      <c r="R14" s="309"/>
      <c r="S14" s="309"/>
      <c r="T14" s="310"/>
      <c r="AD14" s="7"/>
    </row>
    <row r="15" spans="1:30" x14ac:dyDescent="0.3">
      <c r="A15" s="11"/>
      <c r="B15" s="12"/>
      <c r="C15" s="13"/>
      <c r="D15" s="7"/>
      <c r="E15" s="40"/>
      <c r="F15" s="89"/>
      <c r="G15" s="89"/>
      <c r="H15" s="89"/>
      <c r="I15" s="90"/>
      <c r="J15" s="90"/>
      <c r="K15" s="90"/>
      <c r="L15" s="90"/>
      <c r="M15" s="125"/>
      <c r="N15" s="90"/>
      <c r="O15" s="90"/>
      <c r="P15" s="90"/>
      <c r="Q15" s="90"/>
      <c r="R15" s="90"/>
      <c r="S15" s="90"/>
      <c r="T15" s="91"/>
      <c r="AD15" s="7"/>
    </row>
    <row r="16" spans="1:30" x14ac:dyDescent="0.3">
      <c r="A16" s="11"/>
      <c r="B16" s="12"/>
      <c r="C16" s="13"/>
      <c r="D16" s="7"/>
      <c r="E16" s="45" t="s">
        <v>1745</v>
      </c>
      <c r="F16" s="89"/>
      <c r="G16" s="89"/>
      <c r="H16" s="89"/>
      <c r="I16" s="90"/>
      <c r="J16" s="90"/>
      <c r="K16" s="90"/>
      <c r="L16" s="90"/>
      <c r="M16" s="96"/>
      <c r="N16" s="90"/>
      <c r="O16" s="90"/>
      <c r="P16" s="90"/>
      <c r="Q16" s="90"/>
      <c r="R16" s="90"/>
      <c r="S16" s="90"/>
      <c r="T16" s="91"/>
      <c r="AD16" s="7"/>
    </row>
    <row r="17" spans="1:30" x14ac:dyDescent="0.3">
      <c r="A17" s="11"/>
      <c r="B17" s="12"/>
      <c r="C17" s="13"/>
      <c r="D17" s="7"/>
      <c r="E17" s="69" t="s">
        <v>1879</v>
      </c>
      <c r="F17" s="179"/>
      <c r="G17" s="179"/>
      <c r="H17" s="179"/>
      <c r="I17" s="179"/>
      <c r="J17" s="179"/>
      <c r="K17" s="179"/>
      <c r="L17" s="179"/>
      <c r="M17" s="179"/>
      <c r="N17" s="179"/>
      <c r="O17" s="179"/>
      <c r="P17" s="179"/>
      <c r="Q17" s="179"/>
      <c r="R17" s="179"/>
      <c r="S17" s="179"/>
      <c r="T17" s="180"/>
      <c r="AD17" s="7"/>
    </row>
    <row r="18" spans="1:30" x14ac:dyDescent="0.3">
      <c r="A18" s="11"/>
      <c r="B18" s="12"/>
      <c r="C18" s="13"/>
      <c r="D18" s="7"/>
      <c r="E18" s="69" t="s">
        <v>1880</v>
      </c>
      <c r="F18" s="179"/>
      <c r="G18" s="179"/>
      <c r="H18" s="179"/>
      <c r="I18" s="179"/>
      <c r="J18" s="179"/>
      <c r="K18" s="179"/>
      <c r="L18" s="179"/>
      <c r="M18" s="179"/>
      <c r="N18" s="179"/>
      <c r="O18" s="179"/>
      <c r="P18" s="181" t="s">
        <v>1881</v>
      </c>
      <c r="Q18" s="179"/>
      <c r="R18" s="179"/>
      <c r="S18" s="179"/>
      <c r="T18" s="180"/>
      <c r="AD18" s="7"/>
    </row>
    <row r="19" spans="1:30" ht="7.5" customHeight="1" x14ac:dyDescent="0.3">
      <c r="A19" s="11"/>
      <c r="B19" s="12"/>
      <c r="C19" s="13"/>
      <c r="D19" s="7"/>
      <c r="E19" s="173"/>
      <c r="F19" s="174"/>
      <c r="G19" s="174"/>
      <c r="H19" s="174"/>
      <c r="I19" s="174"/>
      <c r="J19" s="174"/>
      <c r="K19" s="174"/>
      <c r="L19" s="174"/>
      <c r="M19" s="174"/>
      <c r="N19" s="174"/>
      <c r="O19" s="174"/>
      <c r="P19" s="174"/>
      <c r="Q19" s="174"/>
      <c r="R19" s="174"/>
      <c r="S19" s="174"/>
      <c r="T19" s="175"/>
      <c r="AD19" s="7"/>
    </row>
    <row r="20" spans="1:30" x14ac:dyDescent="0.3">
      <c r="A20" s="11"/>
      <c r="B20" s="12"/>
      <c r="C20" s="13"/>
      <c r="D20" s="7"/>
      <c r="E20" s="311" t="s">
        <v>1726</v>
      </c>
      <c r="F20" s="312"/>
      <c r="G20" s="312"/>
      <c r="H20" s="312"/>
      <c r="I20" s="312"/>
      <c r="J20" s="312"/>
      <c r="K20" s="312"/>
      <c r="L20" s="312"/>
      <c r="M20" s="312"/>
      <c r="N20" s="312"/>
      <c r="O20" s="312"/>
      <c r="P20" s="312"/>
      <c r="Q20" s="312"/>
      <c r="R20" s="312"/>
      <c r="S20" s="312"/>
      <c r="T20" s="313"/>
      <c r="AD20" s="7"/>
    </row>
    <row r="21" spans="1:30" x14ac:dyDescent="0.3">
      <c r="A21" s="11"/>
      <c r="B21" s="12"/>
      <c r="C21" s="13"/>
      <c r="D21" s="7"/>
      <c r="E21" s="69" t="s">
        <v>1882</v>
      </c>
      <c r="F21" s="89"/>
      <c r="G21" s="89"/>
      <c r="H21" s="89"/>
      <c r="I21" s="90"/>
      <c r="J21" s="90"/>
      <c r="K21" s="90"/>
      <c r="L21" s="90"/>
      <c r="M21" s="90"/>
      <c r="N21" s="90"/>
      <c r="O21" s="90"/>
      <c r="P21" s="90"/>
      <c r="Q21" s="90"/>
      <c r="R21" s="90"/>
      <c r="S21" s="90"/>
      <c r="T21" s="91"/>
      <c r="AD21" s="7"/>
    </row>
    <row r="22" spans="1:30" x14ac:dyDescent="0.3">
      <c r="A22" s="11"/>
      <c r="B22" s="12"/>
      <c r="C22" s="13"/>
      <c r="D22" s="7"/>
      <c r="E22" s="69" t="s">
        <v>1727</v>
      </c>
      <c r="F22" s="35"/>
      <c r="G22" s="35"/>
      <c r="H22" s="35"/>
      <c r="I22" s="35"/>
      <c r="J22" s="35"/>
      <c r="K22" s="35"/>
      <c r="L22" s="35"/>
      <c r="M22" s="35"/>
      <c r="N22" s="35"/>
      <c r="O22" s="35"/>
      <c r="P22" s="35"/>
      <c r="Q22" s="35"/>
      <c r="R22" s="35"/>
      <c r="S22" s="35"/>
      <c r="T22" s="36"/>
      <c r="AD22" s="7"/>
    </row>
    <row r="23" spans="1:30" x14ac:dyDescent="0.3">
      <c r="A23" s="11"/>
      <c r="B23" s="12"/>
      <c r="C23" s="13"/>
      <c r="D23" s="7"/>
      <c r="E23" s="69" t="s">
        <v>1728</v>
      </c>
      <c r="F23" s="35"/>
      <c r="G23" s="35"/>
      <c r="H23" s="35"/>
      <c r="I23" s="35"/>
      <c r="J23" s="35"/>
      <c r="K23" s="35"/>
      <c r="L23" s="35"/>
      <c r="M23" s="35"/>
      <c r="N23" s="35"/>
      <c r="O23" s="35"/>
      <c r="P23" s="35"/>
      <c r="Q23" s="35"/>
      <c r="R23" s="35"/>
      <c r="S23" s="35"/>
      <c r="T23" s="36"/>
      <c r="AD23" s="7"/>
    </row>
    <row r="24" spans="1:30" x14ac:dyDescent="0.3">
      <c r="A24" s="11"/>
      <c r="B24" s="12"/>
      <c r="C24" s="13"/>
      <c r="D24" s="7"/>
      <c r="E24" s="69" t="s">
        <v>1729</v>
      </c>
      <c r="F24" s="35"/>
      <c r="G24" s="35"/>
      <c r="H24" s="35"/>
      <c r="I24" s="35"/>
      <c r="J24" s="35"/>
      <c r="K24" s="35"/>
      <c r="L24" s="35"/>
      <c r="M24" s="35"/>
      <c r="N24" s="35"/>
      <c r="O24" s="161"/>
      <c r="P24" s="35"/>
      <c r="Q24" s="35"/>
      <c r="R24" s="35"/>
      <c r="S24" s="35"/>
      <c r="T24" s="36"/>
      <c r="AD24" s="7"/>
    </row>
    <row r="25" spans="1:30" ht="7.5" customHeight="1" x14ac:dyDescent="0.3">
      <c r="A25" s="11"/>
      <c r="B25" s="12"/>
      <c r="C25" s="13"/>
      <c r="D25" s="7"/>
      <c r="E25" s="69"/>
      <c r="F25" s="35"/>
      <c r="G25" s="35"/>
      <c r="H25" s="35"/>
      <c r="I25" s="35"/>
      <c r="J25" s="35"/>
      <c r="K25" s="35"/>
      <c r="L25" s="35"/>
      <c r="M25" s="35"/>
      <c r="N25" s="35"/>
      <c r="O25" s="161"/>
      <c r="P25" s="35"/>
      <c r="Q25" s="35"/>
      <c r="R25" s="35"/>
      <c r="S25" s="35"/>
      <c r="T25" s="36"/>
      <c r="AD25" s="7"/>
    </row>
    <row r="26" spans="1:30" x14ac:dyDescent="0.3">
      <c r="A26" s="11"/>
      <c r="B26" s="12"/>
      <c r="C26" s="13"/>
      <c r="D26" s="7"/>
      <c r="E26" s="69" t="s">
        <v>1750</v>
      </c>
      <c r="F26" s="35"/>
      <c r="G26" s="35"/>
      <c r="H26" s="35"/>
      <c r="I26" s="35"/>
      <c r="J26" s="35"/>
      <c r="K26" s="35"/>
      <c r="L26" s="35"/>
      <c r="M26" s="35"/>
      <c r="N26" s="35"/>
      <c r="O26" s="161"/>
      <c r="P26" s="35"/>
      <c r="Q26" s="35"/>
      <c r="R26" s="35"/>
      <c r="S26" s="35"/>
      <c r="T26" s="36"/>
      <c r="AD26" s="7"/>
    </row>
    <row r="27" spans="1:30" x14ac:dyDescent="0.3">
      <c r="A27" s="11"/>
      <c r="B27" s="12"/>
      <c r="C27" s="13"/>
      <c r="D27" s="7"/>
      <c r="E27" s="41"/>
      <c r="F27" s="89"/>
      <c r="G27" s="89"/>
      <c r="H27" s="89"/>
      <c r="I27" s="90"/>
      <c r="J27" s="90"/>
      <c r="K27" s="90"/>
      <c r="L27" s="90"/>
      <c r="M27" s="90"/>
      <c r="N27" s="90"/>
      <c r="O27" s="90"/>
      <c r="P27" s="90"/>
      <c r="Q27" s="90"/>
      <c r="R27" s="90"/>
      <c r="S27" s="90"/>
      <c r="T27" s="91"/>
      <c r="AD27" s="7"/>
    </row>
    <row r="28" spans="1:30" x14ac:dyDescent="0.3">
      <c r="A28" s="11"/>
      <c r="B28" s="12"/>
      <c r="C28" s="13"/>
      <c r="D28" s="7"/>
      <c r="E28" s="88" t="s">
        <v>1746</v>
      </c>
      <c r="F28" s="89"/>
      <c r="G28" s="89"/>
      <c r="H28" s="89"/>
      <c r="I28" s="90"/>
      <c r="J28" s="90"/>
      <c r="K28" s="90"/>
      <c r="L28" s="90"/>
      <c r="M28" s="90"/>
      <c r="N28" s="90"/>
      <c r="O28" s="90"/>
      <c r="P28" s="90"/>
      <c r="Q28" s="90"/>
      <c r="R28" s="90"/>
      <c r="S28" s="90"/>
      <c r="T28" s="91"/>
      <c r="AD28" s="7"/>
    </row>
    <row r="29" spans="1:30" ht="22.5" customHeight="1" x14ac:dyDescent="0.3">
      <c r="A29" s="11"/>
      <c r="B29" s="12"/>
      <c r="C29" s="13"/>
      <c r="D29" s="7"/>
      <c r="E29" s="314" t="s">
        <v>2779</v>
      </c>
      <c r="F29" s="315"/>
      <c r="G29" s="315"/>
      <c r="H29" s="315"/>
      <c r="I29" s="315"/>
      <c r="J29" s="315"/>
      <c r="K29" s="315"/>
      <c r="L29" s="315"/>
      <c r="M29" s="315"/>
      <c r="N29" s="315"/>
      <c r="O29" s="315"/>
      <c r="P29" s="315"/>
      <c r="Q29" s="315"/>
      <c r="R29" s="315"/>
      <c r="S29" s="315"/>
      <c r="T29" s="316"/>
      <c r="AD29" s="7"/>
    </row>
    <row r="30" spans="1:30" ht="7.5" customHeight="1" x14ac:dyDescent="0.3">
      <c r="A30" s="11"/>
      <c r="B30" s="12"/>
      <c r="C30" s="13"/>
      <c r="D30" s="7"/>
      <c r="E30" s="94"/>
      <c r="F30" s="89"/>
      <c r="G30" s="89"/>
      <c r="H30" s="89"/>
      <c r="I30" s="90"/>
      <c r="J30" s="90"/>
      <c r="K30" s="90"/>
      <c r="L30" s="90"/>
      <c r="M30" s="90"/>
      <c r="N30" s="90"/>
      <c r="O30" s="90"/>
      <c r="P30" s="90"/>
      <c r="Q30" s="90"/>
      <c r="R30" s="90"/>
      <c r="S30" s="90"/>
      <c r="T30" s="91"/>
      <c r="AD30" s="7"/>
    </row>
    <row r="31" spans="1:30" ht="11.25" customHeight="1" x14ac:dyDescent="0.3">
      <c r="A31" s="11"/>
      <c r="B31" s="12"/>
      <c r="C31" s="13"/>
      <c r="D31" s="7"/>
      <c r="E31" s="177" t="s">
        <v>1751</v>
      </c>
      <c r="F31" s="174"/>
      <c r="G31" s="174"/>
      <c r="H31" s="174"/>
      <c r="I31" s="174"/>
      <c r="J31" s="174"/>
      <c r="K31" s="174"/>
      <c r="L31" s="174"/>
      <c r="M31" s="174"/>
      <c r="N31" s="174"/>
      <c r="O31" s="174"/>
      <c r="P31" s="174"/>
      <c r="Q31" s="174"/>
      <c r="R31" s="174"/>
      <c r="S31" s="174"/>
      <c r="T31" s="175"/>
      <c r="AD31" s="7"/>
    </row>
    <row r="32" spans="1:30" x14ac:dyDescent="0.3">
      <c r="A32" s="11"/>
      <c r="B32" s="12"/>
      <c r="C32" s="13"/>
      <c r="D32" s="7"/>
      <c r="E32" s="93"/>
      <c r="F32" s="89"/>
      <c r="G32" s="89"/>
      <c r="H32" s="89"/>
      <c r="I32" s="90"/>
      <c r="J32" s="90"/>
      <c r="K32" s="90"/>
      <c r="L32" s="90"/>
      <c r="M32" s="90"/>
      <c r="N32" s="90"/>
      <c r="O32" s="90"/>
      <c r="P32" s="90"/>
      <c r="Q32" s="90"/>
      <c r="R32" s="90"/>
      <c r="S32" s="90"/>
      <c r="T32" s="91"/>
      <c r="AD32" s="7"/>
    </row>
    <row r="33" spans="1:30" x14ac:dyDescent="0.3">
      <c r="A33" s="11"/>
      <c r="B33" s="12"/>
      <c r="C33" s="13"/>
      <c r="D33" s="7"/>
      <c r="E33" s="93" t="s">
        <v>1747</v>
      </c>
      <c r="F33" s="89"/>
      <c r="G33" s="89"/>
      <c r="H33" s="89"/>
      <c r="I33" s="90"/>
      <c r="J33" s="90"/>
      <c r="K33" s="90"/>
      <c r="L33" s="90"/>
      <c r="M33" s="90"/>
      <c r="N33" s="90"/>
      <c r="O33" s="90"/>
      <c r="P33" s="90"/>
      <c r="Q33" s="90"/>
      <c r="R33" s="90"/>
      <c r="S33" s="90"/>
      <c r="T33" s="91"/>
      <c r="AD33" s="7"/>
    </row>
    <row r="34" spans="1:30" x14ac:dyDescent="0.3">
      <c r="A34" s="11"/>
      <c r="B34" s="12"/>
      <c r="C34" s="13"/>
      <c r="D34" s="7"/>
      <c r="E34" s="94" t="s">
        <v>1730</v>
      </c>
      <c r="F34" s="89"/>
      <c r="G34" s="89"/>
      <c r="H34" s="89"/>
      <c r="I34" s="90"/>
      <c r="J34" s="96"/>
      <c r="K34" s="96"/>
      <c r="L34" s="90"/>
      <c r="M34" s="90"/>
      <c r="N34" s="90"/>
      <c r="O34" s="90"/>
      <c r="P34" s="90"/>
      <c r="Q34" s="90"/>
      <c r="R34" s="90"/>
      <c r="S34" s="90"/>
      <c r="T34" s="91"/>
      <c r="AD34" s="7"/>
    </row>
    <row r="35" spans="1:30" x14ac:dyDescent="0.3">
      <c r="A35" s="11"/>
      <c r="B35" s="12"/>
      <c r="C35" s="13"/>
      <c r="D35" s="7"/>
      <c r="E35" s="94" t="s">
        <v>1731</v>
      </c>
      <c r="F35" s="89"/>
      <c r="G35" s="89"/>
      <c r="H35" s="89"/>
      <c r="I35" s="90"/>
      <c r="J35" s="90"/>
      <c r="K35" s="90"/>
      <c r="L35" s="90"/>
      <c r="M35" s="90"/>
      <c r="N35" s="90"/>
      <c r="O35" s="90"/>
      <c r="P35" s="90"/>
      <c r="Q35" s="90"/>
      <c r="R35" s="90"/>
      <c r="S35" s="90"/>
      <c r="T35" s="91"/>
      <c r="AD35" s="7"/>
    </row>
    <row r="36" spans="1:30" x14ac:dyDescent="0.3">
      <c r="A36" s="11"/>
      <c r="B36" s="12"/>
      <c r="C36" s="13"/>
      <c r="D36" s="7"/>
      <c r="E36" s="94" t="s">
        <v>1732</v>
      </c>
      <c r="F36" s="89"/>
      <c r="G36" s="89"/>
      <c r="H36" s="89"/>
      <c r="I36" s="90"/>
      <c r="J36" s="90"/>
      <c r="K36" s="90"/>
      <c r="L36" s="90"/>
      <c r="M36" s="90"/>
      <c r="N36" s="90"/>
      <c r="O36" s="90"/>
      <c r="P36" s="90"/>
      <c r="Q36" s="90"/>
      <c r="R36" s="90"/>
      <c r="S36" s="90"/>
      <c r="T36" s="91"/>
      <c r="AD36" s="7"/>
    </row>
    <row r="37" spans="1:30" x14ac:dyDescent="0.3">
      <c r="A37" s="11"/>
      <c r="B37" s="12"/>
      <c r="C37" s="13"/>
      <c r="D37" s="7"/>
      <c r="E37" s="94" t="s">
        <v>1733</v>
      </c>
      <c r="F37" s="89"/>
      <c r="G37" s="89"/>
      <c r="H37" s="89"/>
      <c r="I37" s="90"/>
      <c r="J37" s="90"/>
      <c r="K37" s="90"/>
      <c r="L37" s="90"/>
      <c r="M37" s="90"/>
      <c r="N37" s="90"/>
      <c r="O37" s="90"/>
      <c r="P37" s="90"/>
      <c r="Q37" s="90"/>
      <c r="R37" s="90"/>
      <c r="S37" s="90"/>
      <c r="T37" s="91"/>
      <c r="AD37" s="7"/>
    </row>
    <row r="38" spans="1:30" x14ac:dyDescent="0.3">
      <c r="A38" s="11"/>
      <c r="B38" s="12"/>
      <c r="C38" s="13"/>
      <c r="D38" s="7"/>
      <c r="E38" s="94" t="s">
        <v>1734</v>
      </c>
      <c r="F38" s="89"/>
      <c r="G38" s="89"/>
      <c r="H38" s="89"/>
      <c r="I38" s="90"/>
      <c r="J38" s="90"/>
      <c r="K38" s="90"/>
      <c r="L38" s="90"/>
      <c r="M38" s="90"/>
      <c r="N38" s="90"/>
      <c r="O38" s="90"/>
      <c r="P38" s="90"/>
      <c r="Q38" s="90"/>
      <c r="R38" s="90"/>
      <c r="S38" s="90"/>
      <c r="T38" s="91"/>
      <c r="AD38" s="7"/>
    </row>
    <row r="39" spans="1:30" x14ac:dyDescent="0.3">
      <c r="A39" s="11"/>
      <c r="B39" s="12"/>
      <c r="C39" s="13"/>
      <c r="D39" s="7"/>
      <c r="E39" s="94" t="s">
        <v>1735</v>
      </c>
      <c r="F39" s="89"/>
      <c r="G39" s="89"/>
      <c r="H39" s="89"/>
      <c r="I39" s="90"/>
      <c r="J39" s="90"/>
      <c r="K39" s="90"/>
      <c r="L39" s="90"/>
      <c r="M39" s="90"/>
      <c r="N39" s="90"/>
      <c r="O39" s="90"/>
      <c r="P39" s="90"/>
      <c r="Q39" s="90"/>
      <c r="R39" s="90"/>
      <c r="S39" s="90"/>
      <c r="T39" s="91"/>
      <c r="AD39" s="7"/>
    </row>
    <row r="40" spans="1:30" x14ac:dyDescent="0.3">
      <c r="A40" s="11"/>
      <c r="B40" s="12"/>
      <c r="C40" s="13"/>
      <c r="D40" s="7"/>
      <c r="E40" s="94" t="s">
        <v>1752</v>
      </c>
      <c r="F40" s="89"/>
      <c r="G40" s="89"/>
      <c r="H40" s="89"/>
      <c r="I40" s="90"/>
      <c r="J40" s="90"/>
      <c r="K40" s="90"/>
      <c r="L40" s="90"/>
      <c r="M40" s="90"/>
      <c r="N40" s="90"/>
      <c r="O40" s="90"/>
      <c r="P40" s="90"/>
      <c r="Q40" s="90"/>
      <c r="R40" s="90"/>
      <c r="S40" s="90"/>
      <c r="T40" s="91"/>
      <c r="AD40" s="7"/>
    </row>
    <row r="41" spans="1:30" x14ac:dyDescent="0.3">
      <c r="A41" s="11"/>
      <c r="B41" s="12"/>
      <c r="C41" s="13"/>
      <c r="D41" s="7"/>
      <c r="E41" s="94" t="s">
        <v>1736</v>
      </c>
      <c r="F41" s="89"/>
      <c r="G41" s="89"/>
      <c r="H41" s="89"/>
      <c r="I41" s="90"/>
      <c r="J41" s="90"/>
      <c r="K41" s="90"/>
      <c r="L41" s="90"/>
      <c r="M41" s="90"/>
      <c r="N41" s="90"/>
      <c r="O41" s="90"/>
      <c r="P41" s="90"/>
      <c r="Q41" s="90"/>
      <c r="R41" s="90"/>
      <c r="S41" s="90"/>
      <c r="T41" s="91"/>
      <c r="AD41" s="7"/>
    </row>
    <row r="42" spans="1:30" ht="7.5" customHeight="1" x14ac:dyDescent="0.3">
      <c r="A42" s="11"/>
      <c r="B42" s="12"/>
      <c r="C42" s="13"/>
      <c r="D42" s="7"/>
      <c r="E42" s="94"/>
      <c r="F42" s="89"/>
      <c r="G42" s="89"/>
      <c r="H42" s="89"/>
      <c r="I42" s="90"/>
      <c r="J42" s="90"/>
      <c r="K42" s="90"/>
      <c r="L42" s="90"/>
      <c r="M42" s="90"/>
      <c r="N42" s="90"/>
      <c r="O42" s="90"/>
      <c r="P42" s="90"/>
      <c r="Q42" s="90"/>
      <c r="R42" s="90"/>
      <c r="S42" s="90"/>
      <c r="T42" s="91"/>
      <c r="AD42" s="7"/>
    </row>
    <row r="43" spans="1:30" x14ac:dyDescent="0.3">
      <c r="A43" s="11"/>
      <c r="B43" s="12"/>
      <c r="C43" s="13"/>
      <c r="D43" s="7"/>
      <c r="E43" s="94" t="s">
        <v>1753</v>
      </c>
      <c r="F43" s="89"/>
      <c r="G43" s="89"/>
      <c r="H43" s="89"/>
      <c r="I43" s="90"/>
      <c r="J43" s="90"/>
      <c r="K43" s="35"/>
      <c r="L43" s="35"/>
      <c r="M43" s="90"/>
      <c r="N43" s="90"/>
      <c r="O43" s="90"/>
      <c r="P43" s="90"/>
      <c r="Q43" s="90"/>
      <c r="R43" s="90"/>
      <c r="S43" s="90"/>
      <c r="T43" s="91"/>
      <c r="AD43" s="7"/>
    </row>
    <row r="44" spans="1:30" ht="7.5" customHeight="1" x14ac:dyDescent="0.3">
      <c r="A44" s="11"/>
      <c r="B44" s="12"/>
      <c r="C44" s="13"/>
      <c r="D44" s="7"/>
      <c r="E44" s="94"/>
      <c r="F44" s="89"/>
      <c r="G44" s="89"/>
      <c r="H44" s="89"/>
      <c r="I44" s="90"/>
      <c r="J44" s="96"/>
      <c r="K44" s="35"/>
      <c r="L44" s="90"/>
      <c r="M44" s="35"/>
      <c r="N44" s="90"/>
      <c r="O44" s="90"/>
      <c r="P44" s="90"/>
      <c r="Q44" s="90"/>
      <c r="R44" s="90"/>
      <c r="S44" s="90"/>
      <c r="T44" s="91"/>
      <c r="AD44" s="7"/>
    </row>
    <row r="45" spans="1:30" ht="27" customHeight="1" x14ac:dyDescent="0.3">
      <c r="A45" s="11"/>
      <c r="B45" s="12"/>
      <c r="C45" s="13"/>
      <c r="D45" s="7"/>
      <c r="E45" s="317" t="s">
        <v>1754</v>
      </c>
      <c r="F45" s="318"/>
      <c r="G45" s="318"/>
      <c r="H45" s="318"/>
      <c r="I45" s="318"/>
      <c r="J45" s="318"/>
      <c r="K45" s="318"/>
      <c r="L45" s="318"/>
      <c r="M45" s="318"/>
      <c r="N45" s="318"/>
      <c r="O45" s="318"/>
      <c r="P45" s="318"/>
      <c r="Q45" s="318"/>
      <c r="R45" s="318"/>
      <c r="S45" s="318"/>
      <c r="T45" s="319"/>
      <c r="AD45" s="7"/>
    </row>
    <row r="46" spans="1:30" ht="7.5" customHeight="1" x14ac:dyDescent="0.3">
      <c r="A46" s="11"/>
      <c r="B46" s="12"/>
      <c r="C46" s="13"/>
      <c r="D46" s="7"/>
      <c r="E46" s="104"/>
      <c r="F46" s="89"/>
      <c r="G46" s="89"/>
      <c r="H46" s="89"/>
      <c r="I46" s="90"/>
      <c r="J46" s="90"/>
      <c r="K46" s="90"/>
      <c r="L46" s="90"/>
      <c r="M46" s="90"/>
      <c r="N46" s="90"/>
      <c r="O46" s="90"/>
      <c r="P46" s="90"/>
      <c r="Q46" s="90"/>
      <c r="R46" s="90"/>
      <c r="S46" s="90"/>
      <c r="T46" s="91"/>
      <c r="AD46" s="7"/>
    </row>
    <row r="47" spans="1:30" x14ac:dyDescent="0.3">
      <c r="A47" s="11"/>
      <c r="B47" s="12"/>
      <c r="C47" s="13"/>
      <c r="D47" s="7"/>
      <c r="E47" s="104" t="s">
        <v>1755</v>
      </c>
      <c r="F47" s="90"/>
      <c r="G47" s="90"/>
      <c r="H47" s="90"/>
      <c r="I47" s="90"/>
      <c r="J47" s="90"/>
      <c r="K47" s="90"/>
      <c r="L47" s="90"/>
      <c r="M47" s="90"/>
      <c r="N47" s="90"/>
      <c r="O47" s="90"/>
      <c r="P47" s="90"/>
      <c r="Q47" s="90"/>
      <c r="R47" s="90"/>
      <c r="S47" s="90"/>
      <c r="T47" s="91"/>
      <c r="AD47" s="7"/>
    </row>
    <row r="48" spans="1:30" x14ac:dyDescent="0.3">
      <c r="A48" s="11"/>
      <c r="B48" s="12"/>
      <c r="C48" s="13"/>
      <c r="E48" s="104"/>
      <c r="F48" s="35"/>
      <c r="G48" s="35"/>
      <c r="H48" s="35"/>
      <c r="I48" s="35"/>
      <c r="J48" s="35"/>
      <c r="K48" s="35"/>
      <c r="L48" s="35"/>
      <c r="M48" s="35"/>
      <c r="N48" s="35"/>
      <c r="O48" s="35"/>
      <c r="P48" s="35"/>
      <c r="Q48" s="35"/>
      <c r="R48" s="35"/>
      <c r="S48" s="35"/>
      <c r="T48" s="36"/>
    </row>
    <row r="49" spans="1:20" x14ac:dyDescent="0.3">
      <c r="A49" s="11"/>
      <c r="B49" s="12"/>
      <c r="C49" s="13"/>
      <c r="E49" s="95" t="s">
        <v>1756</v>
      </c>
      <c r="F49" s="35"/>
      <c r="G49" s="35"/>
      <c r="H49" s="35"/>
      <c r="I49" s="35"/>
      <c r="J49" s="35"/>
      <c r="K49" s="35"/>
      <c r="L49" s="35"/>
      <c r="M49" s="35"/>
      <c r="N49" s="35"/>
      <c r="O49" s="35"/>
      <c r="P49" s="35"/>
      <c r="Q49" s="35"/>
      <c r="R49" s="35"/>
      <c r="S49" s="35"/>
      <c r="T49" s="36"/>
    </row>
    <row r="50" spans="1:20" ht="27.75" customHeight="1" x14ac:dyDescent="0.3">
      <c r="A50" s="11"/>
      <c r="B50" s="12"/>
      <c r="C50" s="13"/>
      <c r="E50" s="317" t="s">
        <v>1737</v>
      </c>
      <c r="F50" s="318"/>
      <c r="G50" s="318"/>
      <c r="H50" s="318"/>
      <c r="I50" s="318"/>
      <c r="J50" s="318"/>
      <c r="K50" s="318"/>
      <c r="L50" s="318"/>
      <c r="M50" s="318"/>
      <c r="N50" s="318"/>
      <c r="O50" s="318"/>
      <c r="P50" s="318"/>
      <c r="Q50" s="318"/>
      <c r="R50" s="318"/>
      <c r="S50" s="318"/>
      <c r="T50" s="319"/>
    </row>
    <row r="51" spans="1:20" x14ac:dyDescent="0.3">
      <c r="A51" s="11"/>
      <c r="B51" s="12"/>
      <c r="C51" s="13"/>
      <c r="E51" s="34"/>
      <c r="F51" s="35"/>
      <c r="G51" s="35"/>
      <c r="H51" s="35"/>
      <c r="I51" s="35"/>
      <c r="J51" s="58"/>
      <c r="K51" s="35"/>
      <c r="L51" s="35"/>
      <c r="M51" s="35"/>
      <c r="N51" s="35"/>
      <c r="O51" s="35"/>
      <c r="P51" s="35"/>
      <c r="Q51" s="35"/>
      <c r="R51" s="35"/>
      <c r="S51" s="96"/>
      <c r="T51" s="36"/>
    </row>
    <row r="52" spans="1:20" x14ac:dyDescent="0.3">
      <c r="A52" s="11"/>
      <c r="B52" s="12"/>
      <c r="C52" s="13"/>
      <c r="E52" s="95" t="s">
        <v>1748</v>
      </c>
      <c r="F52" s="35"/>
      <c r="G52" s="35"/>
      <c r="H52" s="35"/>
      <c r="I52" s="35"/>
      <c r="J52" s="58"/>
      <c r="K52" s="35"/>
      <c r="L52" s="35"/>
      <c r="M52" s="35"/>
      <c r="N52" s="35"/>
      <c r="O52" s="35"/>
      <c r="P52" s="35"/>
      <c r="Q52" s="35"/>
      <c r="R52" s="35"/>
      <c r="S52" s="96"/>
      <c r="T52" s="36"/>
    </row>
    <row r="53" spans="1:20" x14ac:dyDescent="0.3">
      <c r="A53" s="11"/>
      <c r="B53" s="12"/>
      <c r="C53" s="13"/>
      <c r="E53" s="94" t="s">
        <v>1738</v>
      </c>
      <c r="F53" s="77"/>
      <c r="G53" s="77"/>
      <c r="H53" s="77"/>
      <c r="I53" s="77"/>
      <c r="J53" s="77"/>
      <c r="K53" s="77"/>
      <c r="L53" s="77"/>
      <c r="M53" s="77"/>
      <c r="N53" s="77"/>
      <c r="O53" s="77"/>
      <c r="P53" s="77"/>
      <c r="Q53" s="77"/>
      <c r="R53" s="77"/>
      <c r="S53" s="77"/>
      <c r="T53" s="130"/>
    </row>
    <row r="54" spans="1:20" x14ac:dyDescent="0.3">
      <c r="A54" s="11"/>
      <c r="B54" s="12"/>
      <c r="C54" s="13"/>
      <c r="E54" s="94" t="s">
        <v>1739</v>
      </c>
      <c r="F54" s="77"/>
      <c r="G54" s="77"/>
      <c r="H54" s="77"/>
      <c r="I54" s="77"/>
      <c r="J54" s="77"/>
      <c r="K54" s="77"/>
      <c r="L54" s="77"/>
      <c r="M54" s="77"/>
      <c r="N54" s="77"/>
      <c r="O54" s="77"/>
      <c r="P54" s="77"/>
      <c r="Q54" s="77"/>
      <c r="R54" s="77"/>
      <c r="S54" s="77"/>
      <c r="T54" s="130"/>
    </row>
    <row r="55" spans="1:20" x14ac:dyDescent="0.3">
      <c r="A55" s="11"/>
      <c r="B55" s="12"/>
      <c r="C55" s="13"/>
      <c r="E55" s="94" t="s">
        <v>1740</v>
      </c>
      <c r="F55" s="77"/>
      <c r="G55" s="77"/>
      <c r="H55" s="77"/>
      <c r="I55" s="77"/>
      <c r="J55" s="77"/>
      <c r="K55" s="77"/>
      <c r="L55" s="77"/>
      <c r="M55" s="77"/>
      <c r="N55" s="77"/>
      <c r="O55" s="77"/>
      <c r="P55" s="77"/>
      <c r="Q55" s="77"/>
      <c r="R55" s="77"/>
      <c r="S55" s="77"/>
      <c r="T55" s="130"/>
    </row>
    <row r="56" spans="1:20" x14ac:dyDescent="0.3">
      <c r="A56" s="11"/>
      <c r="B56" s="12"/>
      <c r="C56" s="13"/>
      <c r="E56" s="320" t="s">
        <v>1741</v>
      </c>
      <c r="F56" s="321"/>
      <c r="G56" s="321"/>
      <c r="H56" s="321"/>
      <c r="I56" s="321"/>
      <c r="J56" s="321"/>
      <c r="K56" s="176" t="s">
        <v>1742</v>
      </c>
      <c r="L56" s="77"/>
      <c r="N56" s="77"/>
      <c r="O56" s="77"/>
      <c r="P56" s="77"/>
      <c r="Q56" s="77"/>
      <c r="R56" s="77"/>
      <c r="T56" s="130"/>
    </row>
    <row r="57" spans="1:20" x14ac:dyDescent="0.3">
      <c r="A57" s="11"/>
      <c r="B57" s="12"/>
      <c r="C57" s="13"/>
      <c r="E57" s="66"/>
      <c r="F57" s="77"/>
      <c r="G57" s="77"/>
      <c r="H57" s="77"/>
      <c r="I57" s="77"/>
      <c r="J57" s="77"/>
      <c r="K57" s="77"/>
      <c r="L57" s="77"/>
      <c r="M57" s="77"/>
      <c r="N57" s="77"/>
      <c r="O57" s="77"/>
      <c r="P57" s="77"/>
      <c r="Q57" s="77"/>
      <c r="R57" s="77"/>
      <c r="S57" s="96"/>
      <c r="T57" s="130"/>
    </row>
    <row r="58" spans="1:20" x14ac:dyDescent="0.3">
      <c r="A58" s="11"/>
      <c r="B58" s="12"/>
      <c r="C58" s="13"/>
      <c r="E58" s="88" t="s">
        <v>1878</v>
      </c>
      <c r="F58" s="77"/>
      <c r="G58" s="77"/>
      <c r="H58" s="77"/>
      <c r="I58" s="77"/>
      <c r="J58" s="77"/>
      <c r="K58" s="77"/>
      <c r="L58" s="77"/>
      <c r="M58" s="77"/>
      <c r="N58" s="77"/>
      <c r="O58" s="77"/>
      <c r="P58" s="77"/>
      <c r="Q58" s="77"/>
      <c r="R58" s="77"/>
      <c r="S58" s="77"/>
      <c r="T58" s="130"/>
    </row>
    <row r="59" spans="1:20" x14ac:dyDescent="0.3">
      <c r="A59" s="11"/>
      <c r="B59" s="12"/>
      <c r="C59" s="13"/>
      <c r="E59" s="317" t="s">
        <v>1875</v>
      </c>
      <c r="F59" s="318"/>
      <c r="G59" s="318"/>
      <c r="H59" s="318"/>
      <c r="I59" s="318"/>
      <c r="J59" s="318"/>
      <c r="K59" s="318"/>
      <c r="L59" s="318"/>
      <c r="M59" s="318"/>
      <c r="N59" s="318"/>
      <c r="O59" s="318"/>
      <c r="P59" s="318"/>
      <c r="Q59" s="318"/>
      <c r="R59" s="318"/>
      <c r="S59" s="318"/>
      <c r="T59" s="319"/>
    </row>
    <row r="60" spans="1:20" x14ac:dyDescent="0.3">
      <c r="A60" s="11"/>
      <c r="B60" s="12"/>
      <c r="C60" s="13"/>
      <c r="E60" s="303" t="s">
        <v>1876</v>
      </c>
      <c r="F60" s="304"/>
      <c r="G60" s="304"/>
      <c r="H60" s="304"/>
      <c r="I60" s="304"/>
      <c r="J60" s="304"/>
      <c r="K60" s="304"/>
      <c r="L60" s="304"/>
      <c r="M60" s="304"/>
      <c r="N60" s="304"/>
      <c r="O60" s="304"/>
      <c r="P60" s="176" t="s">
        <v>1743</v>
      </c>
      <c r="T60" s="130"/>
    </row>
    <row r="61" spans="1:20" x14ac:dyDescent="0.3">
      <c r="A61" s="15"/>
      <c r="B61" s="16"/>
      <c r="C61" s="17"/>
      <c r="E61" s="126"/>
      <c r="F61" s="131"/>
      <c r="G61" s="131"/>
      <c r="H61" s="131"/>
      <c r="I61" s="131"/>
      <c r="J61" s="131"/>
      <c r="K61" s="131"/>
      <c r="L61" s="131"/>
      <c r="M61" s="131"/>
      <c r="N61" s="131"/>
      <c r="O61" s="131"/>
      <c r="P61" s="131"/>
      <c r="Q61" s="131"/>
      <c r="R61" s="131"/>
      <c r="S61" s="144"/>
      <c r="T61" s="132"/>
    </row>
    <row r="63" spans="1:20" x14ac:dyDescent="0.3">
      <c r="E63" s="162" t="s">
        <v>1666</v>
      </c>
    </row>
    <row r="64" spans="1:20" x14ac:dyDescent="0.3">
      <c r="E64" s="163"/>
    </row>
  </sheetData>
  <mergeCells count="11">
    <mergeCell ref="E60:O60"/>
    <mergeCell ref="E11:T11"/>
    <mergeCell ref="E12:T12"/>
    <mergeCell ref="E13:T13"/>
    <mergeCell ref="E14:T14"/>
    <mergeCell ref="E20:T20"/>
    <mergeCell ref="E29:T29"/>
    <mergeCell ref="E45:T45"/>
    <mergeCell ref="E50:T50"/>
    <mergeCell ref="E56:J56"/>
    <mergeCell ref="E59:T59"/>
  </mergeCells>
  <hyperlinks>
    <hyperlink ref="K56" r:id="rId1" xr:uid="{00000000-0004-0000-0400-000000000000}"/>
    <hyperlink ref="P60" r:id="rId2" xr:uid="{00000000-0004-0000-0400-000001000000}"/>
    <hyperlink ref="P18" location="Sources!_Toc351547626" display="Sources" xr:uid="{00000000-0004-0000-0400-000002000000}"/>
  </hyperlinks>
  <pageMargins left="0.7" right="0.7" top="0.75" bottom="0.75" header="0.3" footer="0.3"/>
  <pageSetup paperSize="9" scale="70" fitToHeight="0" orientation="landscape" r:id="rId3"/>
  <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pageSetUpPr fitToPage="1"/>
  </sheetPr>
  <dimension ref="A1:AD75"/>
  <sheetViews>
    <sheetView showGridLines="0" showRowColHeaders="0" zoomScaleNormal="100" workbookViewId="0">
      <selection activeCell="T5" sqref="T5"/>
    </sheetView>
  </sheetViews>
  <sheetFormatPr defaultColWidth="8.88671875" defaultRowHeight="14.4" x14ac:dyDescent="0.3"/>
  <cols>
    <col min="4" max="4" width="2.88671875" customWidth="1"/>
    <col min="5" max="5" width="9.109375" customWidth="1"/>
    <col min="20" max="20" width="17.6640625" customWidth="1"/>
  </cols>
  <sheetData>
    <row r="1" spans="1:30" x14ac:dyDescent="0.3">
      <c r="A1" s="7"/>
      <c r="B1" s="7"/>
      <c r="C1" s="7"/>
      <c r="D1" s="8"/>
      <c r="E1" s="9"/>
      <c r="F1" s="9"/>
      <c r="G1" s="9"/>
      <c r="H1" s="9"/>
      <c r="I1" s="9"/>
      <c r="J1" s="9"/>
      <c r="K1" s="9"/>
      <c r="L1" s="9"/>
      <c r="M1" s="9"/>
      <c r="N1" s="9"/>
      <c r="O1" s="9"/>
      <c r="P1" s="9"/>
      <c r="Q1" s="9"/>
      <c r="R1" s="9"/>
      <c r="S1" s="9"/>
      <c r="T1" s="10"/>
      <c r="U1" s="7"/>
      <c r="V1" s="7"/>
      <c r="W1" s="7"/>
      <c r="X1" s="7"/>
      <c r="Y1" s="7"/>
      <c r="Z1" s="7"/>
      <c r="AA1" s="7"/>
      <c r="AB1" s="7"/>
      <c r="AC1" s="7"/>
      <c r="AD1" s="7"/>
    </row>
    <row r="2" spans="1:30" x14ac:dyDescent="0.3">
      <c r="A2" s="7"/>
      <c r="B2" s="7"/>
      <c r="C2" s="7"/>
      <c r="D2" s="11"/>
      <c r="E2" s="12"/>
      <c r="F2" s="12"/>
      <c r="G2" s="12"/>
      <c r="H2" s="12"/>
      <c r="I2" s="12"/>
      <c r="J2" s="12"/>
      <c r="K2" s="12"/>
      <c r="L2" s="12"/>
      <c r="M2" s="12"/>
      <c r="N2" s="12"/>
      <c r="O2" s="12"/>
      <c r="P2" s="12"/>
      <c r="Q2" s="12"/>
      <c r="R2" s="12"/>
      <c r="S2" s="12"/>
      <c r="T2" s="13"/>
      <c r="U2" s="7"/>
      <c r="V2" s="7"/>
      <c r="W2" s="7"/>
      <c r="X2" s="7"/>
      <c r="Y2" s="7"/>
      <c r="Z2" s="7"/>
      <c r="AA2" s="7"/>
      <c r="AB2" s="7"/>
      <c r="AC2" s="7"/>
      <c r="AD2" s="7"/>
    </row>
    <row r="3" spans="1:30" ht="22.8" x14ac:dyDescent="0.4">
      <c r="A3" s="7"/>
      <c r="B3" s="7"/>
      <c r="C3" s="7"/>
      <c r="D3" s="11"/>
      <c r="E3" s="14" t="s">
        <v>1688</v>
      </c>
      <c r="F3" s="12"/>
      <c r="G3" s="12"/>
      <c r="H3" s="12"/>
      <c r="I3" s="12"/>
      <c r="J3" s="12"/>
      <c r="K3" s="12"/>
      <c r="L3" s="12"/>
      <c r="M3" s="12"/>
      <c r="N3" s="12"/>
      <c r="O3" s="12"/>
      <c r="P3" s="12"/>
      <c r="Q3" s="12"/>
      <c r="R3" s="12"/>
      <c r="S3" s="12"/>
      <c r="T3" s="13"/>
      <c r="U3" s="7"/>
      <c r="V3" s="7"/>
      <c r="W3" s="7"/>
      <c r="X3" s="7"/>
      <c r="Y3" s="7"/>
      <c r="Z3" s="7"/>
      <c r="AA3" s="7"/>
      <c r="AB3" s="7"/>
      <c r="AC3" s="7"/>
      <c r="AD3" s="7"/>
    </row>
    <row r="4" spans="1:30" x14ac:dyDescent="0.3">
      <c r="A4" s="7"/>
      <c r="B4" s="7"/>
      <c r="C4" s="7"/>
      <c r="D4" s="15"/>
      <c r="E4" s="16"/>
      <c r="F4" s="16"/>
      <c r="G4" s="16"/>
      <c r="H4" s="16"/>
      <c r="I4" s="16"/>
      <c r="J4" s="16"/>
      <c r="K4" s="16"/>
      <c r="L4" s="16"/>
      <c r="M4" s="16"/>
      <c r="N4" s="16"/>
      <c r="O4" s="16"/>
      <c r="P4" s="16"/>
      <c r="Q4" s="16"/>
      <c r="R4" s="16"/>
      <c r="S4" s="16"/>
      <c r="T4" s="183" t="s">
        <v>2783</v>
      </c>
      <c r="U4" s="7"/>
      <c r="V4" s="7"/>
      <c r="W4" s="7"/>
      <c r="X4" s="7"/>
      <c r="Y4" s="7"/>
      <c r="Z4" s="7"/>
      <c r="AA4" s="7"/>
      <c r="AB4" s="7"/>
      <c r="AC4" s="7"/>
      <c r="AD4" s="7"/>
    </row>
    <row r="5" spans="1:30" x14ac:dyDescent="0.3">
      <c r="A5" s="8"/>
      <c r="B5" s="9"/>
      <c r="C5" s="10"/>
      <c r="D5" s="7"/>
      <c r="E5" s="7"/>
      <c r="F5" s="7"/>
      <c r="G5" s="7"/>
      <c r="H5" s="7"/>
      <c r="I5" s="7"/>
      <c r="J5" s="7"/>
      <c r="K5" s="7"/>
      <c r="L5" s="7"/>
      <c r="M5" s="7"/>
      <c r="N5" s="7"/>
      <c r="O5" s="7"/>
      <c r="P5" s="7"/>
      <c r="Q5" s="7"/>
      <c r="R5" s="25"/>
      <c r="S5" s="25"/>
      <c r="T5" s="7"/>
      <c r="U5" s="7"/>
      <c r="V5" s="7"/>
      <c r="W5" s="7"/>
      <c r="X5" s="7"/>
      <c r="Y5" s="7"/>
      <c r="Z5" s="7"/>
      <c r="AA5" s="7"/>
      <c r="AB5" s="7"/>
      <c r="AC5" s="7"/>
      <c r="AD5" s="7"/>
    </row>
    <row r="6" spans="1:30" x14ac:dyDescent="0.3">
      <c r="A6" s="11"/>
      <c r="B6" s="12"/>
      <c r="C6" s="13"/>
      <c r="D6" s="7"/>
      <c r="E6" s="18"/>
      <c r="F6" s="7"/>
      <c r="G6" s="18"/>
      <c r="H6" s="7"/>
      <c r="I6" s="18"/>
      <c r="J6" s="7"/>
      <c r="K6" s="7"/>
      <c r="L6" s="7"/>
      <c r="M6" s="7"/>
      <c r="N6" s="7"/>
      <c r="O6" s="7"/>
      <c r="P6" s="7"/>
      <c r="Q6" s="7"/>
      <c r="R6" s="25"/>
      <c r="S6" s="25"/>
      <c r="T6" s="7"/>
      <c r="U6" s="7"/>
      <c r="V6" s="7"/>
      <c r="W6" s="7"/>
      <c r="X6" s="7"/>
      <c r="Y6" s="7"/>
      <c r="Z6" s="7"/>
      <c r="AA6" s="7"/>
      <c r="AB6" s="7"/>
      <c r="AC6" s="7"/>
      <c r="AD6" s="7"/>
    </row>
    <row r="7" spans="1:30" x14ac:dyDescent="0.3">
      <c r="A7" s="11"/>
      <c r="B7" s="12"/>
      <c r="C7" s="13"/>
      <c r="D7" s="7"/>
      <c r="E7" s="7"/>
      <c r="F7" s="7"/>
      <c r="G7" s="7"/>
      <c r="H7" s="7"/>
      <c r="I7" s="7"/>
      <c r="J7" s="7"/>
      <c r="K7" s="7"/>
      <c r="L7" s="7"/>
      <c r="M7" s="7"/>
      <c r="N7" s="7"/>
      <c r="O7" s="7"/>
      <c r="P7" s="7"/>
      <c r="Q7" s="7"/>
      <c r="R7" s="25"/>
      <c r="S7" s="25"/>
      <c r="T7" s="7"/>
      <c r="U7" s="7"/>
      <c r="V7" s="7"/>
      <c r="W7" s="7"/>
      <c r="X7" s="7"/>
      <c r="Y7" s="7"/>
      <c r="Z7" s="7"/>
      <c r="AA7" s="7"/>
      <c r="AB7" s="7"/>
      <c r="AC7" s="7"/>
      <c r="AD7" s="7"/>
    </row>
    <row r="8" spans="1:30" x14ac:dyDescent="0.3">
      <c r="A8" s="11"/>
      <c r="B8" s="12"/>
      <c r="C8" s="13"/>
      <c r="D8" s="7"/>
      <c r="E8" s="7"/>
      <c r="F8" s="7"/>
      <c r="G8" s="7"/>
      <c r="H8" s="7"/>
      <c r="I8" s="7"/>
      <c r="J8" s="7"/>
      <c r="K8" s="7"/>
      <c r="L8" s="7"/>
      <c r="M8" s="7"/>
      <c r="N8" s="7"/>
      <c r="O8" s="7"/>
      <c r="P8" s="7"/>
      <c r="Q8" s="7"/>
      <c r="R8" s="25"/>
      <c r="S8" s="25"/>
      <c r="T8" s="7"/>
      <c r="U8" s="7"/>
      <c r="V8" s="7"/>
      <c r="W8" s="7"/>
      <c r="X8" s="7"/>
      <c r="Y8" s="7"/>
      <c r="Z8" s="7"/>
      <c r="AA8" s="7"/>
      <c r="AB8" s="7"/>
      <c r="AC8" s="7"/>
      <c r="AD8" s="7"/>
    </row>
    <row r="9" spans="1:30" x14ac:dyDescent="0.3">
      <c r="A9" s="11"/>
      <c r="B9" s="12"/>
      <c r="C9" s="13"/>
      <c r="D9" s="7"/>
      <c r="E9" s="50" t="s">
        <v>550</v>
      </c>
      <c r="F9" s="32"/>
      <c r="G9" s="32"/>
      <c r="H9" s="32"/>
      <c r="I9" s="32"/>
      <c r="J9" s="32"/>
      <c r="K9" s="32"/>
      <c r="L9" s="32"/>
      <c r="M9" s="32"/>
      <c r="N9" s="32"/>
      <c r="O9" s="49"/>
      <c r="P9" s="49"/>
      <c r="Q9" s="49"/>
      <c r="R9" s="49"/>
      <c r="S9" s="49"/>
      <c r="T9" s="133"/>
      <c r="U9" s="7"/>
      <c r="V9" s="7"/>
      <c r="W9" s="7"/>
      <c r="X9" s="7"/>
      <c r="Y9" s="7"/>
      <c r="Z9" s="7"/>
      <c r="AA9" s="7"/>
      <c r="AB9" s="7"/>
      <c r="AC9" s="7"/>
      <c r="AD9" s="7"/>
    </row>
    <row r="10" spans="1:30" ht="15" customHeight="1" x14ac:dyDescent="0.3">
      <c r="A10" s="11"/>
      <c r="B10" s="12"/>
      <c r="C10" s="13"/>
      <c r="D10" s="7"/>
      <c r="E10" s="42" t="s">
        <v>539</v>
      </c>
      <c r="F10" s="43"/>
      <c r="G10" s="43"/>
      <c r="H10" s="43"/>
      <c r="I10" s="43" t="s">
        <v>1535</v>
      </c>
      <c r="J10" s="101"/>
      <c r="K10" s="101"/>
      <c r="L10" s="101"/>
      <c r="M10" s="101"/>
      <c r="N10" s="101"/>
      <c r="O10" s="101"/>
      <c r="P10" s="101"/>
      <c r="Q10" s="101"/>
      <c r="R10" s="101"/>
      <c r="S10" s="101"/>
      <c r="T10" s="102"/>
      <c r="U10" s="7"/>
      <c r="V10" s="7"/>
      <c r="W10" s="7"/>
      <c r="X10" s="7"/>
      <c r="Y10" s="7"/>
      <c r="Z10" s="7"/>
      <c r="AA10" s="7"/>
      <c r="AB10" s="7"/>
      <c r="AC10" s="7"/>
      <c r="AD10" s="7"/>
    </row>
    <row r="11" spans="1:30" x14ac:dyDescent="0.3">
      <c r="A11" s="11"/>
      <c r="B11" s="12"/>
      <c r="C11" s="13"/>
      <c r="D11" s="7"/>
      <c r="E11" s="42"/>
      <c r="F11" s="43"/>
      <c r="G11" s="43"/>
      <c r="H11" s="43"/>
      <c r="I11" s="43" t="s">
        <v>1536</v>
      </c>
      <c r="J11" s="101"/>
      <c r="K11" s="101"/>
      <c r="L11" s="101"/>
      <c r="M11" s="101"/>
      <c r="N11" s="101"/>
      <c r="O11" s="101"/>
      <c r="P11" s="101"/>
      <c r="Q11" s="101"/>
      <c r="R11" s="101"/>
      <c r="S11" s="101"/>
      <c r="T11" s="102"/>
      <c r="U11" s="7"/>
      <c r="V11" s="7"/>
      <c r="W11" s="7"/>
      <c r="X11" s="7"/>
      <c r="Y11" s="7"/>
      <c r="Z11" s="7"/>
      <c r="AA11" s="7"/>
      <c r="AB11" s="7"/>
      <c r="AC11" s="7"/>
      <c r="AD11" s="7"/>
    </row>
    <row r="12" spans="1:30" x14ac:dyDescent="0.3">
      <c r="A12" s="11"/>
      <c r="B12" s="12"/>
      <c r="C12" s="13"/>
      <c r="D12" s="7"/>
      <c r="E12" s="42"/>
      <c r="F12" s="43"/>
      <c r="G12" s="43"/>
      <c r="H12" s="43"/>
      <c r="I12" s="43"/>
      <c r="J12" s="101"/>
      <c r="K12" s="101"/>
      <c r="L12" s="101"/>
      <c r="M12" s="101"/>
      <c r="N12" s="101"/>
      <c r="O12" s="101"/>
      <c r="P12" s="101"/>
      <c r="Q12" s="101"/>
      <c r="R12" s="101"/>
      <c r="S12" s="101"/>
      <c r="T12" s="102"/>
      <c r="U12" s="7"/>
      <c r="V12" s="7"/>
      <c r="W12" s="7"/>
      <c r="X12" s="7"/>
      <c r="Y12" s="7"/>
      <c r="Z12" s="7"/>
      <c r="AA12" s="7"/>
      <c r="AB12" s="7"/>
      <c r="AC12" s="7"/>
      <c r="AD12" s="7"/>
    </row>
    <row r="13" spans="1:30" x14ac:dyDescent="0.3">
      <c r="A13" s="11"/>
      <c r="B13" s="12"/>
      <c r="C13" s="13"/>
      <c r="D13" s="7"/>
      <c r="E13" s="42" t="s">
        <v>540</v>
      </c>
      <c r="F13" s="43"/>
      <c r="G13" s="43"/>
      <c r="H13" s="43"/>
      <c r="I13" s="43" t="s">
        <v>1700</v>
      </c>
      <c r="J13" s="101"/>
      <c r="K13" s="101"/>
      <c r="L13" s="101"/>
      <c r="M13" s="101"/>
      <c r="N13" s="101"/>
      <c r="O13" s="101"/>
      <c r="P13" s="101"/>
      <c r="Q13" s="101"/>
      <c r="R13" s="101"/>
      <c r="S13" s="101"/>
      <c r="T13" s="102"/>
      <c r="U13" s="7"/>
      <c r="V13" s="7"/>
      <c r="W13" s="7"/>
      <c r="X13" s="7"/>
      <c r="Y13" s="7"/>
      <c r="Z13" s="7"/>
      <c r="AA13" s="7"/>
      <c r="AB13" s="7"/>
      <c r="AC13" s="7"/>
      <c r="AD13" s="7"/>
    </row>
    <row r="14" spans="1:30" x14ac:dyDescent="0.3">
      <c r="A14" s="11"/>
      <c r="B14" s="12"/>
      <c r="C14" s="13"/>
      <c r="D14" s="7"/>
      <c r="E14" s="152"/>
      <c r="F14" s="35"/>
      <c r="G14" s="35"/>
      <c r="H14" s="35"/>
      <c r="I14" s="46" t="s">
        <v>1757</v>
      </c>
      <c r="J14" s="43"/>
      <c r="K14" s="43"/>
      <c r="L14" s="43"/>
      <c r="M14" s="43"/>
      <c r="N14" s="43"/>
      <c r="O14" s="43"/>
      <c r="P14" s="43"/>
      <c r="Q14" s="43"/>
      <c r="R14" s="43"/>
      <c r="S14" s="43"/>
      <c r="T14" s="134"/>
      <c r="U14" s="7"/>
      <c r="V14" s="7"/>
      <c r="W14" s="7"/>
      <c r="X14" s="7"/>
      <c r="Y14" s="7"/>
      <c r="Z14" s="7"/>
      <c r="AA14" s="7"/>
      <c r="AB14" s="7"/>
      <c r="AC14" s="7"/>
      <c r="AD14" s="7"/>
    </row>
    <row r="15" spans="1:30" ht="15" customHeight="1" x14ac:dyDescent="0.3">
      <c r="A15" s="11"/>
      <c r="B15" s="12"/>
      <c r="C15" s="13"/>
      <c r="D15" s="7"/>
      <c r="E15" s="152"/>
      <c r="F15" s="35"/>
      <c r="G15" s="35"/>
      <c r="H15" s="35"/>
      <c r="I15" s="46" t="s">
        <v>1758</v>
      </c>
      <c r="J15" s="43"/>
      <c r="K15" s="43"/>
      <c r="L15" s="43"/>
      <c r="M15" s="43"/>
      <c r="N15" s="43"/>
      <c r="O15" s="43"/>
      <c r="P15" s="43"/>
      <c r="Q15" s="43"/>
      <c r="R15" s="43"/>
      <c r="S15" s="43"/>
      <c r="T15" s="134"/>
      <c r="U15" s="7"/>
      <c r="V15" s="7"/>
      <c r="W15" s="7"/>
      <c r="X15" s="7"/>
      <c r="Y15" s="7"/>
      <c r="Z15" s="7"/>
      <c r="AA15" s="7"/>
      <c r="AB15" s="7"/>
      <c r="AC15" s="7"/>
      <c r="AD15" s="7"/>
    </row>
    <row r="16" spans="1:30" ht="15" customHeight="1" x14ac:dyDescent="0.3">
      <c r="A16" s="11"/>
      <c r="B16" s="12"/>
      <c r="C16" s="13"/>
      <c r="D16" s="7"/>
      <c r="E16" s="152"/>
      <c r="F16" s="35"/>
      <c r="G16" s="35"/>
      <c r="H16" s="35"/>
      <c r="I16" s="46"/>
      <c r="J16" s="43"/>
      <c r="K16" s="43"/>
      <c r="L16" s="43"/>
      <c r="M16" s="43"/>
      <c r="N16" s="43"/>
      <c r="O16" s="43"/>
      <c r="P16" s="43"/>
      <c r="Q16" s="43"/>
      <c r="R16" s="43"/>
      <c r="S16" s="43"/>
      <c r="T16" s="134"/>
      <c r="U16" s="7"/>
      <c r="V16" s="7"/>
      <c r="W16" s="7"/>
      <c r="X16" s="7"/>
      <c r="Y16" s="7"/>
      <c r="Z16" s="7"/>
      <c r="AA16" s="7"/>
      <c r="AB16" s="7"/>
      <c r="AC16" s="7"/>
      <c r="AD16" s="7"/>
    </row>
    <row r="17" spans="1:30" x14ac:dyDescent="0.3">
      <c r="A17" s="11"/>
      <c r="B17" s="12"/>
      <c r="C17" s="13"/>
      <c r="D17" s="7"/>
      <c r="E17" s="45" t="s">
        <v>1155</v>
      </c>
      <c r="F17" s="35"/>
      <c r="G17" s="35"/>
      <c r="H17" s="35"/>
      <c r="I17" s="116" t="s">
        <v>1759</v>
      </c>
      <c r="J17" s="43"/>
      <c r="K17" s="43"/>
      <c r="L17" s="43"/>
      <c r="M17" s="43"/>
      <c r="N17" s="43"/>
      <c r="O17" s="43"/>
      <c r="P17" s="43"/>
      <c r="Q17" s="43"/>
      <c r="R17" s="43"/>
      <c r="S17" s="43"/>
      <c r="T17" s="134"/>
      <c r="U17" s="7"/>
      <c r="V17" s="7"/>
      <c r="W17" s="7"/>
      <c r="X17" s="7"/>
      <c r="Y17" s="7"/>
      <c r="Z17" s="7"/>
      <c r="AA17" s="7"/>
      <c r="AB17" s="7"/>
      <c r="AC17" s="7"/>
      <c r="AD17" s="7"/>
    </row>
    <row r="18" spans="1:30" x14ac:dyDescent="0.3">
      <c r="A18" s="11"/>
      <c r="B18" s="12"/>
      <c r="C18" s="13"/>
      <c r="D18" s="7"/>
      <c r="E18" s="45"/>
      <c r="F18" s="35"/>
      <c r="G18" s="35"/>
      <c r="H18" s="35"/>
      <c r="I18" s="116"/>
      <c r="J18" s="43"/>
      <c r="K18" s="43"/>
      <c r="L18" s="43"/>
      <c r="M18" s="43"/>
      <c r="N18" s="43"/>
      <c r="O18" s="43"/>
      <c r="P18" s="43"/>
      <c r="Q18" s="43"/>
      <c r="R18" s="43"/>
      <c r="S18" s="43"/>
      <c r="T18" s="134"/>
      <c r="U18" s="7"/>
      <c r="V18" s="7"/>
      <c r="W18" s="7"/>
      <c r="X18" s="7"/>
      <c r="Y18" s="7"/>
      <c r="Z18" s="7"/>
      <c r="AA18" s="7"/>
      <c r="AB18" s="7"/>
      <c r="AC18" s="7"/>
      <c r="AD18" s="7"/>
    </row>
    <row r="19" spans="1:30" x14ac:dyDescent="0.3">
      <c r="A19" s="11"/>
      <c r="B19" s="12"/>
      <c r="C19" s="13"/>
      <c r="D19" s="7"/>
      <c r="E19" s="42" t="s">
        <v>541</v>
      </c>
      <c r="F19" s="43"/>
      <c r="G19" s="43"/>
      <c r="H19" s="43"/>
      <c r="I19" s="89" t="s">
        <v>1537</v>
      </c>
      <c r="J19" s="101"/>
      <c r="K19" s="101"/>
      <c r="L19" s="101"/>
      <c r="M19" s="101"/>
      <c r="N19" s="101"/>
      <c r="O19" s="101"/>
      <c r="P19" s="101"/>
      <c r="Q19" s="101"/>
      <c r="R19" s="101"/>
      <c r="S19" s="101"/>
      <c r="T19" s="102"/>
      <c r="U19" s="7"/>
      <c r="V19" s="7"/>
      <c r="W19" s="7"/>
      <c r="X19" s="7"/>
      <c r="Y19" s="7"/>
      <c r="Z19" s="7"/>
      <c r="AA19" s="7"/>
      <c r="AB19" s="7"/>
      <c r="AC19" s="7"/>
      <c r="AD19" s="7"/>
    </row>
    <row r="20" spans="1:30" ht="15" customHeight="1" x14ac:dyDescent="0.3">
      <c r="A20" s="11"/>
      <c r="B20" s="12"/>
      <c r="C20" s="13"/>
      <c r="D20" s="7"/>
      <c r="E20" s="147"/>
      <c r="F20" s="44"/>
      <c r="G20" s="44"/>
      <c r="H20" s="44"/>
      <c r="I20" s="89" t="s">
        <v>1871</v>
      </c>
      <c r="J20" s="101"/>
      <c r="K20" s="101"/>
      <c r="L20" s="101"/>
      <c r="M20" s="101"/>
      <c r="N20" s="101"/>
      <c r="O20" s="101"/>
      <c r="P20" s="101"/>
      <c r="Q20" s="101"/>
      <c r="R20" s="101"/>
      <c r="S20" s="101"/>
      <c r="T20" s="102"/>
      <c r="U20" s="7"/>
      <c r="V20" s="7"/>
      <c r="W20" s="7"/>
      <c r="X20" s="7"/>
      <c r="Y20" s="7"/>
      <c r="Z20" s="7"/>
      <c r="AA20" s="7"/>
      <c r="AB20" s="7"/>
      <c r="AC20" s="7"/>
      <c r="AD20" s="7"/>
    </row>
    <row r="21" spans="1:30" ht="15" customHeight="1" x14ac:dyDescent="0.3">
      <c r="A21" s="11"/>
      <c r="B21" s="12"/>
      <c r="C21" s="13"/>
      <c r="D21" s="7"/>
      <c r="E21" s="147"/>
      <c r="F21" s="44"/>
      <c r="G21" s="44"/>
      <c r="H21" s="44"/>
      <c r="I21" s="89"/>
      <c r="J21" s="101"/>
      <c r="K21" s="101"/>
      <c r="L21" s="101"/>
      <c r="M21" s="101"/>
      <c r="N21" s="101"/>
      <c r="O21" s="101"/>
      <c r="P21" s="101"/>
      <c r="Q21" s="101"/>
      <c r="R21" s="101"/>
      <c r="S21" s="101"/>
      <c r="T21" s="102"/>
      <c r="U21" s="7"/>
      <c r="V21" s="7"/>
      <c r="W21" s="7"/>
      <c r="X21" s="7"/>
      <c r="Y21" s="7"/>
      <c r="Z21" s="7"/>
      <c r="AA21" s="7"/>
      <c r="AB21" s="7"/>
      <c r="AC21" s="7"/>
      <c r="AD21" s="7"/>
    </row>
    <row r="22" spans="1:30" x14ac:dyDescent="0.3">
      <c r="A22" s="11"/>
      <c r="B22" s="12"/>
      <c r="C22" s="13"/>
      <c r="D22" s="7"/>
      <c r="E22" s="42" t="s">
        <v>1870</v>
      </c>
      <c r="F22" s="44"/>
      <c r="G22" s="44"/>
      <c r="H22" s="44"/>
      <c r="I22" s="89" t="s">
        <v>1874</v>
      </c>
      <c r="J22" s="101"/>
      <c r="K22" s="101"/>
      <c r="L22" s="101"/>
      <c r="M22" s="101"/>
      <c r="N22" s="101"/>
      <c r="O22" s="101"/>
      <c r="P22" s="101"/>
      <c r="Q22" s="101"/>
      <c r="R22" s="101"/>
      <c r="S22" s="101"/>
      <c r="T22" s="102"/>
      <c r="U22" s="7"/>
      <c r="V22" s="7"/>
      <c r="W22" s="7"/>
      <c r="X22" s="7"/>
      <c r="Y22" s="7"/>
      <c r="Z22" s="7"/>
      <c r="AA22" s="7"/>
      <c r="AB22" s="7"/>
      <c r="AC22" s="7"/>
      <c r="AD22" s="7"/>
    </row>
    <row r="23" spans="1:30" x14ac:dyDescent="0.3">
      <c r="A23" s="11"/>
      <c r="B23" s="12"/>
      <c r="C23" s="13"/>
      <c r="D23" s="7"/>
      <c r="E23" s="147"/>
      <c r="F23" s="44"/>
      <c r="G23" s="44"/>
      <c r="H23" s="44"/>
      <c r="I23" s="89" t="s">
        <v>1872</v>
      </c>
      <c r="J23" s="101"/>
      <c r="K23" s="101"/>
      <c r="L23" s="101"/>
      <c r="M23" s="101"/>
      <c r="N23" s="101"/>
      <c r="O23" s="101"/>
      <c r="P23" s="101"/>
      <c r="Q23" s="101"/>
      <c r="R23" s="101"/>
      <c r="S23" s="101"/>
      <c r="T23" s="102"/>
      <c r="U23" s="7"/>
      <c r="V23" s="7"/>
      <c r="W23" s="7"/>
      <c r="X23" s="7"/>
      <c r="Y23" s="7"/>
      <c r="Z23" s="7"/>
      <c r="AA23" s="7"/>
      <c r="AB23" s="7"/>
      <c r="AC23" s="7"/>
      <c r="AD23" s="7"/>
    </row>
    <row r="24" spans="1:30" x14ac:dyDescent="0.3">
      <c r="A24" s="11"/>
      <c r="B24" s="12"/>
      <c r="C24" s="13"/>
      <c r="D24" s="7"/>
      <c r="E24" s="147"/>
      <c r="F24" s="44"/>
      <c r="G24" s="44"/>
      <c r="H24" s="44"/>
      <c r="I24" s="89" t="s">
        <v>1873</v>
      </c>
      <c r="J24" s="101"/>
      <c r="K24" s="101"/>
      <c r="L24" s="101"/>
      <c r="M24" s="101"/>
      <c r="N24" s="101"/>
      <c r="O24" s="101"/>
      <c r="P24" s="101"/>
      <c r="Q24" s="101"/>
      <c r="R24" s="101"/>
      <c r="S24" s="101"/>
      <c r="T24" s="102"/>
      <c r="U24" s="7"/>
      <c r="V24" s="7"/>
      <c r="W24" s="7"/>
      <c r="X24" s="7"/>
      <c r="Y24" s="7"/>
      <c r="Z24" s="7"/>
      <c r="AA24" s="7"/>
      <c r="AB24" s="7"/>
      <c r="AC24" s="7"/>
      <c r="AD24" s="7"/>
    </row>
    <row r="25" spans="1:30" x14ac:dyDescent="0.3">
      <c r="A25" s="11"/>
      <c r="B25" s="12"/>
      <c r="C25" s="13"/>
      <c r="D25" s="7"/>
      <c r="E25" s="147"/>
      <c r="F25" s="44"/>
      <c r="G25" s="44"/>
      <c r="H25" s="44"/>
      <c r="I25" s="89"/>
      <c r="J25" s="101"/>
      <c r="K25" s="101"/>
      <c r="L25" s="101"/>
      <c r="M25" s="101"/>
      <c r="N25" s="101"/>
      <c r="O25" s="101"/>
      <c r="P25" s="101"/>
      <c r="Q25" s="101"/>
      <c r="R25" s="101"/>
      <c r="S25" s="101"/>
      <c r="T25" s="102"/>
      <c r="U25" s="7"/>
      <c r="V25" s="7"/>
      <c r="W25" s="7"/>
      <c r="X25" s="7"/>
      <c r="Y25" s="7"/>
      <c r="Z25" s="7"/>
      <c r="AA25" s="7"/>
      <c r="AB25" s="7"/>
      <c r="AC25" s="7"/>
      <c r="AD25" s="7"/>
    </row>
    <row r="26" spans="1:30" x14ac:dyDescent="0.3">
      <c r="A26" s="11"/>
      <c r="B26" s="12"/>
      <c r="C26" s="13"/>
      <c r="D26" s="7"/>
      <c r="E26" s="45" t="s">
        <v>542</v>
      </c>
      <c r="F26" s="43"/>
      <c r="G26" s="43"/>
      <c r="H26" s="43"/>
      <c r="I26" s="46" t="s">
        <v>1760</v>
      </c>
      <c r="J26" s="43"/>
      <c r="K26" s="43"/>
      <c r="L26" s="43"/>
      <c r="M26" s="43"/>
      <c r="N26" s="43"/>
      <c r="O26" s="43"/>
      <c r="P26" s="43"/>
      <c r="Q26" s="43"/>
      <c r="R26" s="43"/>
      <c r="S26" s="43"/>
      <c r="T26" s="134"/>
      <c r="U26" s="7"/>
      <c r="V26" s="7"/>
      <c r="W26" s="7"/>
      <c r="X26" s="7"/>
      <c r="Y26" s="7"/>
      <c r="Z26" s="7"/>
      <c r="AA26" s="7"/>
      <c r="AB26" s="7"/>
      <c r="AC26" s="7"/>
      <c r="AD26" s="7"/>
    </row>
    <row r="27" spans="1:30" x14ac:dyDescent="0.3">
      <c r="A27" s="11"/>
      <c r="B27" s="12"/>
      <c r="C27" s="13"/>
      <c r="D27" s="7"/>
      <c r="E27" s="45"/>
      <c r="F27" s="43"/>
      <c r="G27" s="43"/>
      <c r="H27" s="43"/>
      <c r="I27" s="46" t="s">
        <v>1761</v>
      </c>
      <c r="J27" s="43"/>
      <c r="K27" s="43"/>
      <c r="L27" s="43"/>
      <c r="M27" s="43"/>
      <c r="N27" s="43"/>
      <c r="O27" s="43"/>
      <c r="P27" s="43"/>
      <c r="Q27" s="43"/>
      <c r="R27" s="43"/>
      <c r="S27" s="43"/>
      <c r="T27" s="134"/>
      <c r="U27" s="7"/>
      <c r="V27" s="7"/>
      <c r="W27" s="7"/>
      <c r="X27" s="7"/>
      <c r="Y27" s="7"/>
      <c r="Z27" s="7"/>
      <c r="AA27" s="7"/>
      <c r="AB27" s="7"/>
      <c r="AC27" s="7"/>
      <c r="AD27" s="7"/>
    </row>
    <row r="28" spans="1:30" x14ac:dyDescent="0.3">
      <c r="A28" s="11"/>
      <c r="B28" s="12"/>
      <c r="C28" s="13"/>
      <c r="D28" s="7"/>
      <c r="E28" s="45"/>
      <c r="F28" s="43"/>
      <c r="G28" s="43"/>
      <c r="H28" s="43"/>
      <c r="I28" s="46"/>
      <c r="J28" s="43"/>
      <c r="K28" s="43"/>
      <c r="L28" s="43"/>
      <c r="M28" s="43"/>
      <c r="N28" s="43"/>
      <c r="O28" s="43"/>
      <c r="P28" s="43"/>
      <c r="Q28" s="43"/>
      <c r="R28" s="43"/>
      <c r="S28" s="43"/>
      <c r="T28" s="134"/>
      <c r="U28" s="7"/>
      <c r="V28" s="7"/>
      <c r="W28" s="7"/>
      <c r="X28" s="7"/>
      <c r="Y28" s="7"/>
      <c r="Z28" s="7"/>
      <c r="AA28" s="7"/>
      <c r="AB28" s="7"/>
      <c r="AC28" s="7"/>
      <c r="AD28" s="7"/>
    </row>
    <row r="29" spans="1:30" ht="15" customHeight="1" x14ac:dyDescent="0.3">
      <c r="A29" s="11"/>
      <c r="B29" s="12"/>
      <c r="C29" s="13"/>
      <c r="D29" s="7"/>
      <c r="E29" s="45" t="s">
        <v>1693</v>
      </c>
      <c r="F29" s="43"/>
      <c r="G29" s="43"/>
      <c r="H29" s="43"/>
      <c r="I29" s="43" t="s">
        <v>1697</v>
      </c>
      <c r="J29" s="43"/>
      <c r="K29" s="43"/>
      <c r="L29" s="43"/>
      <c r="M29" s="43"/>
      <c r="N29" s="43"/>
      <c r="O29" s="43"/>
      <c r="P29" s="43"/>
      <c r="Q29" s="43"/>
      <c r="R29" s="43"/>
      <c r="S29" s="43"/>
      <c r="T29" s="134"/>
      <c r="U29" s="7"/>
      <c r="V29" s="7"/>
      <c r="W29" s="7"/>
      <c r="X29" s="7"/>
      <c r="Y29" s="7"/>
      <c r="Z29" s="7"/>
      <c r="AA29" s="7"/>
      <c r="AB29" s="7"/>
      <c r="AC29" s="7"/>
      <c r="AD29" s="7"/>
    </row>
    <row r="30" spans="1:30" x14ac:dyDescent="0.3">
      <c r="A30" s="11"/>
      <c r="B30" s="12"/>
      <c r="C30" s="13"/>
      <c r="D30" s="7"/>
      <c r="E30" s="45"/>
      <c r="F30" s="43"/>
      <c r="G30" s="43"/>
      <c r="H30" s="43"/>
      <c r="I30" s="46" t="s">
        <v>1696</v>
      </c>
      <c r="J30" s="43"/>
      <c r="K30" s="43"/>
      <c r="L30" s="43"/>
      <c r="M30" s="43"/>
      <c r="N30" s="43"/>
      <c r="O30" s="43"/>
      <c r="P30" s="43"/>
      <c r="Q30" s="43"/>
      <c r="R30" s="43"/>
      <c r="S30" s="43"/>
      <c r="T30" s="134"/>
      <c r="U30" s="7"/>
      <c r="V30" s="7"/>
      <c r="W30" s="7"/>
      <c r="X30" s="7"/>
      <c r="Y30" s="7"/>
      <c r="Z30" s="7"/>
      <c r="AA30" s="7"/>
      <c r="AB30" s="7"/>
      <c r="AC30" s="7"/>
      <c r="AD30" s="7"/>
    </row>
    <row r="31" spans="1:30" x14ac:dyDescent="0.3">
      <c r="A31" s="11"/>
      <c r="B31" s="12"/>
      <c r="C31" s="13"/>
      <c r="D31" s="7"/>
      <c r="E31" s="45"/>
      <c r="F31" s="43"/>
      <c r="G31" s="43"/>
      <c r="H31" s="43"/>
      <c r="I31" s="46"/>
      <c r="J31" s="43"/>
      <c r="K31" s="43"/>
      <c r="L31" s="43"/>
      <c r="M31" s="43"/>
      <c r="N31" s="43"/>
      <c r="O31" s="43"/>
      <c r="P31" s="43"/>
      <c r="Q31" s="43"/>
      <c r="R31" s="43"/>
      <c r="S31" s="43"/>
      <c r="T31" s="134"/>
      <c r="U31" s="7"/>
      <c r="V31" s="7"/>
      <c r="W31" s="7"/>
      <c r="X31" s="7"/>
      <c r="Y31" s="7"/>
      <c r="Z31" s="7"/>
      <c r="AA31" s="7"/>
      <c r="AB31" s="7"/>
      <c r="AC31" s="7"/>
      <c r="AD31" s="7"/>
    </row>
    <row r="32" spans="1:30" ht="15" customHeight="1" x14ac:dyDescent="0.3">
      <c r="A32" s="11"/>
      <c r="B32" s="12"/>
      <c r="C32" s="13"/>
      <c r="D32" s="7"/>
      <c r="E32" s="45" t="s">
        <v>543</v>
      </c>
      <c r="F32" s="43"/>
      <c r="G32" s="43"/>
      <c r="H32" s="43"/>
      <c r="I32" s="46" t="s">
        <v>1664</v>
      </c>
      <c r="J32" s="43"/>
      <c r="K32" s="43"/>
      <c r="L32" s="43"/>
      <c r="M32" s="43"/>
      <c r="N32" s="43"/>
      <c r="O32" s="43"/>
      <c r="P32" s="43"/>
      <c r="Q32" s="43"/>
      <c r="R32" s="43"/>
      <c r="S32" s="43"/>
      <c r="T32" s="134"/>
      <c r="U32" s="7"/>
      <c r="V32" s="7"/>
      <c r="W32" s="7"/>
      <c r="X32" s="7"/>
      <c r="Y32" s="7"/>
      <c r="Z32" s="7"/>
      <c r="AA32" s="7"/>
      <c r="AB32" s="7"/>
      <c r="AC32" s="7"/>
      <c r="AD32" s="7"/>
    </row>
    <row r="33" spans="1:30" x14ac:dyDescent="0.3">
      <c r="A33" s="11"/>
      <c r="B33" s="12"/>
      <c r="C33" s="13"/>
      <c r="D33" s="7"/>
      <c r="E33" s="128"/>
      <c r="F33" s="129"/>
      <c r="G33" s="43"/>
      <c r="H33" s="43"/>
      <c r="I33" s="43" t="s">
        <v>1869</v>
      </c>
      <c r="J33" s="43"/>
      <c r="K33" s="43"/>
      <c r="L33" s="43"/>
      <c r="M33" s="43"/>
      <c r="N33" s="43"/>
      <c r="O33" s="43"/>
      <c r="P33" s="43"/>
      <c r="Q33" s="43"/>
      <c r="R33" s="43"/>
      <c r="S33" s="43"/>
      <c r="T33" s="134"/>
      <c r="U33" s="7"/>
      <c r="V33" s="7"/>
      <c r="W33" s="7"/>
      <c r="X33" s="7"/>
      <c r="Y33" s="7"/>
      <c r="Z33" s="7"/>
      <c r="AA33" s="7"/>
      <c r="AB33" s="7"/>
      <c r="AC33" s="7"/>
      <c r="AD33" s="7"/>
    </row>
    <row r="34" spans="1:30" x14ac:dyDescent="0.3">
      <c r="A34" s="11"/>
      <c r="B34" s="12"/>
      <c r="C34" s="13"/>
      <c r="D34" s="7"/>
      <c r="E34" s="128"/>
      <c r="F34" s="129"/>
      <c r="G34" s="43"/>
      <c r="H34" s="43"/>
      <c r="I34" s="43" t="s">
        <v>1656</v>
      </c>
      <c r="J34" s="43"/>
      <c r="K34" s="43"/>
      <c r="L34" s="43"/>
      <c r="M34" s="43"/>
      <c r="N34" s="43"/>
      <c r="O34" s="43"/>
      <c r="P34" s="43"/>
      <c r="Q34" s="43"/>
      <c r="R34" s="43"/>
      <c r="S34" s="43"/>
      <c r="T34" s="134"/>
      <c r="U34" s="7"/>
      <c r="V34" s="7"/>
      <c r="W34" s="7"/>
      <c r="X34" s="7"/>
      <c r="Y34" s="7"/>
      <c r="Z34" s="7"/>
      <c r="AA34" s="7"/>
      <c r="AB34" s="7"/>
      <c r="AC34" s="7"/>
      <c r="AD34" s="7"/>
    </row>
    <row r="35" spans="1:30" x14ac:dyDescent="0.3">
      <c r="A35" s="11"/>
      <c r="B35" s="12"/>
      <c r="C35" s="13"/>
      <c r="D35" s="7"/>
      <c r="E35" s="128"/>
      <c r="F35" s="129"/>
      <c r="G35" s="43"/>
      <c r="H35" s="43"/>
      <c r="I35" s="43"/>
      <c r="J35" s="43"/>
      <c r="K35" s="43"/>
      <c r="L35" s="43"/>
      <c r="M35" s="43"/>
      <c r="N35" s="43"/>
      <c r="O35" s="43"/>
      <c r="P35" s="43"/>
      <c r="Q35" s="43"/>
      <c r="R35" s="43"/>
      <c r="S35" s="43"/>
      <c r="T35" s="134"/>
      <c r="U35" s="7"/>
      <c r="V35" s="7"/>
      <c r="W35" s="7"/>
      <c r="X35" s="7"/>
      <c r="Y35" s="7"/>
      <c r="Z35" s="7"/>
      <c r="AA35" s="7"/>
      <c r="AB35" s="7"/>
      <c r="AC35" s="7"/>
      <c r="AD35" s="7"/>
    </row>
    <row r="36" spans="1:30" x14ac:dyDescent="0.3">
      <c r="A36" s="11"/>
      <c r="B36" s="12"/>
      <c r="C36" s="13"/>
      <c r="D36" s="7"/>
      <c r="E36" s="128" t="s">
        <v>544</v>
      </c>
      <c r="F36" s="129"/>
      <c r="G36" s="43"/>
      <c r="H36" s="43"/>
      <c r="I36" s="46" t="s">
        <v>1648</v>
      </c>
      <c r="J36" s="43"/>
      <c r="K36" s="43"/>
      <c r="L36" s="43"/>
      <c r="M36" s="43"/>
      <c r="N36" s="43"/>
      <c r="O36" s="43"/>
      <c r="P36" s="43"/>
      <c r="Q36" s="43"/>
      <c r="R36" s="43"/>
      <c r="S36" s="43"/>
      <c r="T36" s="134"/>
      <c r="U36" s="7"/>
      <c r="V36" s="7"/>
      <c r="W36" s="7"/>
      <c r="X36" s="7"/>
      <c r="Y36" s="7"/>
      <c r="Z36" s="7"/>
      <c r="AA36" s="7"/>
      <c r="AB36" s="7"/>
      <c r="AC36" s="7"/>
      <c r="AD36" s="7"/>
    </row>
    <row r="37" spans="1:30" x14ac:dyDescent="0.3">
      <c r="A37" s="11"/>
      <c r="B37" s="12"/>
      <c r="C37" s="13"/>
      <c r="D37" s="7"/>
      <c r="E37" s="45"/>
      <c r="F37" s="43"/>
      <c r="G37" s="43"/>
      <c r="H37" s="43"/>
      <c r="I37" s="43" t="s">
        <v>1538</v>
      </c>
      <c r="J37" s="43"/>
      <c r="K37" s="43"/>
      <c r="L37" s="43"/>
      <c r="M37" s="43"/>
      <c r="N37" s="43"/>
      <c r="O37" s="43"/>
      <c r="P37" s="43"/>
      <c r="Q37" s="43"/>
      <c r="R37" s="43"/>
      <c r="S37" s="43"/>
      <c r="T37" s="134"/>
      <c r="U37" s="7"/>
      <c r="V37" s="7"/>
      <c r="W37" s="7"/>
      <c r="X37" s="7"/>
      <c r="Y37" s="7"/>
      <c r="Z37" s="7"/>
      <c r="AA37" s="7"/>
      <c r="AB37" s="7"/>
      <c r="AC37" s="7"/>
      <c r="AD37" s="7"/>
    </row>
    <row r="38" spans="1:30" x14ac:dyDescent="0.3">
      <c r="A38" s="11"/>
      <c r="B38" s="12"/>
      <c r="C38" s="13"/>
      <c r="D38" s="7"/>
      <c r="E38" s="45"/>
      <c r="F38" s="43"/>
      <c r="G38" s="43"/>
      <c r="H38" s="43"/>
      <c r="I38" s="43"/>
      <c r="J38" s="43"/>
      <c r="K38" s="43"/>
      <c r="L38" s="43"/>
      <c r="M38" s="43"/>
      <c r="N38" s="43"/>
      <c r="O38" s="43"/>
      <c r="P38" s="43"/>
      <c r="Q38" s="43"/>
      <c r="R38" s="43"/>
      <c r="S38" s="43"/>
      <c r="T38" s="134"/>
      <c r="U38" s="7"/>
      <c r="V38" s="7"/>
      <c r="W38" s="7"/>
      <c r="X38" s="7"/>
      <c r="Y38" s="7"/>
      <c r="Z38" s="7"/>
      <c r="AA38" s="7"/>
      <c r="AB38" s="7"/>
      <c r="AC38" s="7"/>
      <c r="AD38" s="7"/>
    </row>
    <row r="39" spans="1:30" x14ac:dyDescent="0.3">
      <c r="A39" s="11"/>
      <c r="B39" s="12"/>
      <c r="C39" s="13"/>
      <c r="D39" s="7"/>
      <c r="E39" s="45" t="s">
        <v>2769</v>
      </c>
      <c r="F39" s="43"/>
      <c r="G39" s="43"/>
      <c r="H39" s="43"/>
      <c r="I39" s="43" t="s">
        <v>2775</v>
      </c>
      <c r="J39" s="43"/>
      <c r="K39" s="43"/>
      <c r="L39" s="43"/>
      <c r="M39" s="43"/>
      <c r="N39" s="43"/>
      <c r="O39" s="43"/>
      <c r="P39" s="43"/>
      <c r="Q39" s="43"/>
      <c r="R39" s="43"/>
      <c r="S39" s="43"/>
      <c r="T39" s="134"/>
      <c r="U39" s="7"/>
      <c r="V39" s="7"/>
      <c r="W39" s="7"/>
      <c r="X39" s="7"/>
      <c r="Y39" s="7"/>
      <c r="Z39" s="7"/>
      <c r="AA39" s="7"/>
      <c r="AB39" s="7"/>
      <c r="AC39" s="7"/>
      <c r="AD39" s="7"/>
    </row>
    <row r="40" spans="1:30" x14ac:dyDescent="0.3">
      <c r="A40" s="11"/>
      <c r="B40" s="12"/>
      <c r="C40" s="13"/>
      <c r="D40" s="7"/>
      <c r="E40" s="45"/>
      <c r="F40" s="43"/>
      <c r="G40" s="43"/>
      <c r="H40" s="43"/>
      <c r="I40" s="43"/>
      <c r="J40" s="43"/>
      <c r="K40" s="43"/>
      <c r="L40" s="43"/>
      <c r="M40" s="43"/>
      <c r="N40" s="43"/>
      <c r="O40" s="43"/>
      <c r="P40" s="43"/>
      <c r="Q40" s="43"/>
      <c r="R40" s="43"/>
      <c r="S40" s="43"/>
      <c r="T40" s="134"/>
      <c r="U40" s="7"/>
      <c r="V40" s="7"/>
      <c r="W40" s="7"/>
      <c r="X40" s="7"/>
      <c r="Y40" s="7"/>
      <c r="Z40" s="7"/>
      <c r="AA40" s="7"/>
      <c r="AB40" s="7"/>
      <c r="AC40" s="7"/>
      <c r="AD40" s="7"/>
    </row>
    <row r="41" spans="1:30" x14ac:dyDescent="0.3">
      <c r="A41" s="11"/>
      <c r="B41" s="12"/>
      <c r="C41" s="13"/>
      <c r="D41" s="7"/>
      <c r="E41" s="45" t="s">
        <v>545</v>
      </c>
      <c r="F41" s="43"/>
      <c r="G41" s="43"/>
      <c r="H41" s="43"/>
      <c r="I41" s="43" t="s">
        <v>1539</v>
      </c>
      <c r="J41" s="43"/>
      <c r="K41" s="43"/>
      <c r="L41" s="43"/>
      <c r="M41" s="43"/>
      <c r="N41" s="43"/>
      <c r="O41" s="43"/>
      <c r="P41" s="43"/>
      <c r="Q41" s="43"/>
      <c r="R41" s="43"/>
      <c r="S41" s="43"/>
      <c r="T41" s="134"/>
      <c r="U41" s="7"/>
      <c r="V41" s="7"/>
      <c r="W41" s="7"/>
      <c r="X41" s="7"/>
      <c r="Y41" s="7"/>
      <c r="Z41" s="7"/>
      <c r="AA41" s="7"/>
      <c r="AB41" s="7"/>
      <c r="AC41" s="7"/>
      <c r="AD41" s="7"/>
    </row>
    <row r="42" spans="1:30" x14ac:dyDescent="0.3">
      <c r="A42" s="11"/>
      <c r="B42" s="12"/>
      <c r="C42" s="13"/>
      <c r="D42" s="7"/>
      <c r="E42" s="45"/>
      <c r="F42" s="43"/>
      <c r="G42" s="43"/>
      <c r="H42" s="43"/>
      <c r="I42" s="43" t="s">
        <v>1540</v>
      </c>
      <c r="J42" s="43"/>
      <c r="K42" s="43"/>
      <c r="L42" s="43"/>
      <c r="M42" s="43"/>
      <c r="N42" s="43"/>
      <c r="O42" s="43"/>
      <c r="P42" s="43"/>
      <c r="Q42" s="43"/>
      <c r="R42" s="43"/>
      <c r="S42" s="43"/>
      <c r="T42" s="134"/>
      <c r="U42" s="7"/>
      <c r="V42" s="7"/>
      <c r="W42" s="7"/>
      <c r="X42" s="7"/>
      <c r="Y42" s="7"/>
      <c r="Z42" s="7"/>
      <c r="AA42" s="7"/>
      <c r="AB42" s="7"/>
      <c r="AC42" s="7"/>
      <c r="AD42" s="7"/>
    </row>
    <row r="43" spans="1:30" x14ac:dyDescent="0.3">
      <c r="A43" s="11"/>
      <c r="B43" s="12"/>
      <c r="C43" s="13"/>
      <c r="D43" s="7"/>
      <c r="E43" s="45"/>
      <c r="F43" s="43"/>
      <c r="G43" s="43"/>
      <c r="H43" s="43"/>
      <c r="I43" s="43"/>
      <c r="J43" s="43"/>
      <c r="K43" s="43"/>
      <c r="L43" s="43"/>
      <c r="M43" s="43"/>
      <c r="N43" s="43"/>
      <c r="O43" s="43"/>
      <c r="P43" s="43"/>
      <c r="Q43" s="43"/>
      <c r="R43" s="43"/>
      <c r="S43" s="43"/>
      <c r="T43" s="134"/>
      <c r="U43" s="7"/>
      <c r="V43" s="7"/>
      <c r="W43" s="7"/>
      <c r="X43" s="7"/>
      <c r="Y43" s="7"/>
      <c r="Z43" s="7"/>
      <c r="AA43" s="7"/>
      <c r="AB43" s="7"/>
      <c r="AC43" s="7"/>
      <c r="AD43" s="7"/>
    </row>
    <row r="44" spans="1:30" x14ac:dyDescent="0.3">
      <c r="A44" s="11"/>
      <c r="B44" s="12"/>
      <c r="C44" s="13"/>
      <c r="D44" s="7"/>
      <c r="E44" s="45" t="s">
        <v>1154</v>
      </c>
      <c r="F44" s="43"/>
      <c r="G44" s="43"/>
      <c r="H44" s="43"/>
      <c r="I44" s="43" t="s">
        <v>1541</v>
      </c>
      <c r="J44" s="47"/>
      <c r="K44" s="47"/>
      <c r="L44" s="47"/>
      <c r="M44" s="47"/>
      <c r="N44" s="47"/>
      <c r="O44" s="47"/>
      <c r="P44" s="47"/>
      <c r="Q44" s="47"/>
      <c r="R44" s="47"/>
      <c r="S44" s="47"/>
      <c r="T44" s="135"/>
      <c r="U44" s="7"/>
      <c r="V44" s="7"/>
      <c r="W44" s="7"/>
      <c r="X44" s="7"/>
      <c r="Y44" s="7"/>
      <c r="Z44" s="7"/>
      <c r="AA44" s="7"/>
      <c r="AB44" s="7"/>
      <c r="AC44" s="7"/>
      <c r="AD44" s="7"/>
    </row>
    <row r="45" spans="1:30" x14ac:dyDescent="0.3">
      <c r="A45" s="11"/>
      <c r="B45" s="12"/>
      <c r="C45" s="13"/>
      <c r="D45" s="7"/>
      <c r="E45" s="45"/>
      <c r="F45" s="43"/>
      <c r="G45" s="43"/>
      <c r="H45" s="43"/>
      <c r="I45" s="46" t="s">
        <v>1762</v>
      </c>
      <c r="J45" s="89"/>
      <c r="K45" s="89"/>
      <c r="L45" s="89"/>
      <c r="M45" s="89"/>
      <c r="N45" s="89"/>
      <c r="O45" s="89"/>
      <c r="P45" s="89"/>
      <c r="Q45" s="89"/>
      <c r="R45" s="89"/>
      <c r="S45" s="89"/>
      <c r="T45" s="103"/>
      <c r="U45" s="35"/>
      <c r="V45" s="35"/>
      <c r="W45" s="35"/>
      <c r="X45" s="35"/>
      <c r="Y45" s="35"/>
      <c r="Z45" s="35"/>
      <c r="AA45" s="35"/>
      <c r="AB45" s="35"/>
      <c r="AC45" s="35"/>
      <c r="AD45" s="7"/>
    </row>
    <row r="46" spans="1:30" x14ac:dyDescent="0.3">
      <c r="A46" s="11"/>
      <c r="B46" s="12"/>
      <c r="C46" s="13"/>
      <c r="D46" s="7"/>
      <c r="E46" s="45"/>
      <c r="F46" s="43"/>
      <c r="G46" s="43"/>
      <c r="H46" s="43"/>
      <c r="I46" s="46"/>
      <c r="J46" s="89"/>
      <c r="K46" s="89"/>
      <c r="L46" s="89"/>
      <c r="M46" s="89"/>
      <c r="N46" s="89"/>
      <c r="O46" s="89"/>
      <c r="P46" s="89"/>
      <c r="Q46" s="89"/>
      <c r="R46" s="89"/>
      <c r="S46" s="89"/>
      <c r="T46" s="103"/>
      <c r="U46" s="35"/>
      <c r="V46" s="35"/>
      <c r="W46" s="35"/>
      <c r="X46" s="35"/>
      <c r="Y46" s="35"/>
      <c r="Z46" s="35"/>
      <c r="AA46" s="35"/>
      <c r="AB46" s="35"/>
      <c r="AC46" s="35"/>
      <c r="AD46" s="7"/>
    </row>
    <row r="47" spans="1:30" x14ac:dyDescent="0.3">
      <c r="A47" s="11"/>
      <c r="B47" s="12"/>
      <c r="C47" s="13"/>
      <c r="D47" s="7"/>
      <c r="E47" s="45" t="s">
        <v>546</v>
      </c>
      <c r="F47" s="43"/>
      <c r="G47" s="43"/>
      <c r="H47" s="43"/>
      <c r="I47" s="43" t="s">
        <v>1883</v>
      </c>
      <c r="J47" s="89"/>
      <c r="K47" s="89"/>
      <c r="L47" s="89"/>
      <c r="M47" s="89"/>
      <c r="N47" s="89"/>
      <c r="O47" s="89"/>
      <c r="P47" s="89"/>
      <c r="Q47" s="89"/>
      <c r="R47" s="89"/>
      <c r="S47" s="89"/>
      <c r="T47" s="103"/>
      <c r="U47" s="35"/>
      <c r="V47" s="35"/>
      <c r="W47" s="35"/>
      <c r="X47" s="35"/>
      <c r="Y47" s="35"/>
      <c r="Z47" s="35"/>
      <c r="AA47" s="35"/>
      <c r="AB47" s="35"/>
      <c r="AC47" s="35"/>
      <c r="AD47" s="7"/>
    </row>
    <row r="48" spans="1:30" x14ac:dyDescent="0.3">
      <c r="A48" s="11"/>
      <c r="B48" s="12"/>
      <c r="C48" s="13"/>
      <c r="D48" s="7"/>
      <c r="E48" s="45"/>
      <c r="F48" s="43"/>
      <c r="G48" s="43"/>
      <c r="H48" s="43"/>
      <c r="I48" s="43"/>
      <c r="J48" s="89"/>
      <c r="K48" s="89"/>
      <c r="L48" s="89"/>
      <c r="M48" s="89"/>
      <c r="N48" s="89"/>
      <c r="O48" s="89"/>
      <c r="P48" s="89"/>
      <c r="Q48" s="89"/>
      <c r="R48" s="89"/>
      <c r="S48" s="89"/>
      <c r="T48" s="103"/>
      <c r="U48" s="35"/>
      <c r="V48" s="35"/>
      <c r="W48" s="35"/>
      <c r="X48" s="35"/>
      <c r="Y48" s="35"/>
      <c r="Z48" s="35"/>
      <c r="AA48" s="35"/>
      <c r="AB48" s="35"/>
      <c r="AC48" s="35"/>
      <c r="AD48" s="7"/>
    </row>
    <row r="49" spans="1:30" x14ac:dyDescent="0.3">
      <c r="A49" s="11"/>
      <c r="B49" s="12"/>
      <c r="C49" s="13"/>
      <c r="D49" s="7"/>
      <c r="E49" s="45" t="s">
        <v>547</v>
      </c>
      <c r="F49" s="43"/>
      <c r="G49" s="43"/>
      <c r="H49" s="43"/>
      <c r="I49" s="43" t="s">
        <v>487</v>
      </c>
      <c r="J49" s="89"/>
      <c r="K49" s="89"/>
      <c r="L49" s="89"/>
      <c r="M49" s="89"/>
      <c r="N49" s="89"/>
      <c r="O49" s="89"/>
      <c r="P49" s="89"/>
      <c r="Q49" s="89"/>
      <c r="R49" s="89"/>
      <c r="S49" s="89"/>
      <c r="T49" s="103"/>
      <c r="U49" s="7"/>
      <c r="V49" s="7"/>
      <c r="W49" s="7"/>
      <c r="X49" s="7"/>
      <c r="Y49" s="7"/>
      <c r="Z49" s="7"/>
      <c r="AA49" s="7"/>
      <c r="AB49" s="7"/>
      <c r="AC49" s="7"/>
      <c r="AD49" s="7"/>
    </row>
    <row r="50" spans="1:30" x14ac:dyDescent="0.3">
      <c r="A50" s="11"/>
      <c r="B50" s="12"/>
      <c r="C50" s="13"/>
      <c r="D50" s="7"/>
      <c r="E50" s="45"/>
      <c r="F50" s="43"/>
      <c r="G50" s="43"/>
      <c r="H50" s="43"/>
      <c r="I50" s="43"/>
      <c r="J50" s="89"/>
      <c r="K50" s="89"/>
      <c r="L50" s="89"/>
      <c r="M50" s="89"/>
      <c r="N50" s="89"/>
      <c r="O50" s="89"/>
      <c r="P50" s="89"/>
      <c r="Q50" s="89"/>
      <c r="R50" s="89"/>
      <c r="S50" s="89"/>
      <c r="T50" s="103"/>
      <c r="U50" s="7"/>
      <c r="V50" s="7"/>
      <c r="W50" s="7"/>
      <c r="X50" s="7"/>
      <c r="Y50" s="7"/>
      <c r="Z50" s="7"/>
      <c r="AA50" s="7"/>
      <c r="AB50" s="7"/>
      <c r="AC50" s="7"/>
      <c r="AD50" s="7"/>
    </row>
    <row r="51" spans="1:30" x14ac:dyDescent="0.3">
      <c r="A51" s="11"/>
      <c r="B51" s="12"/>
      <c r="C51" s="13"/>
      <c r="D51" s="7"/>
      <c r="E51" s="45" t="s">
        <v>1694</v>
      </c>
      <c r="F51" s="43"/>
      <c r="G51" s="43"/>
      <c r="H51" s="43"/>
      <c r="I51" s="89" t="s">
        <v>1542</v>
      </c>
      <c r="J51" s="89"/>
      <c r="K51" s="89"/>
      <c r="L51" s="89"/>
      <c r="M51" s="89"/>
      <c r="N51" s="89"/>
      <c r="O51" s="89"/>
      <c r="P51" s="89"/>
      <c r="Q51" s="89"/>
      <c r="R51" s="89"/>
      <c r="S51" s="89"/>
      <c r="T51" s="103"/>
      <c r="U51" s="7"/>
      <c r="V51" s="7"/>
      <c r="W51" s="7"/>
      <c r="X51" s="7"/>
      <c r="Y51" s="7"/>
      <c r="Z51" s="7"/>
      <c r="AA51" s="7"/>
      <c r="AB51" s="7"/>
      <c r="AC51" s="7"/>
      <c r="AD51" s="7"/>
    </row>
    <row r="52" spans="1:30" x14ac:dyDescent="0.3">
      <c r="A52" s="11"/>
      <c r="B52" s="12"/>
      <c r="C52" s="13"/>
      <c r="D52" s="7"/>
      <c r="E52" s="83"/>
      <c r="F52" s="43"/>
      <c r="G52" s="43"/>
      <c r="H52" s="43"/>
      <c r="I52" s="89" t="s">
        <v>1543</v>
      </c>
      <c r="J52" s="43"/>
      <c r="K52" s="43"/>
      <c r="L52" s="43"/>
      <c r="M52" s="43"/>
      <c r="N52" s="43"/>
      <c r="O52" s="43"/>
      <c r="P52" s="43"/>
      <c r="Q52" s="43"/>
      <c r="R52" s="43"/>
      <c r="S52" s="43"/>
      <c r="T52" s="134"/>
      <c r="U52" s="7"/>
      <c r="V52" s="7"/>
      <c r="W52" s="7"/>
      <c r="X52" s="7"/>
      <c r="Y52" s="7"/>
      <c r="Z52" s="7"/>
      <c r="AA52" s="7"/>
      <c r="AB52" s="7"/>
      <c r="AC52" s="7"/>
      <c r="AD52" s="7"/>
    </row>
    <row r="53" spans="1:30" x14ac:dyDescent="0.3">
      <c r="A53" s="11"/>
      <c r="B53" s="12"/>
      <c r="C53" s="13"/>
      <c r="D53" s="7"/>
      <c r="E53" s="83"/>
      <c r="F53" s="43"/>
      <c r="G53" s="43"/>
      <c r="H53" s="43"/>
      <c r="I53" s="89" t="s">
        <v>1763</v>
      </c>
      <c r="J53" s="44"/>
      <c r="K53" s="44"/>
      <c r="L53" s="44"/>
      <c r="M53" s="44"/>
      <c r="N53" s="44"/>
      <c r="O53" s="44"/>
      <c r="P53" s="44"/>
      <c r="Q53" s="44"/>
      <c r="R53" s="44"/>
      <c r="S53" s="44"/>
      <c r="T53" s="136"/>
      <c r="U53" s="7"/>
      <c r="V53" s="7"/>
      <c r="W53" s="7"/>
      <c r="X53" s="7"/>
      <c r="Y53" s="7"/>
      <c r="Z53" s="7"/>
      <c r="AA53" s="7"/>
      <c r="AB53" s="7"/>
      <c r="AC53" s="7"/>
      <c r="AD53" s="7"/>
    </row>
    <row r="54" spans="1:30" x14ac:dyDescent="0.3">
      <c r="A54" s="11"/>
      <c r="B54" s="12"/>
      <c r="C54" s="13"/>
      <c r="D54" s="7"/>
      <c r="E54" s="83"/>
      <c r="F54" s="43"/>
      <c r="G54" s="43"/>
      <c r="H54" s="43"/>
      <c r="I54" s="89"/>
      <c r="J54" s="44"/>
      <c r="K54" s="44"/>
      <c r="L54" s="44"/>
      <c r="M54" s="44"/>
      <c r="N54" s="44"/>
      <c r="O54" s="44"/>
      <c r="P54" s="44"/>
      <c r="Q54" s="44"/>
      <c r="R54" s="44"/>
      <c r="S54" s="44"/>
      <c r="T54" s="136"/>
      <c r="U54" s="7"/>
      <c r="V54" s="7"/>
      <c r="W54" s="7"/>
      <c r="X54" s="7"/>
      <c r="Y54" s="7"/>
      <c r="Z54" s="7"/>
      <c r="AA54" s="7"/>
      <c r="AB54" s="7"/>
      <c r="AC54" s="7"/>
      <c r="AD54" s="7"/>
    </row>
    <row r="55" spans="1:30" x14ac:dyDescent="0.3">
      <c r="A55" s="11"/>
      <c r="B55" s="12"/>
      <c r="C55" s="13"/>
      <c r="D55" s="7"/>
      <c r="E55" s="45" t="s">
        <v>2772</v>
      </c>
      <c r="F55" s="43"/>
      <c r="G55" s="43"/>
      <c r="H55" s="43"/>
      <c r="I55" s="89" t="s">
        <v>2780</v>
      </c>
      <c r="J55" s="44"/>
      <c r="K55" s="44"/>
      <c r="L55" s="44"/>
      <c r="M55" s="44"/>
      <c r="N55" s="44"/>
      <c r="O55" s="44"/>
      <c r="P55" s="44"/>
      <c r="Q55" s="44"/>
      <c r="R55" s="44"/>
      <c r="S55" s="44"/>
      <c r="T55" s="136"/>
      <c r="U55" s="7"/>
      <c r="V55" s="7"/>
      <c r="W55" s="7"/>
      <c r="X55" s="7"/>
      <c r="Y55" s="7"/>
      <c r="Z55" s="7"/>
      <c r="AA55" s="7"/>
      <c r="AB55" s="7"/>
      <c r="AC55" s="7"/>
      <c r="AD55" s="7"/>
    </row>
    <row r="56" spans="1:30" x14ac:dyDescent="0.3">
      <c r="A56" s="11"/>
      <c r="B56" s="12"/>
      <c r="C56" s="13"/>
      <c r="D56" s="7"/>
      <c r="E56" s="45"/>
      <c r="F56" s="43"/>
      <c r="G56" s="43"/>
      <c r="H56" s="43"/>
      <c r="I56" s="89" t="s">
        <v>2773</v>
      </c>
      <c r="J56" s="44"/>
      <c r="K56" s="44"/>
      <c r="L56" s="44"/>
      <c r="M56" s="44"/>
      <c r="N56" s="44"/>
      <c r="O56" s="44"/>
      <c r="P56" s="44"/>
      <c r="Q56" s="44"/>
      <c r="R56" s="44"/>
      <c r="S56" s="44"/>
      <c r="T56" s="136"/>
      <c r="U56" s="7"/>
      <c r="V56" s="7"/>
      <c r="W56" s="7"/>
      <c r="X56" s="7"/>
      <c r="Y56" s="7"/>
      <c r="Z56" s="7"/>
      <c r="AA56" s="7"/>
      <c r="AB56" s="7"/>
      <c r="AC56" s="7"/>
      <c r="AD56" s="7"/>
    </row>
    <row r="57" spans="1:30" x14ac:dyDescent="0.3">
      <c r="A57" s="11"/>
      <c r="B57" s="12"/>
      <c r="C57" s="13"/>
      <c r="D57" s="7"/>
      <c r="E57" s="45"/>
      <c r="F57" s="43"/>
      <c r="G57" s="43"/>
      <c r="H57" s="43"/>
      <c r="I57" s="89" t="s">
        <v>2774</v>
      </c>
      <c r="J57" s="44"/>
      <c r="K57" s="44"/>
      <c r="L57" s="44"/>
      <c r="M57" s="44"/>
      <c r="N57" s="44"/>
      <c r="O57" s="44"/>
      <c r="P57" s="44"/>
      <c r="Q57" s="44"/>
      <c r="R57" s="44"/>
      <c r="S57" s="44"/>
      <c r="T57" s="136"/>
      <c r="U57" s="7"/>
      <c r="V57" s="7"/>
      <c r="W57" s="7"/>
      <c r="X57" s="7"/>
      <c r="Y57" s="7"/>
      <c r="Z57" s="7"/>
      <c r="AA57" s="7"/>
      <c r="AB57" s="7"/>
      <c r="AC57" s="7"/>
      <c r="AD57" s="7"/>
    </row>
    <row r="58" spans="1:30" x14ac:dyDescent="0.3">
      <c r="A58" s="11"/>
      <c r="B58" s="12"/>
      <c r="C58" s="13"/>
      <c r="D58" s="7"/>
      <c r="E58" s="45"/>
      <c r="F58" s="43"/>
      <c r="G58" s="43"/>
      <c r="H58" s="43"/>
      <c r="I58" s="89"/>
      <c r="J58" s="44"/>
      <c r="K58" s="44"/>
      <c r="L58" s="44"/>
      <c r="M58" s="44"/>
      <c r="N58" s="44"/>
      <c r="O58" s="44"/>
      <c r="P58" s="44"/>
      <c r="Q58" s="44"/>
      <c r="R58" s="44"/>
      <c r="S58" s="44"/>
      <c r="T58" s="136"/>
      <c r="U58" s="7"/>
      <c r="V58" s="7"/>
      <c r="W58" s="7"/>
      <c r="X58" s="7"/>
      <c r="Y58" s="7"/>
      <c r="Z58" s="7"/>
      <c r="AA58" s="7"/>
      <c r="AB58" s="7"/>
      <c r="AC58" s="7"/>
      <c r="AD58" s="7"/>
    </row>
    <row r="59" spans="1:30" x14ac:dyDescent="0.3">
      <c r="A59" s="11"/>
      <c r="B59" s="12"/>
      <c r="C59" s="13"/>
      <c r="D59" s="7"/>
      <c r="E59" s="45" t="s">
        <v>548</v>
      </c>
      <c r="F59" s="43"/>
      <c r="G59" s="43"/>
      <c r="H59" s="43"/>
      <c r="I59" s="89" t="s">
        <v>1764</v>
      </c>
      <c r="J59" s="44"/>
      <c r="K59" s="44"/>
      <c r="L59" s="44"/>
      <c r="M59" s="44"/>
      <c r="N59" s="44"/>
      <c r="O59" s="44"/>
      <c r="P59" s="44"/>
      <c r="Q59" s="44"/>
      <c r="R59" s="44"/>
      <c r="S59" s="44"/>
      <c r="T59" s="136"/>
      <c r="U59" s="7"/>
      <c r="V59" s="7"/>
      <c r="W59" s="7"/>
      <c r="X59" s="7"/>
      <c r="Y59" s="7"/>
      <c r="Z59" s="7"/>
      <c r="AA59" s="7"/>
      <c r="AB59" s="7"/>
      <c r="AC59" s="7"/>
      <c r="AD59" s="7"/>
    </row>
    <row r="60" spans="1:30" x14ac:dyDescent="0.3">
      <c r="A60" s="11"/>
      <c r="B60" s="12"/>
      <c r="C60" s="13"/>
      <c r="D60" s="7"/>
      <c r="E60" s="83"/>
      <c r="F60" s="44"/>
      <c r="G60" s="44"/>
      <c r="H60" s="44"/>
      <c r="I60" s="89" t="s">
        <v>1765</v>
      </c>
      <c r="J60" s="35"/>
      <c r="K60" s="35"/>
      <c r="L60" s="35"/>
      <c r="M60" s="35"/>
      <c r="N60" s="35"/>
      <c r="O60" s="35"/>
      <c r="P60" s="35"/>
      <c r="Q60" s="35"/>
      <c r="R60" s="35"/>
      <c r="S60" s="35"/>
      <c r="T60" s="36"/>
      <c r="U60" s="7"/>
      <c r="V60" s="7"/>
      <c r="W60" s="7"/>
      <c r="X60" s="7"/>
      <c r="Y60" s="7"/>
      <c r="Z60" s="7"/>
      <c r="AA60" s="7"/>
      <c r="AB60" s="7"/>
      <c r="AC60" s="7"/>
      <c r="AD60" s="7"/>
    </row>
    <row r="61" spans="1:30" x14ac:dyDescent="0.3">
      <c r="A61" s="11"/>
      <c r="B61" s="12"/>
      <c r="C61" s="13"/>
      <c r="D61" s="7"/>
      <c r="E61" s="83"/>
      <c r="F61" s="44"/>
      <c r="G61" s="44"/>
      <c r="H61" s="44"/>
      <c r="I61" s="89" t="s">
        <v>1544</v>
      </c>
      <c r="J61" s="35"/>
      <c r="K61" s="35"/>
      <c r="L61" s="35"/>
      <c r="M61" s="35"/>
      <c r="N61" s="35"/>
      <c r="O61" s="35"/>
      <c r="P61" s="35"/>
      <c r="Q61" s="35"/>
      <c r="R61" s="35"/>
      <c r="S61" s="35"/>
      <c r="T61" s="36"/>
      <c r="U61" s="7"/>
      <c r="V61" s="7"/>
      <c r="W61" s="7"/>
      <c r="X61" s="7"/>
      <c r="Y61" s="7"/>
      <c r="Z61" s="7"/>
      <c r="AA61" s="7"/>
      <c r="AB61" s="7"/>
      <c r="AC61" s="7"/>
      <c r="AD61" s="7"/>
    </row>
    <row r="62" spans="1:30" x14ac:dyDescent="0.3">
      <c r="A62" s="11"/>
      <c r="B62" s="12"/>
      <c r="C62" s="13"/>
      <c r="D62" s="7"/>
      <c r="E62" s="83"/>
      <c r="F62" s="44"/>
      <c r="G62" s="44"/>
      <c r="H62" s="44"/>
      <c r="I62" s="89"/>
      <c r="J62" s="35"/>
      <c r="K62" s="35"/>
      <c r="L62" s="35"/>
      <c r="M62" s="35"/>
      <c r="N62" s="35"/>
      <c r="O62" s="35"/>
      <c r="P62" s="35"/>
      <c r="Q62" s="35"/>
      <c r="R62" s="35"/>
      <c r="S62" s="35"/>
      <c r="T62" s="36"/>
      <c r="U62" s="7"/>
      <c r="V62" s="7"/>
      <c r="W62" s="7"/>
      <c r="X62" s="7"/>
      <c r="Y62" s="7"/>
      <c r="Z62" s="7"/>
      <c r="AA62" s="7"/>
      <c r="AB62" s="7"/>
      <c r="AC62" s="7"/>
      <c r="AD62" s="7"/>
    </row>
    <row r="63" spans="1:30" x14ac:dyDescent="0.3">
      <c r="A63" s="11"/>
      <c r="B63" s="12"/>
      <c r="C63" s="13"/>
      <c r="D63" s="7"/>
      <c r="E63" s="45" t="s">
        <v>1695</v>
      </c>
      <c r="F63" s="48"/>
      <c r="G63" s="48"/>
      <c r="H63" s="48"/>
      <c r="I63" s="46" t="s">
        <v>1768</v>
      </c>
      <c r="J63" s="35"/>
      <c r="K63" s="35"/>
      <c r="L63" s="35"/>
      <c r="M63" s="35"/>
      <c r="N63" s="35"/>
      <c r="O63" s="35"/>
      <c r="P63" s="35"/>
      <c r="Q63" s="35"/>
      <c r="R63" s="35"/>
      <c r="S63" s="35"/>
      <c r="T63" s="36"/>
      <c r="U63" s="7"/>
      <c r="V63" s="7"/>
      <c r="W63" s="7"/>
      <c r="X63" s="7"/>
      <c r="Y63" s="7"/>
      <c r="Z63" s="7"/>
      <c r="AA63" s="7"/>
      <c r="AB63" s="7"/>
      <c r="AC63" s="7"/>
      <c r="AD63" s="7"/>
    </row>
    <row r="64" spans="1:30" x14ac:dyDescent="0.3">
      <c r="A64" s="11"/>
      <c r="B64" s="12"/>
      <c r="C64" s="13"/>
      <c r="D64" s="7"/>
      <c r="E64" s="42"/>
      <c r="F64" s="43"/>
      <c r="G64" s="43"/>
      <c r="H64" s="43"/>
      <c r="I64" s="43" t="s">
        <v>1767</v>
      </c>
      <c r="J64" s="35"/>
      <c r="K64" s="35"/>
      <c r="L64" s="35"/>
      <c r="M64" s="35"/>
      <c r="N64" s="35"/>
      <c r="O64" s="35"/>
      <c r="P64" s="35"/>
      <c r="Q64" s="35"/>
      <c r="R64" s="35"/>
      <c r="S64" s="35"/>
      <c r="T64" s="36"/>
      <c r="U64" s="7"/>
      <c r="V64" s="7"/>
      <c r="W64" s="7"/>
      <c r="X64" s="7"/>
      <c r="Y64" s="7"/>
      <c r="Z64" s="7"/>
      <c r="AA64" s="7"/>
      <c r="AB64" s="7"/>
      <c r="AC64" s="7"/>
      <c r="AD64" s="7"/>
    </row>
    <row r="65" spans="1:30" x14ac:dyDescent="0.3">
      <c r="A65" s="11"/>
      <c r="B65" s="12"/>
      <c r="C65" s="13"/>
      <c r="D65" s="7"/>
      <c r="E65" s="42"/>
      <c r="F65" s="43"/>
      <c r="G65" s="43"/>
      <c r="H65" s="43"/>
      <c r="I65" s="43"/>
      <c r="J65" s="35"/>
      <c r="K65" s="35"/>
      <c r="L65" s="35"/>
      <c r="M65" s="35"/>
      <c r="N65" s="35"/>
      <c r="O65" s="35"/>
      <c r="P65" s="35"/>
      <c r="Q65" s="35"/>
      <c r="R65" s="35"/>
      <c r="S65" s="35"/>
      <c r="T65" s="36"/>
      <c r="U65" s="7"/>
      <c r="V65" s="7"/>
      <c r="W65" s="7"/>
      <c r="X65" s="7"/>
      <c r="Y65" s="7"/>
      <c r="Z65" s="7"/>
      <c r="AA65" s="7"/>
      <c r="AB65" s="7"/>
      <c r="AC65" s="7"/>
      <c r="AD65" s="7"/>
    </row>
    <row r="66" spans="1:30" x14ac:dyDescent="0.3">
      <c r="A66" s="11"/>
      <c r="B66" s="12"/>
      <c r="C66" s="13"/>
      <c r="D66" s="7"/>
      <c r="E66" s="42" t="s">
        <v>549</v>
      </c>
      <c r="F66" s="43"/>
      <c r="G66" s="43"/>
      <c r="H66" s="43"/>
      <c r="I66" s="43" t="s">
        <v>1545</v>
      </c>
      <c r="J66" s="35"/>
      <c r="K66" s="35"/>
      <c r="L66" s="35"/>
      <c r="M66" s="35"/>
      <c r="N66" s="35"/>
      <c r="O66" s="35"/>
      <c r="P66" s="35"/>
      <c r="Q66" s="35"/>
      <c r="R66" s="35"/>
      <c r="S66" s="35"/>
      <c r="T66" s="36"/>
      <c r="U66" s="7"/>
      <c r="V66" s="7"/>
      <c r="W66" s="7"/>
      <c r="X66" s="7"/>
      <c r="Y66" s="7"/>
      <c r="Z66" s="7"/>
      <c r="AA66" s="7"/>
      <c r="AB66" s="7"/>
      <c r="AC66" s="7"/>
      <c r="AD66" s="7"/>
    </row>
    <row r="67" spans="1:30" x14ac:dyDescent="0.3">
      <c r="A67" s="11"/>
      <c r="B67" s="12"/>
      <c r="C67" s="13"/>
      <c r="E67" s="42"/>
      <c r="F67" s="43"/>
      <c r="G67" s="43"/>
      <c r="H67" s="43"/>
      <c r="I67" s="43" t="s">
        <v>1766</v>
      </c>
      <c r="J67" s="77"/>
      <c r="K67" s="77"/>
      <c r="L67" s="77"/>
      <c r="M67" s="77"/>
      <c r="N67" s="77"/>
      <c r="O67" s="77"/>
      <c r="P67" s="77"/>
      <c r="Q67" s="77"/>
      <c r="R67" s="77"/>
      <c r="S67" s="77"/>
      <c r="T67" s="130"/>
    </row>
    <row r="68" spans="1:30" x14ac:dyDescent="0.3">
      <c r="A68" s="11"/>
      <c r="B68" s="12"/>
      <c r="C68" s="13"/>
      <c r="E68" s="42"/>
      <c r="F68" s="43"/>
      <c r="G68" s="43"/>
      <c r="H68" s="43"/>
      <c r="I68" s="43"/>
      <c r="J68" s="77"/>
      <c r="K68" s="77"/>
      <c r="L68" s="77"/>
      <c r="M68" s="77"/>
      <c r="N68" s="77"/>
      <c r="O68" s="77"/>
      <c r="P68" s="77"/>
      <c r="Q68" s="77"/>
      <c r="R68" s="77"/>
      <c r="S68" s="77"/>
      <c r="T68" s="130"/>
    </row>
    <row r="69" spans="1:30" x14ac:dyDescent="0.3">
      <c r="A69" s="11"/>
      <c r="B69" s="12"/>
      <c r="C69" s="13"/>
      <c r="E69" s="42" t="s">
        <v>2771</v>
      </c>
      <c r="F69" s="43"/>
      <c r="G69" s="43"/>
      <c r="H69" s="43"/>
      <c r="I69" s="43" t="s">
        <v>1877</v>
      </c>
      <c r="J69" s="77"/>
      <c r="K69" s="77"/>
      <c r="L69" s="77"/>
      <c r="M69" s="77"/>
      <c r="N69" s="77"/>
      <c r="O69" s="77"/>
      <c r="P69" s="77"/>
      <c r="Q69" s="77"/>
      <c r="R69" s="77"/>
      <c r="S69" s="77"/>
      <c r="T69" s="130"/>
    </row>
    <row r="70" spans="1:30" x14ac:dyDescent="0.3">
      <c r="A70" s="11"/>
      <c r="B70" s="12"/>
      <c r="C70" s="13"/>
      <c r="E70" s="42"/>
      <c r="F70" s="43"/>
      <c r="G70" s="43"/>
      <c r="H70" s="43"/>
      <c r="I70" s="43"/>
      <c r="J70" s="77"/>
      <c r="K70" s="77"/>
      <c r="L70" s="77"/>
      <c r="M70" s="77"/>
      <c r="N70" s="77"/>
      <c r="O70" s="77"/>
      <c r="P70" s="77"/>
      <c r="Q70" s="77"/>
      <c r="R70" s="77"/>
      <c r="S70" s="77"/>
      <c r="T70" s="130"/>
    </row>
    <row r="71" spans="1:30" x14ac:dyDescent="0.3">
      <c r="A71" s="11"/>
      <c r="B71" s="12"/>
      <c r="C71" s="13"/>
      <c r="E71" s="42" t="s">
        <v>2770</v>
      </c>
      <c r="F71" s="43"/>
      <c r="G71" s="43"/>
      <c r="H71" s="43"/>
      <c r="I71" s="43" t="s">
        <v>1699</v>
      </c>
      <c r="J71" s="77"/>
      <c r="K71" s="77"/>
      <c r="L71" s="77"/>
      <c r="M71" s="77"/>
      <c r="N71" s="77"/>
      <c r="O71" s="77"/>
      <c r="P71" s="77"/>
      <c r="Q71" s="77"/>
      <c r="R71" s="77"/>
      <c r="S71" s="77"/>
      <c r="T71" s="130"/>
    </row>
    <row r="72" spans="1:30" x14ac:dyDescent="0.3">
      <c r="A72" s="11"/>
      <c r="B72" s="12"/>
      <c r="C72" s="13"/>
      <c r="E72" s="153"/>
      <c r="F72" s="77"/>
      <c r="G72" s="77"/>
      <c r="H72" s="77"/>
      <c r="I72" s="43" t="s">
        <v>1698</v>
      </c>
      <c r="J72" s="77"/>
      <c r="K72" s="77"/>
      <c r="L72" s="77"/>
      <c r="M72" s="77"/>
      <c r="N72" s="77"/>
      <c r="O72" s="77"/>
      <c r="P72" s="77"/>
      <c r="Q72" s="77"/>
      <c r="R72" s="77"/>
      <c r="S72" s="77"/>
      <c r="T72" s="130"/>
    </row>
    <row r="73" spans="1:30" x14ac:dyDescent="0.3">
      <c r="A73" s="15"/>
      <c r="B73" s="16"/>
      <c r="C73" s="17"/>
      <c r="E73" s="154"/>
      <c r="F73" s="131"/>
      <c r="G73" s="131"/>
      <c r="H73" s="131"/>
      <c r="I73" s="131"/>
      <c r="J73" s="131"/>
      <c r="K73" s="131"/>
      <c r="L73" s="131"/>
      <c r="M73" s="131"/>
      <c r="N73" s="131"/>
      <c r="O73" s="131"/>
      <c r="P73" s="131"/>
      <c r="Q73" s="131"/>
      <c r="R73" s="131"/>
      <c r="S73" s="131"/>
      <c r="T73" s="132"/>
    </row>
    <row r="75" spans="1:30" x14ac:dyDescent="0.3">
      <c r="E75" s="161"/>
    </row>
  </sheetData>
  <pageMargins left="0.7" right="0.7" top="0.75" bottom="0.75" header="0.3" footer="0.3"/>
  <pageSetup paperSize="9" scale="64"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7"/>
    <pageSetUpPr fitToPage="1"/>
  </sheetPr>
  <dimension ref="A1:AD52"/>
  <sheetViews>
    <sheetView showGridLines="0" showRowColHeaders="0" workbookViewId="0">
      <selection activeCell="T5" sqref="T5"/>
    </sheetView>
  </sheetViews>
  <sheetFormatPr defaultColWidth="8.88671875" defaultRowHeight="14.4" x14ac:dyDescent="0.3"/>
  <cols>
    <col min="4" max="4" width="2.88671875" customWidth="1"/>
    <col min="5" max="5" width="9.109375" customWidth="1"/>
    <col min="20" max="20" width="12.5546875" customWidth="1"/>
  </cols>
  <sheetData>
    <row r="1" spans="1:30" x14ac:dyDescent="0.3">
      <c r="A1" s="7"/>
      <c r="B1" s="7"/>
      <c r="C1" s="7"/>
      <c r="D1" s="8"/>
      <c r="E1" s="9"/>
      <c r="F1" s="9"/>
      <c r="G1" s="9"/>
      <c r="H1" s="9"/>
      <c r="I1" s="9"/>
      <c r="J1" s="9"/>
      <c r="K1" s="9"/>
      <c r="L1" s="9"/>
      <c r="M1" s="9"/>
      <c r="N1" s="9"/>
      <c r="O1" s="9"/>
      <c r="P1" s="9"/>
      <c r="Q1" s="9"/>
      <c r="R1" s="9"/>
      <c r="S1" s="9"/>
      <c r="T1" s="10"/>
      <c r="U1" s="7"/>
      <c r="V1" s="7"/>
      <c r="W1" s="7"/>
      <c r="X1" s="7"/>
      <c r="Y1" s="7"/>
      <c r="Z1" s="7"/>
      <c r="AA1" s="7"/>
      <c r="AB1" s="7"/>
      <c r="AC1" s="7"/>
      <c r="AD1" s="7"/>
    </row>
    <row r="2" spans="1:30" x14ac:dyDescent="0.3">
      <c r="A2" s="7"/>
      <c r="B2" s="7"/>
      <c r="C2" s="7"/>
      <c r="D2" s="11"/>
      <c r="E2" s="12"/>
      <c r="F2" s="12"/>
      <c r="G2" s="12"/>
      <c r="H2" s="12"/>
      <c r="I2" s="12"/>
      <c r="J2" s="12"/>
      <c r="K2" s="12"/>
      <c r="L2" s="12"/>
      <c r="M2" s="12"/>
      <c r="N2" s="12"/>
      <c r="O2" s="12"/>
      <c r="P2" s="12"/>
      <c r="Q2" s="12"/>
      <c r="R2" s="12"/>
      <c r="S2" s="12"/>
      <c r="T2" s="13"/>
      <c r="U2" s="7"/>
      <c r="V2" s="7"/>
      <c r="W2" s="7"/>
      <c r="X2" s="7"/>
      <c r="Y2" s="7"/>
      <c r="Z2" s="7"/>
      <c r="AA2" s="7"/>
      <c r="AB2" s="7"/>
      <c r="AC2" s="7"/>
      <c r="AD2" s="7"/>
    </row>
    <row r="3" spans="1:30" ht="22.8" x14ac:dyDescent="0.4">
      <c r="A3" s="7"/>
      <c r="B3" s="7"/>
      <c r="C3" s="7"/>
      <c r="D3" s="11"/>
      <c r="E3" s="14" t="s">
        <v>1688</v>
      </c>
      <c r="F3" s="12"/>
      <c r="G3" s="12"/>
      <c r="H3" s="12"/>
      <c r="I3" s="12"/>
      <c r="J3" s="12"/>
      <c r="K3" s="12"/>
      <c r="L3" s="12"/>
      <c r="M3" s="12"/>
      <c r="N3" s="12"/>
      <c r="O3" s="12"/>
      <c r="P3" s="12"/>
      <c r="Q3" s="12"/>
      <c r="R3" s="12"/>
      <c r="S3" s="12"/>
      <c r="T3" s="13"/>
      <c r="U3" s="7"/>
      <c r="V3" s="7"/>
      <c r="W3" s="7"/>
      <c r="X3" s="7"/>
      <c r="Y3" s="7"/>
      <c r="Z3" s="7"/>
      <c r="AA3" s="7"/>
      <c r="AB3" s="7"/>
      <c r="AC3" s="7"/>
      <c r="AD3" s="7"/>
    </row>
    <row r="4" spans="1:30" x14ac:dyDescent="0.3">
      <c r="A4" s="7"/>
      <c r="B4" s="7"/>
      <c r="C4" s="7"/>
      <c r="D4" s="15"/>
      <c r="E4" s="16"/>
      <c r="F4" s="16"/>
      <c r="G4" s="16"/>
      <c r="H4" s="16"/>
      <c r="I4" s="16"/>
      <c r="J4" s="16"/>
      <c r="K4" s="16"/>
      <c r="L4" s="16"/>
      <c r="M4" s="16"/>
      <c r="N4" s="16"/>
      <c r="O4" s="16"/>
      <c r="P4" s="16"/>
      <c r="Q4" s="16"/>
      <c r="R4" s="16"/>
      <c r="S4" s="16"/>
      <c r="T4" s="183" t="s">
        <v>2783</v>
      </c>
      <c r="U4" s="7"/>
      <c r="V4" s="7"/>
      <c r="W4" s="7"/>
      <c r="X4" s="7"/>
      <c r="Y4" s="7"/>
      <c r="Z4" s="7"/>
      <c r="AA4" s="7"/>
      <c r="AB4" s="7"/>
      <c r="AC4" s="7"/>
      <c r="AD4" s="7"/>
    </row>
    <row r="5" spans="1:30" x14ac:dyDescent="0.3">
      <c r="A5" s="8"/>
      <c r="B5" s="9"/>
      <c r="C5" s="10"/>
      <c r="D5" s="7"/>
      <c r="E5" s="7"/>
      <c r="F5" s="7"/>
      <c r="G5" s="7"/>
      <c r="H5" s="7"/>
      <c r="I5" s="7"/>
      <c r="J5" s="7"/>
      <c r="K5" s="7"/>
      <c r="L5" s="7"/>
      <c r="M5" s="7"/>
      <c r="N5" s="7"/>
      <c r="O5" s="7"/>
      <c r="P5" s="7"/>
      <c r="Q5" s="7"/>
      <c r="R5" s="25"/>
      <c r="S5" s="25"/>
      <c r="T5" s="7"/>
      <c r="U5" s="7"/>
      <c r="V5" s="7"/>
      <c r="W5" s="7"/>
      <c r="X5" s="7"/>
      <c r="Y5" s="7"/>
      <c r="Z5" s="7"/>
      <c r="AA5" s="7"/>
      <c r="AB5" s="7"/>
      <c r="AC5" s="7"/>
      <c r="AD5" s="7"/>
    </row>
    <row r="6" spans="1:30" ht="15" customHeight="1" x14ac:dyDescent="0.3">
      <c r="A6" s="11"/>
      <c r="B6" s="12"/>
      <c r="C6" s="13"/>
      <c r="D6" s="7"/>
      <c r="E6" s="18"/>
      <c r="F6" s="7"/>
      <c r="G6" s="18"/>
      <c r="H6" s="7"/>
      <c r="I6" s="18"/>
      <c r="J6" s="7"/>
      <c r="K6" s="7"/>
      <c r="L6" s="7"/>
      <c r="M6" s="7"/>
      <c r="N6" s="7"/>
      <c r="O6" s="7"/>
      <c r="P6" s="7"/>
      <c r="Q6" s="7"/>
      <c r="R6" s="25"/>
      <c r="S6" s="25"/>
      <c r="T6" s="7"/>
      <c r="U6" s="7"/>
      <c r="V6" s="7"/>
      <c r="W6" s="7"/>
      <c r="X6" s="7"/>
      <c r="Y6" s="7"/>
      <c r="Z6" s="7"/>
      <c r="AA6" s="7"/>
      <c r="AB6" s="7"/>
      <c r="AC6" s="7"/>
      <c r="AD6" s="7"/>
    </row>
    <row r="7" spans="1:30" ht="15" customHeight="1" x14ac:dyDescent="0.3">
      <c r="A7" s="11"/>
      <c r="B7" s="12"/>
      <c r="C7" s="13"/>
      <c r="D7" s="7"/>
      <c r="E7" s="7"/>
      <c r="F7" s="7"/>
      <c r="G7" s="7"/>
      <c r="H7" s="7"/>
      <c r="I7" s="7"/>
      <c r="J7" s="7"/>
      <c r="K7" s="7"/>
      <c r="L7" s="7"/>
      <c r="M7" s="7"/>
      <c r="N7" s="7"/>
      <c r="O7" s="7"/>
      <c r="P7" s="7"/>
      <c r="Q7" s="7"/>
      <c r="R7" s="25"/>
      <c r="S7" s="25"/>
      <c r="T7" s="7"/>
      <c r="U7" s="7"/>
      <c r="V7" s="7"/>
      <c r="W7" s="7"/>
      <c r="X7" s="7"/>
      <c r="Y7" s="7"/>
      <c r="Z7" s="7"/>
      <c r="AA7" s="7"/>
      <c r="AB7" s="7"/>
      <c r="AC7" s="7"/>
      <c r="AD7" s="7"/>
    </row>
    <row r="8" spans="1:30" ht="15" customHeight="1" x14ac:dyDescent="0.3">
      <c r="A8" s="11"/>
      <c r="B8" s="12"/>
      <c r="C8" s="13"/>
      <c r="D8" s="7"/>
      <c r="E8" s="7"/>
      <c r="F8" s="7"/>
      <c r="G8" s="7"/>
      <c r="H8" s="7"/>
      <c r="I8" s="7"/>
      <c r="J8" s="7"/>
      <c r="K8" s="7"/>
      <c r="L8" s="7"/>
      <c r="M8" s="7"/>
      <c r="N8" s="7"/>
      <c r="O8" s="7"/>
      <c r="P8" s="7"/>
      <c r="Q8" s="7"/>
      <c r="R8" s="25"/>
      <c r="S8" s="25"/>
      <c r="T8" s="24"/>
      <c r="U8" s="24"/>
      <c r="V8" s="24"/>
      <c r="W8" s="24"/>
      <c r="X8" s="24"/>
      <c r="Y8" s="24"/>
      <c r="Z8" s="24"/>
      <c r="AA8" s="24"/>
      <c r="AB8" s="24"/>
      <c r="AC8" s="24"/>
      <c r="AD8" s="7"/>
    </row>
    <row r="9" spans="1:30" ht="15" customHeight="1" x14ac:dyDescent="0.3">
      <c r="A9" s="11"/>
      <c r="B9" s="12"/>
      <c r="C9" s="13"/>
      <c r="D9" s="7"/>
      <c r="E9" s="164" t="s">
        <v>2781</v>
      </c>
      <c r="F9" s="51"/>
      <c r="G9" s="51"/>
      <c r="H9" s="51"/>
      <c r="I9" s="52"/>
      <c r="J9" s="52"/>
      <c r="K9" s="52"/>
      <c r="L9" s="52"/>
      <c r="M9" s="52"/>
      <c r="N9" s="52"/>
      <c r="O9" s="52"/>
      <c r="P9" s="52"/>
      <c r="Q9" s="52"/>
      <c r="R9" s="52"/>
      <c r="S9" s="52"/>
      <c r="T9" s="53"/>
      <c r="U9" s="24"/>
      <c r="V9" s="24"/>
      <c r="W9" s="24"/>
      <c r="X9" s="24"/>
      <c r="Y9" s="24"/>
      <c r="Z9" s="24"/>
      <c r="AA9" s="24"/>
      <c r="AB9" s="24"/>
      <c r="AC9" s="24"/>
      <c r="AD9" s="7"/>
    </row>
    <row r="10" spans="1:30" ht="15" customHeight="1" x14ac:dyDescent="0.3">
      <c r="A10" s="11"/>
      <c r="B10" s="12"/>
      <c r="C10" s="13"/>
      <c r="D10" s="7"/>
      <c r="E10" s="54"/>
      <c r="F10" s="43"/>
      <c r="G10" s="43"/>
      <c r="H10" s="43"/>
      <c r="I10" s="55"/>
      <c r="J10" s="55"/>
      <c r="K10" s="55"/>
      <c r="L10" s="55"/>
      <c r="M10" s="55"/>
      <c r="N10" s="55"/>
      <c r="O10" s="55"/>
      <c r="P10" s="55"/>
      <c r="Q10" s="55"/>
      <c r="R10" s="55"/>
      <c r="S10" s="55"/>
      <c r="T10" s="56"/>
      <c r="U10" s="24"/>
      <c r="V10" s="24"/>
      <c r="W10" s="24"/>
      <c r="X10" s="24"/>
      <c r="Y10" s="24"/>
      <c r="Z10" s="24"/>
      <c r="AA10" s="24"/>
      <c r="AB10" s="24"/>
      <c r="AC10" s="24"/>
      <c r="AD10" s="7"/>
    </row>
    <row r="11" spans="1:30" ht="15" customHeight="1" x14ac:dyDescent="0.3">
      <c r="A11" s="11"/>
      <c r="B11" s="12"/>
      <c r="C11" s="13"/>
      <c r="D11" s="7"/>
      <c r="E11" s="138" t="s">
        <v>488</v>
      </c>
      <c r="F11" s="322" t="s">
        <v>1546</v>
      </c>
      <c r="G11" s="322"/>
      <c r="H11" s="322"/>
      <c r="I11" s="322"/>
      <c r="J11" s="322"/>
      <c r="K11" s="322"/>
      <c r="L11" s="322"/>
      <c r="M11" s="322"/>
      <c r="N11" s="322"/>
      <c r="O11" s="322"/>
      <c r="P11" s="322"/>
      <c r="Q11" s="322"/>
      <c r="R11" s="322"/>
      <c r="S11" s="322"/>
      <c r="T11" s="323"/>
      <c r="U11" s="24"/>
      <c r="V11" s="24"/>
      <c r="W11" s="24"/>
      <c r="X11" s="24"/>
      <c r="Y11" s="24"/>
      <c r="Z11" s="24"/>
      <c r="AA11" s="24"/>
      <c r="AB11" s="24"/>
      <c r="AC11" s="24"/>
      <c r="AD11" s="7"/>
    </row>
    <row r="12" spans="1:30" ht="15" customHeight="1" x14ac:dyDescent="0.3">
      <c r="A12" s="11"/>
      <c r="B12" s="12"/>
      <c r="C12" s="13"/>
      <c r="D12" s="7"/>
      <c r="E12" s="138"/>
      <c r="F12" s="324" t="s">
        <v>1547</v>
      </c>
      <c r="G12" s="324"/>
      <c r="H12" s="324"/>
      <c r="I12" s="150"/>
      <c r="S12" s="117"/>
      <c r="T12" s="137"/>
      <c r="U12" s="24"/>
      <c r="V12" s="24"/>
      <c r="W12" s="24"/>
      <c r="X12" s="24"/>
      <c r="Y12" s="24"/>
      <c r="Z12" s="24"/>
      <c r="AA12" s="24"/>
      <c r="AB12" s="24"/>
      <c r="AC12" s="24"/>
      <c r="AD12" s="7"/>
    </row>
    <row r="13" spans="1:30" ht="15" customHeight="1" x14ac:dyDescent="0.3">
      <c r="A13" s="11"/>
      <c r="B13" s="12"/>
      <c r="C13" s="13"/>
      <c r="D13" s="7"/>
      <c r="E13" s="138" t="s">
        <v>489</v>
      </c>
      <c r="F13" s="322" t="s">
        <v>1205</v>
      </c>
      <c r="G13" s="322"/>
      <c r="H13" s="322"/>
      <c r="I13" s="322"/>
      <c r="J13" s="322"/>
      <c r="K13" s="322"/>
      <c r="L13" s="322"/>
      <c r="M13" s="322"/>
      <c r="N13" s="35"/>
      <c r="O13" s="35"/>
      <c r="P13" s="35"/>
      <c r="Q13" s="35"/>
      <c r="R13" s="35"/>
      <c r="S13" s="55"/>
      <c r="T13" s="56"/>
      <c r="U13" s="24"/>
      <c r="V13" s="24"/>
      <c r="W13" s="24"/>
      <c r="X13" s="24"/>
      <c r="Y13" s="24"/>
      <c r="Z13" s="24"/>
      <c r="AA13" s="24"/>
      <c r="AB13" s="24"/>
      <c r="AC13" s="24"/>
      <c r="AD13" s="7"/>
    </row>
    <row r="14" spans="1:30" ht="15" customHeight="1" x14ac:dyDescent="0.3">
      <c r="A14" s="11"/>
      <c r="B14" s="12"/>
      <c r="C14" s="13"/>
      <c r="D14" s="7"/>
      <c r="E14" s="138" t="s">
        <v>1930</v>
      </c>
      <c r="F14" s="322" t="s">
        <v>264</v>
      </c>
      <c r="G14" s="322"/>
      <c r="H14" s="322"/>
      <c r="I14" s="322"/>
      <c r="J14" s="322"/>
      <c r="K14" s="322"/>
      <c r="L14" s="322"/>
      <c r="M14" s="322"/>
      <c r="N14" s="322"/>
      <c r="O14" s="322"/>
      <c r="P14" s="322"/>
      <c r="Q14" s="322"/>
      <c r="R14" s="35"/>
      <c r="S14" s="55"/>
      <c r="T14" s="56"/>
      <c r="U14" s="24"/>
      <c r="V14" s="24"/>
      <c r="W14" s="24"/>
      <c r="X14" s="24"/>
      <c r="Y14" s="24"/>
      <c r="Z14" s="24"/>
      <c r="AA14" s="24"/>
      <c r="AB14" s="24"/>
      <c r="AC14" s="24"/>
      <c r="AD14" s="7"/>
    </row>
    <row r="15" spans="1:30" ht="15" customHeight="1" x14ac:dyDescent="0.3">
      <c r="A15" s="11"/>
      <c r="B15" s="12"/>
      <c r="C15" s="13"/>
      <c r="D15" s="7"/>
      <c r="E15" s="138" t="s">
        <v>490</v>
      </c>
      <c r="F15" s="322" t="s">
        <v>1214</v>
      </c>
      <c r="G15" s="322"/>
      <c r="H15" s="322"/>
      <c r="I15" s="322"/>
      <c r="J15" s="322"/>
      <c r="K15" s="322"/>
      <c r="L15" s="322"/>
      <c r="M15" s="322"/>
      <c r="N15" s="322"/>
      <c r="O15" s="322"/>
      <c r="P15" s="322"/>
      <c r="Q15" s="322"/>
      <c r="R15" s="322"/>
      <c r="S15" s="117"/>
      <c r="T15" s="137"/>
      <c r="U15" s="24"/>
      <c r="V15" s="24"/>
      <c r="W15" s="24"/>
      <c r="X15" s="24"/>
      <c r="Y15" s="24"/>
      <c r="Z15" s="24"/>
      <c r="AA15" s="24"/>
      <c r="AB15" s="24"/>
      <c r="AC15" s="24"/>
      <c r="AD15" s="7"/>
    </row>
    <row r="16" spans="1:30" ht="15" customHeight="1" x14ac:dyDescent="0.3">
      <c r="A16" s="11"/>
      <c r="B16" s="12"/>
      <c r="C16" s="13"/>
      <c r="D16" s="7"/>
      <c r="E16" s="138" t="s">
        <v>491</v>
      </c>
      <c r="F16" s="322" t="s">
        <v>1213</v>
      </c>
      <c r="G16" s="322"/>
      <c r="H16" s="322"/>
      <c r="I16" s="322"/>
      <c r="J16" s="322"/>
      <c r="K16" s="322"/>
      <c r="L16" s="322"/>
      <c r="M16" s="322"/>
      <c r="N16" s="322"/>
      <c r="O16" s="322"/>
      <c r="P16" s="322"/>
      <c r="Q16" s="322"/>
      <c r="R16" s="35"/>
      <c r="S16" s="117"/>
      <c r="T16" s="137"/>
      <c r="U16" s="24"/>
      <c r="V16" s="24"/>
      <c r="W16" s="24"/>
      <c r="X16" s="24"/>
      <c r="Y16" s="24"/>
      <c r="Z16" s="24"/>
      <c r="AA16" s="24"/>
      <c r="AB16" s="24"/>
      <c r="AC16" s="24"/>
      <c r="AD16" s="7"/>
    </row>
    <row r="17" spans="1:30" ht="15" customHeight="1" x14ac:dyDescent="0.3">
      <c r="A17" s="11"/>
      <c r="B17" s="12"/>
      <c r="C17" s="13"/>
      <c r="D17" s="7"/>
      <c r="E17" s="138" t="s">
        <v>492</v>
      </c>
      <c r="F17" s="322" t="s">
        <v>1548</v>
      </c>
      <c r="G17" s="322"/>
      <c r="H17" s="322"/>
      <c r="I17" s="322"/>
      <c r="J17" s="322"/>
      <c r="K17" s="322"/>
      <c r="L17" s="322"/>
      <c r="M17" s="322"/>
      <c r="N17" s="322"/>
      <c r="O17" s="322"/>
      <c r="P17" s="322"/>
      <c r="Q17" s="322"/>
      <c r="R17" s="322"/>
      <c r="S17" s="322"/>
      <c r="T17" s="323"/>
      <c r="U17" s="24"/>
      <c r="V17" s="24"/>
      <c r="W17" s="24"/>
      <c r="X17" s="24"/>
      <c r="Y17" s="24"/>
      <c r="Z17" s="24"/>
      <c r="AA17" s="24"/>
      <c r="AB17" s="24"/>
      <c r="AC17" s="24"/>
      <c r="AD17" s="7"/>
    </row>
    <row r="18" spans="1:30" ht="15" customHeight="1" x14ac:dyDescent="0.3">
      <c r="A18" s="11"/>
      <c r="B18" s="12"/>
      <c r="C18" s="13"/>
      <c r="D18" s="7"/>
      <c r="E18" s="138"/>
      <c r="F18" s="322" t="s">
        <v>1562</v>
      </c>
      <c r="G18" s="322"/>
      <c r="H18" s="145"/>
      <c r="I18" s="145"/>
      <c r="J18" s="145"/>
      <c r="K18" s="145"/>
      <c r="L18" s="145"/>
      <c r="M18" s="145"/>
      <c r="N18" s="145"/>
      <c r="O18" s="145"/>
      <c r="P18" s="145"/>
      <c r="Q18" s="145"/>
      <c r="R18" s="145"/>
      <c r="S18" s="145"/>
      <c r="T18" s="146"/>
      <c r="U18" s="24"/>
      <c r="V18" s="24"/>
      <c r="W18" s="24"/>
      <c r="X18" s="24"/>
      <c r="Y18" s="24"/>
      <c r="Z18" s="24"/>
      <c r="AA18" s="24"/>
      <c r="AB18" s="24"/>
      <c r="AC18" s="24"/>
      <c r="AD18" s="7"/>
    </row>
    <row r="19" spans="1:30" ht="15" customHeight="1" x14ac:dyDescent="0.3">
      <c r="A19" s="11"/>
      <c r="B19" s="12"/>
      <c r="C19" s="13"/>
      <c r="D19" s="7"/>
      <c r="E19" s="138" t="s">
        <v>493</v>
      </c>
      <c r="F19" s="322" t="s">
        <v>1114</v>
      </c>
      <c r="G19" s="322"/>
      <c r="H19" s="322"/>
      <c r="I19" s="322"/>
      <c r="J19" s="322"/>
      <c r="K19" s="322"/>
      <c r="L19" s="322"/>
      <c r="M19" s="322"/>
      <c r="N19" s="322"/>
      <c r="O19" s="55"/>
      <c r="P19" s="55"/>
      <c r="Q19" s="55"/>
      <c r="R19" s="55"/>
      <c r="S19" s="55"/>
      <c r="T19" s="56"/>
      <c r="U19" s="24"/>
      <c r="V19" s="24"/>
      <c r="W19" s="24"/>
      <c r="X19" s="24"/>
      <c r="Y19" s="24"/>
      <c r="Z19" s="24"/>
      <c r="AA19" s="24"/>
      <c r="AB19" s="24"/>
      <c r="AC19" s="24"/>
      <c r="AD19" s="7"/>
    </row>
    <row r="20" spans="1:30" ht="15" customHeight="1" x14ac:dyDescent="0.3">
      <c r="A20" s="11"/>
      <c r="B20" s="12"/>
      <c r="C20" s="13"/>
      <c r="D20" s="7"/>
      <c r="E20" s="138" t="s">
        <v>494</v>
      </c>
      <c r="F20" s="145" t="s">
        <v>1517</v>
      </c>
      <c r="G20" s="145"/>
      <c r="H20" s="145"/>
      <c r="I20" s="145"/>
      <c r="J20" s="145"/>
      <c r="K20" s="145"/>
      <c r="L20" s="145"/>
      <c r="M20" s="145"/>
      <c r="N20" s="145"/>
      <c r="O20" s="145"/>
      <c r="P20" s="145"/>
      <c r="Q20" s="145"/>
      <c r="R20" s="145"/>
      <c r="S20" s="151"/>
      <c r="T20" s="56"/>
      <c r="U20" s="24"/>
      <c r="V20" s="24"/>
      <c r="W20" s="24"/>
      <c r="X20" s="24"/>
      <c r="Y20" s="24"/>
      <c r="Z20" s="24"/>
      <c r="AA20" s="24"/>
      <c r="AB20" s="24"/>
      <c r="AC20" s="24"/>
      <c r="AD20" s="7"/>
    </row>
    <row r="21" spans="1:30" ht="15" customHeight="1" x14ac:dyDescent="0.3">
      <c r="A21" s="11"/>
      <c r="B21" s="12"/>
      <c r="C21" s="13"/>
      <c r="D21" s="7"/>
      <c r="E21" s="138" t="s">
        <v>495</v>
      </c>
      <c r="F21" s="322" t="s">
        <v>1215</v>
      </c>
      <c r="G21" s="322"/>
      <c r="H21" s="322"/>
      <c r="I21" s="322"/>
      <c r="J21" s="322"/>
      <c r="K21" s="322"/>
      <c r="L21" s="322"/>
      <c r="M21" s="322"/>
      <c r="N21" s="322"/>
      <c r="O21" s="322"/>
      <c r="P21" s="322"/>
      <c r="Q21" s="55"/>
      <c r="R21" s="55"/>
      <c r="S21" s="55"/>
      <c r="T21" s="56"/>
      <c r="U21" s="24"/>
      <c r="V21" s="24"/>
      <c r="W21" s="24"/>
      <c r="X21" s="24"/>
      <c r="Y21" s="24"/>
      <c r="Z21" s="24"/>
      <c r="AA21" s="24"/>
      <c r="AB21" s="24"/>
      <c r="AC21" s="24"/>
      <c r="AD21" s="7"/>
    </row>
    <row r="22" spans="1:30" ht="15" customHeight="1" x14ac:dyDescent="0.3">
      <c r="A22" s="11"/>
      <c r="B22" s="12"/>
      <c r="C22" s="13"/>
      <c r="D22" s="7"/>
      <c r="E22" s="138" t="s">
        <v>496</v>
      </c>
      <c r="F22" s="322" t="s">
        <v>1216</v>
      </c>
      <c r="G22" s="322"/>
      <c r="H22" s="322"/>
      <c r="I22" s="322"/>
      <c r="J22" s="322"/>
      <c r="K22" s="322"/>
      <c r="L22" s="322"/>
      <c r="M22" s="322"/>
      <c r="N22" s="322"/>
      <c r="O22" s="55"/>
      <c r="P22" s="55"/>
      <c r="Q22" s="55"/>
      <c r="R22" s="55"/>
      <c r="S22" s="55"/>
      <c r="T22" s="56"/>
      <c r="U22" s="24"/>
      <c r="V22" s="24"/>
      <c r="W22" s="24"/>
      <c r="X22" s="24"/>
      <c r="Y22" s="24"/>
      <c r="Z22" s="24"/>
      <c r="AA22" s="24"/>
      <c r="AB22" s="24"/>
      <c r="AC22" s="24"/>
      <c r="AD22" s="7"/>
    </row>
    <row r="23" spans="1:30" ht="15" customHeight="1" x14ac:dyDescent="0.3">
      <c r="A23" s="11"/>
      <c r="B23" s="12"/>
      <c r="C23" s="13"/>
      <c r="D23" s="7"/>
      <c r="E23" s="138" t="s">
        <v>497</v>
      </c>
      <c r="F23" s="322" t="s">
        <v>1217</v>
      </c>
      <c r="G23" s="322"/>
      <c r="H23" s="322"/>
      <c r="I23" s="322"/>
      <c r="J23" s="322"/>
      <c r="K23" s="322"/>
      <c r="L23" s="322"/>
      <c r="M23" s="55"/>
      <c r="N23" s="55"/>
      <c r="O23" s="55"/>
      <c r="P23" s="55"/>
      <c r="Q23" s="55"/>
      <c r="R23" s="55"/>
      <c r="S23" s="55"/>
      <c r="T23" s="56"/>
      <c r="U23" s="24"/>
      <c r="V23" s="24"/>
      <c r="W23" s="24"/>
      <c r="X23" s="24"/>
      <c r="Y23" s="24"/>
      <c r="Z23" s="24"/>
      <c r="AA23" s="24"/>
      <c r="AB23" s="24"/>
      <c r="AC23" s="24"/>
      <c r="AD23" s="7"/>
    </row>
    <row r="24" spans="1:30" ht="15" customHeight="1" x14ac:dyDescent="0.3">
      <c r="A24" s="11"/>
      <c r="B24" s="12"/>
      <c r="C24" s="13"/>
      <c r="D24" s="7"/>
      <c r="E24" s="139"/>
      <c r="F24" s="140"/>
      <c r="G24" s="119"/>
      <c r="H24" s="119"/>
      <c r="I24" s="141"/>
      <c r="J24" s="119"/>
      <c r="K24" s="142"/>
      <c r="L24" s="142"/>
      <c r="M24" s="142"/>
      <c r="N24" s="142"/>
      <c r="O24" s="142"/>
      <c r="P24" s="142"/>
      <c r="Q24" s="142"/>
      <c r="R24" s="142"/>
      <c r="S24" s="142"/>
      <c r="T24" s="143"/>
      <c r="U24" s="24"/>
      <c r="V24" s="24"/>
      <c r="W24" s="24"/>
      <c r="X24" s="24"/>
      <c r="Y24" s="24"/>
      <c r="Z24" s="24"/>
      <c r="AA24" s="24"/>
      <c r="AB24" s="24"/>
      <c r="AC24" s="24"/>
      <c r="AD24" s="7"/>
    </row>
    <row r="25" spans="1:30" ht="15" customHeight="1" x14ac:dyDescent="0.3">
      <c r="A25" s="12"/>
      <c r="B25" s="12"/>
      <c r="C25" s="13"/>
      <c r="D25" s="35"/>
      <c r="E25" s="35"/>
      <c r="F25" s="35"/>
      <c r="G25" s="35"/>
      <c r="H25" s="35"/>
      <c r="I25" s="35"/>
      <c r="J25" s="35"/>
      <c r="K25" s="35"/>
      <c r="L25" s="35"/>
      <c r="M25" s="35"/>
      <c r="N25" s="35"/>
      <c r="O25" s="35"/>
      <c r="P25" s="35"/>
      <c r="Q25" s="35"/>
      <c r="R25" s="35"/>
      <c r="S25" s="35"/>
      <c r="T25" s="35"/>
      <c r="U25" s="24"/>
      <c r="V25" s="24"/>
      <c r="W25" s="24"/>
      <c r="X25" s="24"/>
      <c r="Y25" s="24"/>
      <c r="Z25" s="24"/>
      <c r="AA25" s="24"/>
      <c r="AB25" s="24"/>
      <c r="AC25" s="24"/>
      <c r="AD25" s="7"/>
    </row>
    <row r="26" spans="1:30" ht="15" customHeight="1" x14ac:dyDescent="0.3">
      <c r="A26" s="12"/>
      <c r="B26" s="12"/>
      <c r="C26" s="13"/>
      <c r="D26" s="7"/>
      <c r="E26" s="171" t="s">
        <v>1701</v>
      </c>
      <c r="F26" s="172"/>
      <c r="G26" s="172"/>
      <c r="H26" s="165"/>
      <c r="I26" s="165"/>
      <c r="J26" s="165"/>
      <c r="K26" s="165"/>
      <c r="L26" s="165"/>
      <c r="M26" s="165"/>
      <c r="N26" s="165"/>
      <c r="O26" s="166"/>
      <c r="P26" s="166"/>
      <c r="Q26" s="166"/>
      <c r="R26" s="166"/>
      <c r="S26" s="35"/>
      <c r="T26" s="35"/>
      <c r="U26" s="24"/>
      <c r="V26" s="24"/>
      <c r="W26" s="24"/>
      <c r="X26" s="24"/>
      <c r="Y26" s="24"/>
      <c r="Z26" s="24"/>
      <c r="AA26" s="24"/>
      <c r="AB26" s="24"/>
      <c r="AC26" s="24"/>
      <c r="AD26" s="7"/>
    </row>
    <row r="27" spans="1:30" ht="15" customHeight="1" x14ac:dyDescent="0.3">
      <c r="A27" s="12"/>
      <c r="B27" s="12"/>
      <c r="C27" s="13"/>
      <c r="D27" s="7"/>
      <c r="E27" s="167" t="s">
        <v>1710</v>
      </c>
      <c r="F27" s="165"/>
      <c r="G27" s="165"/>
      <c r="H27" s="165"/>
      <c r="I27" s="165"/>
      <c r="J27" s="165"/>
      <c r="K27" s="165"/>
      <c r="L27" s="165"/>
      <c r="M27" s="165"/>
      <c r="N27" s="165"/>
      <c r="O27" s="166"/>
      <c r="P27" s="166"/>
      <c r="Q27" s="166"/>
      <c r="R27" s="166"/>
      <c r="S27" s="35"/>
      <c r="T27" s="35"/>
      <c r="U27" s="24"/>
      <c r="V27" s="24"/>
      <c r="W27" s="24"/>
      <c r="X27" s="24"/>
      <c r="Y27" s="24"/>
      <c r="Z27" s="24"/>
      <c r="AA27" s="24"/>
      <c r="AB27" s="24"/>
      <c r="AC27" s="24"/>
      <c r="AD27" s="7"/>
    </row>
    <row r="28" spans="1:30" ht="15" customHeight="1" x14ac:dyDescent="0.3">
      <c r="A28" s="12"/>
      <c r="B28" s="12"/>
      <c r="C28" s="13"/>
      <c r="D28" s="7"/>
      <c r="E28" s="168" t="s">
        <v>1711</v>
      </c>
      <c r="F28" s="165"/>
      <c r="G28" s="165"/>
      <c r="H28" s="165"/>
      <c r="I28" s="165"/>
      <c r="J28" s="165"/>
      <c r="K28" s="165"/>
      <c r="L28" s="165"/>
      <c r="M28" s="165"/>
      <c r="N28" s="165"/>
      <c r="O28" s="166"/>
      <c r="P28" s="166"/>
      <c r="Q28" s="166"/>
      <c r="R28" s="166"/>
      <c r="S28" s="35"/>
      <c r="T28" s="35"/>
      <c r="U28" s="24"/>
      <c r="V28" s="24"/>
      <c r="W28" s="24"/>
      <c r="X28" s="24"/>
      <c r="Y28" s="24"/>
      <c r="Z28" s="24"/>
      <c r="AA28" s="24"/>
      <c r="AB28" s="24"/>
      <c r="AC28" s="24"/>
      <c r="AD28" s="7"/>
    </row>
    <row r="29" spans="1:30" ht="15" customHeight="1" x14ac:dyDescent="0.3">
      <c r="A29" s="12"/>
      <c r="B29" s="12"/>
      <c r="C29" s="13"/>
      <c r="D29" s="7"/>
      <c r="E29" s="168" t="s">
        <v>1712</v>
      </c>
      <c r="F29" s="165"/>
      <c r="G29" s="165"/>
      <c r="H29" s="165"/>
      <c r="I29" s="165"/>
      <c r="J29" s="165"/>
      <c r="K29" s="165"/>
      <c r="L29" s="165"/>
      <c r="M29" s="165"/>
      <c r="N29" s="165"/>
      <c r="O29" s="166"/>
      <c r="P29" s="166"/>
      <c r="Q29" s="166"/>
      <c r="R29" s="166"/>
      <c r="S29" s="35"/>
      <c r="T29" s="35"/>
      <c r="U29" s="24"/>
      <c r="V29" s="24"/>
      <c r="W29" s="24"/>
      <c r="X29" s="24"/>
      <c r="Y29" s="24"/>
      <c r="Z29" s="24"/>
      <c r="AA29" s="24"/>
      <c r="AB29" s="24"/>
      <c r="AC29" s="24"/>
      <c r="AD29" s="7"/>
    </row>
    <row r="30" spans="1:30" ht="15" customHeight="1" x14ac:dyDescent="0.3">
      <c r="A30" s="12"/>
      <c r="B30" s="12"/>
      <c r="C30" s="13"/>
      <c r="D30" s="7"/>
      <c r="E30" s="168" t="s">
        <v>1713</v>
      </c>
      <c r="F30" s="165"/>
      <c r="G30" s="165"/>
      <c r="H30" s="165"/>
      <c r="I30" s="165"/>
      <c r="J30" s="165"/>
      <c r="K30" s="165"/>
      <c r="L30" s="165"/>
      <c r="M30" s="165"/>
      <c r="N30" s="165"/>
      <c r="O30" s="166"/>
      <c r="P30" s="166"/>
      <c r="Q30" s="166"/>
      <c r="R30" s="166"/>
      <c r="S30" s="35"/>
      <c r="T30" s="35"/>
      <c r="U30" s="24"/>
      <c r="V30" s="24"/>
      <c r="W30" s="24"/>
      <c r="X30" s="24"/>
      <c r="Y30" s="24"/>
      <c r="Z30" s="24"/>
      <c r="AA30" s="24"/>
      <c r="AB30" s="24"/>
      <c r="AC30" s="24"/>
      <c r="AD30" s="7"/>
    </row>
    <row r="31" spans="1:30" ht="15" customHeight="1" x14ac:dyDescent="0.3">
      <c r="A31" s="12"/>
      <c r="B31" s="12"/>
      <c r="C31" s="13"/>
      <c r="D31" s="7"/>
      <c r="E31" s="168"/>
      <c r="F31" s="165"/>
      <c r="G31" s="165"/>
      <c r="H31" s="165"/>
      <c r="I31" s="165"/>
      <c r="J31" s="165"/>
      <c r="K31" s="165"/>
      <c r="L31" s="165"/>
      <c r="M31" s="165"/>
      <c r="N31" s="165"/>
      <c r="O31" s="166"/>
      <c r="P31" s="166"/>
      <c r="Q31" s="166"/>
      <c r="R31" s="166"/>
      <c r="S31" s="35"/>
      <c r="T31" s="35"/>
      <c r="U31" s="24"/>
      <c r="V31" s="24"/>
      <c r="W31" s="24"/>
      <c r="X31" s="24"/>
      <c r="Y31" s="24"/>
      <c r="Z31" s="24"/>
      <c r="AA31" s="24"/>
      <c r="AB31" s="24"/>
      <c r="AC31" s="24"/>
      <c r="AD31" s="7"/>
    </row>
    <row r="32" spans="1:30" ht="15" customHeight="1" x14ac:dyDescent="0.3">
      <c r="A32" s="12"/>
      <c r="B32" s="12"/>
      <c r="C32" s="13"/>
      <c r="D32" s="7"/>
      <c r="E32" s="168" t="s">
        <v>1702</v>
      </c>
      <c r="F32" s="165"/>
      <c r="G32" s="165"/>
      <c r="H32" s="165"/>
      <c r="I32" s="165"/>
      <c r="J32" s="165"/>
      <c r="K32" s="165"/>
      <c r="L32" s="165"/>
      <c r="M32" s="165"/>
      <c r="N32" s="165"/>
      <c r="O32" s="166"/>
      <c r="P32" s="166"/>
      <c r="Q32" s="166"/>
      <c r="R32" s="166"/>
      <c r="S32" s="35"/>
      <c r="T32" s="35"/>
      <c r="U32" s="24"/>
      <c r="V32" s="24"/>
      <c r="W32" s="24"/>
      <c r="X32" s="24"/>
      <c r="Y32" s="24"/>
      <c r="Z32" s="24"/>
      <c r="AA32" s="24"/>
      <c r="AB32" s="24"/>
      <c r="AC32" s="24"/>
      <c r="AD32" s="7"/>
    </row>
    <row r="33" spans="1:30" ht="15" customHeight="1" x14ac:dyDescent="0.3">
      <c r="A33" s="12"/>
      <c r="B33" s="12"/>
      <c r="C33" s="13"/>
      <c r="D33" s="7"/>
      <c r="E33" s="168" t="s">
        <v>1703</v>
      </c>
      <c r="F33" s="165"/>
      <c r="G33" s="165"/>
      <c r="H33" s="165"/>
      <c r="I33" s="165"/>
      <c r="J33" s="165"/>
      <c r="K33" s="165"/>
      <c r="L33" s="165"/>
      <c r="M33" s="165"/>
      <c r="N33" s="165"/>
      <c r="O33" s="166"/>
      <c r="P33" s="166"/>
      <c r="Q33" s="166"/>
      <c r="R33" s="166"/>
      <c r="S33" s="35"/>
      <c r="T33" s="35"/>
      <c r="U33" s="24"/>
      <c r="V33" s="24"/>
      <c r="W33" s="24"/>
      <c r="X33" s="24"/>
      <c r="Y33" s="24"/>
      <c r="Z33" s="24"/>
      <c r="AA33" s="24"/>
      <c r="AB33" s="24"/>
      <c r="AC33" s="24"/>
      <c r="AD33" s="7"/>
    </row>
    <row r="34" spans="1:30" ht="15" customHeight="1" x14ac:dyDescent="0.3">
      <c r="A34" s="12"/>
      <c r="B34" s="12"/>
      <c r="C34" s="13"/>
      <c r="D34" s="7"/>
      <c r="E34" s="168" t="s">
        <v>1704</v>
      </c>
      <c r="F34" s="165"/>
      <c r="G34" s="165"/>
      <c r="H34" s="165"/>
      <c r="I34" s="165"/>
      <c r="J34" s="165"/>
      <c r="K34" s="165"/>
      <c r="L34" s="165"/>
      <c r="M34" s="165"/>
      <c r="N34" s="165"/>
      <c r="O34" s="166"/>
      <c r="P34" s="166"/>
      <c r="Q34" s="166"/>
      <c r="R34" s="166"/>
      <c r="S34" s="35"/>
      <c r="T34" s="35"/>
      <c r="U34" s="24"/>
      <c r="V34" s="24"/>
      <c r="W34" s="24"/>
      <c r="X34" s="24"/>
      <c r="Y34" s="24"/>
      <c r="Z34" s="24"/>
      <c r="AA34" s="24"/>
      <c r="AB34" s="24"/>
      <c r="AC34" s="24"/>
      <c r="AD34" s="7"/>
    </row>
    <row r="35" spans="1:30" x14ac:dyDescent="0.3">
      <c r="A35" s="12"/>
      <c r="B35" s="12"/>
      <c r="C35" s="13"/>
      <c r="D35" s="7"/>
      <c r="E35" s="168" t="s">
        <v>1705</v>
      </c>
      <c r="F35" s="165"/>
      <c r="G35" s="165"/>
      <c r="H35" s="165"/>
      <c r="I35" s="165"/>
      <c r="J35" s="165"/>
      <c r="K35" s="165"/>
      <c r="L35" s="165"/>
      <c r="M35" s="165"/>
      <c r="N35" s="165"/>
      <c r="O35" s="169"/>
      <c r="P35" s="169"/>
      <c r="Q35" s="169"/>
      <c r="R35" s="169"/>
      <c r="S35" s="7"/>
      <c r="T35" s="7"/>
      <c r="U35" s="24"/>
      <c r="V35" s="24"/>
      <c r="W35" s="24"/>
      <c r="X35" s="24"/>
      <c r="Y35" s="24"/>
      <c r="Z35" s="24"/>
      <c r="AA35" s="24"/>
      <c r="AB35" s="24"/>
      <c r="AC35" s="24"/>
      <c r="AD35" s="7"/>
    </row>
    <row r="36" spans="1:30" x14ac:dyDescent="0.3">
      <c r="A36" s="12"/>
      <c r="B36" s="12"/>
      <c r="C36" s="13"/>
      <c r="D36" s="7"/>
      <c r="E36" s="168" t="s">
        <v>1706</v>
      </c>
      <c r="F36" s="165"/>
      <c r="G36" s="165"/>
      <c r="H36" s="165"/>
      <c r="I36" s="165"/>
      <c r="J36" s="165"/>
      <c r="K36" s="165"/>
      <c r="L36" s="165"/>
      <c r="M36" s="165"/>
      <c r="N36" s="165"/>
      <c r="O36" s="169"/>
      <c r="P36" s="169"/>
      <c r="Q36" s="169"/>
      <c r="R36" s="169"/>
      <c r="S36" s="7"/>
      <c r="T36" s="7"/>
      <c r="U36" s="24"/>
      <c r="V36" s="24"/>
      <c r="W36" s="24"/>
      <c r="X36" s="24"/>
      <c r="Y36" s="24"/>
      <c r="Z36" s="24"/>
      <c r="AA36" s="24"/>
      <c r="AB36" s="24"/>
      <c r="AC36" s="24"/>
      <c r="AD36" s="7"/>
    </row>
    <row r="37" spans="1:30" x14ac:dyDescent="0.3">
      <c r="A37" s="12"/>
      <c r="B37" s="12"/>
      <c r="C37" s="13"/>
      <c r="D37" s="7"/>
      <c r="E37" s="170" t="s">
        <v>1707</v>
      </c>
      <c r="F37" s="165"/>
      <c r="G37" s="165"/>
      <c r="H37" s="165"/>
      <c r="I37" s="165"/>
      <c r="J37" s="165"/>
      <c r="K37" s="165"/>
      <c r="L37" s="165"/>
      <c r="M37" s="165"/>
      <c r="N37" s="165"/>
      <c r="O37" s="169"/>
      <c r="P37" s="169"/>
      <c r="Q37" s="169"/>
      <c r="R37" s="169"/>
      <c r="S37" s="7"/>
      <c r="T37" s="7"/>
      <c r="U37" s="7"/>
      <c r="V37" s="7"/>
      <c r="W37" s="7"/>
      <c r="X37" s="7"/>
      <c r="Y37" s="7"/>
      <c r="Z37" s="7"/>
      <c r="AA37" s="7"/>
      <c r="AB37" s="7"/>
      <c r="AC37" s="7"/>
      <c r="AD37" s="7"/>
    </row>
    <row r="38" spans="1:30" x14ac:dyDescent="0.3">
      <c r="A38" s="12"/>
      <c r="B38" s="12"/>
      <c r="C38" s="13"/>
      <c r="D38" s="7"/>
      <c r="E38" s="170" t="s">
        <v>1708</v>
      </c>
      <c r="F38" s="165"/>
      <c r="G38" s="165"/>
      <c r="H38" s="165"/>
      <c r="I38" s="165"/>
      <c r="J38" s="165"/>
      <c r="K38" s="165"/>
      <c r="L38" s="165"/>
      <c r="M38" s="165"/>
      <c r="N38" s="165"/>
      <c r="O38" s="169"/>
      <c r="P38" s="169"/>
      <c r="Q38" s="169"/>
      <c r="R38" s="169"/>
      <c r="S38" s="7"/>
      <c r="T38" s="7"/>
      <c r="U38" s="7"/>
      <c r="V38" s="7"/>
      <c r="W38" s="7"/>
      <c r="X38" s="7"/>
      <c r="Y38" s="7"/>
      <c r="Z38" s="7"/>
      <c r="AA38" s="7"/>
      <c r="AB38" s="7"/>
      <c r="AC38" s="7"/>
      <c r="AD38" s="7"/>
    </row>
    <row r="39" spans="1:30" x14ac:dyDescent="0.3">
      <c r="A39" s="12"/>
      <c r="B39" s="12"/>
      <c r="C39" s="13"/>
      <c r="D39" s="7"/>
      <c r="E39" s="170" t="s">
        <v>1709</v>
      </c>
      <c r="F39" s="165"/>
      <c r="G39" s="165"/>
      <c r="H39" s="165"/>
      <c r="I39" s="165"/>
      <c r="J39" s="165"/>
      <c r="K39" s="165"/>
      <c r="L39" s="165"/>
      <c r="M39" s="165"/>
      <c r="N39" s="165"/>
      <c r="O39" s="169"/>
      <c r="P39" s="169"/>
      <c r="Q39" s="169"/>
      <c r="R39" s="169"/>
      <c r="S39" s="7"/>
      <c r="T39" s="7"/>
      <c r="U39" s="7"/>
      <c r="V39" s="7"/>
      <c r="W39" s="7"/>
      <c r="X39" s="7"/>
      <c r="Y39" s="7"/>
      <c r="Z39" s="7"/>
      <c r="AA39" s="7"/>
      <c r="AB39" s="7"/>
      <c r="AC39" s="7"/>
      <c r="AD39" s="7"/>
    </row>
    <row r="40" spans="1:30" x14ac:dyDescent="0.3">
      <c r="A40" s="12"/>
      <c r="B40" s="12"/>
      <c r="C40" s="13"/>
      <c r="D40" s="7"/>
      <c r="E40" s="168"/>
      <c r="F40" s="165"/>
      <c r="G40" s="165"/>
      <c r="H40" s="165"/>
      <c r="I40" s="165"/>
      <c r="J40" s="165"/>
      <c r="K40" s="165"/>
      <c r="L40" s="165"/>
      <c r="M40" s="165"/>
      <c r="N40" s="165"/>
      <c r="O40" s="169"/>
      <c r="P40" s="169"/>
      <c r="Q40" s="169"/>
      <c r="R40" s="169"/>
      <c r="S40" s="7"/>
      <c r="T40" s="7"/>
      <c r="U40" s="7"/>
      <c r="V40" s="7"/>
      <c r="W40" s="7"/>
      <c r="X40" s="7"/>
      <c r="Y40" s="7"/>
      <c r="Z40" s="7"/>
      <c r="AA40" s="7"/>
      <c r="AB40" s="7"/>
      <c r="AC40" s="7"/>
      <c r="AD40" s="7"/>
    </row>
    <row r="41" spans="1:30" x14ac:dyDescent="0.3">
      <c r="A41" s="12"/>
      <c r="B41" s="12"/>
      <c r="C41" s="13"/>
      <c r="E41" s="168" t="s">
        <v>1890</v>
      </c>
      <c r="F41" s="165"/>
      <c r="G41" s="165"/>
      <c r="H41" s="165"/>
      <c r="I41" s="165"/>
      <c r="J41" s="165"/>
      <c r="K41" s="165"/>
      <c r="L41" s="165"/>
      <c r="M41" s="165"/>
      <c r="N41" s="165"/>
      <c r="O41" s="165"/>
      <c r="P41" s="165"/>
      <c r="Q41" s="165"/>
      <c r="R41" s="165"/>
    </row>
    <row r="42" spans="1:30" x14ac:dyDescent="0.3">
      <c r="A42" s="12"/>
      <c r="B42" s="12"/>
      <c r="C42" s="13"/>
      <c r="E42" s="168" t="s">
        <v>1715</v>
      </c>
      <c r="F42" s="165"/>
      <c r="G42" s="165"/>
      <c r="H42" s="165"/>
      <c r="I42" s="165"/>
      <c r="J42" s="165"/>
      <c r="K42" s="165"/>
      <c r="L42" s="165"/>
      <c r="M42" s="165"/>
      <c r="N42" s="165"/>
      <c r="O42" s="165"/>
      <c r="P42" s="165"/>
      <c r="Q42" s="165"/>
      <c r="R42" s="165"/>
    </row>
    <row r="43" spans="1:30" x14ac:dyDescent="0.3">
      <c r="A43" s="12"/>
      <c r="B43" s="12"/>
      <c r="C43" s="13"/>
      <c r="E43" s="168" t="s">
        <v>1716</v>
      </c>
      <c r="F43" s="165"/>
      <c r="G43" s="165"/>
      <c r="H43" s="165"/>
      <c r="I43" s="165"/>
      <c r="J43" s="165"/>
      <c r="K43" s="165"/>
      <c r="L43" s="165"/>
      <c r="M43" s="165"/>
      <c r="N43" s="165"/>
      <c r="O43" s="165"/>
      <c r="P43" s="165"/>
      <c r="Q43" s="165"/>
      <c r="R43" s="165"/>
    </row>
    <row r="44" spans="1:30" x14ac:dyDescent="0.3">
      <c r="A44" s="12"/>
      <c r="B44" s="12"/>
      <c r="C44" s="13"/>
      <c r="E44" s="168" t="s">
        <v>1717</v>
      </c>
      <c r="F44" s="165"/>
      <c r="G44" s="165"/>
      <c r="H44" s="165"/>
      <c r="I44" s="165"/>
      <c r="J44" s="165"/>
      <c r="K44" s="165"/>
      <c r="L44" s="165"/>
      <c r="M44" s="165"/>
      <c r="N44" s="165"/>
      <c r="O44" s="165"/>
      <c r="P44" s="165"/>
      <c r="Q44" s="165"/>
      <c r="R44" s="165"/>
    </row>
    <row r="45" spans="1:30" x14ac:dyDescent="0.3">
      <c r="A45" s="12"/>
      <c r="B45" s="12"/>
      <c r="C45" s="13"/>
      <c r="F45" s="165"/>
      <c r="G45" s="165"/>
      <c r="H45" s="165"/>
      <c r="I45" s="165"/>
      <c r="J45" s="165"/>
      <c r="K45" s="165"/>
      <c r="L45" s="165"/>
      <c r="M45" s="165"/>
      <c r="N45" s="165"/>
      <c r="O45" s="165"/>
      <c r="P45" s="165"/>
      <c r="Q45" s="165"/>
      <c r="R45" s="165"/>
    </row>
    <row r="46" spans="1:30" x14ac:dyDescent="0.3">
      <c r="A46" s="12"/>
      <c r="B46" s="12"/>
      <c r="C46" s="13"/>
      <c r="E46" s="168" t="s">
        <v>2782</v>
      </c>
      <c r="F46" s="165"/>
      <c r="G46" s="165"/>
      <c r="H46" s="165"/>
      <c r="I46" s="168"/>
      <c r="J46" s="165"/>
      <c r="K46" s="165"/>
      <c r="L46" s="165"/>
      <c r="M46" s="165"/>
      <c r="N46" s="168"/>
      <c r="O46" s="165"/>
      <c r="P46" s="165"/>
      <c r="Q46" s="165"/>
      <c r="R46" s="165"/>
    </row>
    <row r="47" spans="1:30" x14ac:dyDescent="0.3">
      <c r="A47" s="12"/>
      <c r="B47" s="12"/>
      <c r="C47" s="13"/>
      <c r="E47" s="168" t="s">
        <v>1889</v>
      </c>
      <c r="F47" s="165"/>
      <c r="G47" s="165"/>
      <c r="H47" s="168"/>
      <c r="I47" s="165"/>
      <c r="J47" s="71" t="s">
        <v>1714</v>
      </c>
      <c r="K47" s="165"/>
      <c r="L47" s="165"/>
      <c r="M47" s="165"/>
      <c r="N47" s="165"/>
      <c r="O47" s="165"/>
      <c r="P47" s="165"/>
      <c r="Q47" s="165"/>
      <c r="R47" s="165"/>
    </row>
    <row r="48" spans="1:30" x14ac:dyDescent="0.3">
      <c r="A48" s="12"/>
      <c r="B48" s="12"/>
      <c r="C48" s="13"/>
      <c r="E48" s="168"/>
      <c r="F48" s="165"/>
      <c r="G48" s="165"/>
      <c r="H48" s="165"/>
      <c r="I48" s="165"/>
      <c r="J48" s="165"/>
      <c r="K48" s="165"/>
      <c r="L48" s="165"/>
      <c r="M48" s="165"/>
      <c r="N48" s="165"/>
      <c r="O48" s="165"/>
      <c r="P48" s="165"/>
      <c r="Q48" s="165"/>
      <c r="R48" s="165"/>
    </row>
    <row r="49" spans="1:18" x14ac:dyDescent="0.3">
      <c r="A49" s="12"/>
      <c r="B49" s="12"/>
      <c r="C49" s="13"/>
      <c r="E49" s="165"/>
      <c r="F49" s="165"/>
      <c r="G49" s="165"/>
      <c r="H49" s="165"/>
      <c r="I49" s="165"/>
      <c r="J49" s="165"/>
      <c r="K49" s="165"/>
      <c r="L49" s="165"/>
      <c r="M49" s="165"/>
      <c r="N49" s="165"/>
      <c r="O49" s="165"/>
      <c r="P49" s="165"/>
      <c r="Q49" s="165"/>
      <c r="R49" s="165"/>
    </row>
    <row r="50" spans="1:18" x14ac:dyDescent="0.3">
      <c r="A50" s="12"/>
      <c r="B50" s="12"/>
      <c r="C50" s="13"/>
      <c r="E50" s="165"/>
      <c r="F50" s="165"/>
      <c r="G50" s="165"/>
      <c r="H50" s="165"/>
      <c r="I50" s="165"/>
      <c r="J50" s="165"/>
      <c r="K50" s="165"/>
      <c r="L50" s="165"/>
      <c r="M50" s="165"/>
      <c r="N50" s="165"/>
      <c r="O50" s="165"/>
      <c r="P50" s="165"/>
      <c r="Q50" s="165"/>
      <c r="R50" s="165"/>
    </row>
    <row r="51" spans="1:18" x14ac:dyDescent="0.3">
      <c r="A51" s="11"/>
      <c r="B51" s="12"/>
      <c r="C51" s="13"/>
    </row>
    <row r="52" spans="1:18" x14ac:dyDescent="0.3">
      <c r="A52" s="15"/>
      <c r="B52" s="16"/>
      <c r="C52" s="17"/>
    </row>
  </sheetData>
  <mergeCells count="12">
    <mergeCell ref="F11:T11"/>
    <mergeCell ref="F12:H12"/>
    <mergeCell ref="F15:R15"/>
    <mergeCell ref="F16:Q16"/>
    <mergeCell ref="F18:G18"/>
    <mergeCell ref="F21:P21"/>
    <mergeCell ref="F22:N22"/>
    <mergeCell ref="F23:L23"/>
    <mergeCell ref="F19:N19"/>
    <mergeCell ref="F13:M13"/>
    <mergeCell ref="F14:Q14"/>
    <mergeCell ref="F17:T17"/>
  </mergeCells>
  <hyperlinks>
    <hyperlink ref="F19" r:id="rId1" display="PHE. 2016. Local Health and Care Planning: Menu of preventative interventions" xr:uid="{00000000-0004-0000-0600-000000000000}"/>
    <hyperlink ref="F17" r:id="rId2" display="Public Health England. A systematic review and metaanalysis assessing the effectiveness of pragmatic lifestyle interventions for the prevention of type 2 diabetes mellitus in routine practice. 2015." xr:uid="{00000000-0004-0000-0600-000001000000}"/>
    <hyperlink ref="F19:L19" r:id="rId3" display="Public Health England. Local Health and Care Planning: Menu of preventative interventions. 2016." xr:uid="{00000000-0004-0000-0600-000002000000}"/>
    <hyperlink ref="F22" r:id="rId4" xr:uid="{00000000-0004-0000-0600-000003000000}"/>
    <hyperlink ref="F23" r:id="rId5" xr:uid="{00000000-0004-0000-0600-000004000000}"/>
    <hyperlink ref="F20" r:id="rId6" xr:uid="{00000000-0004-0000-0600-000005000000}"/>
    <hyperlink ref="F18" r:id="rId7" xr:uid="{00000000-0004-0000-0600-000006000000}"/>
    <hyperlink ref="F13" r:id="rId8" xr:uid="{00000000-0004-0000-0600-000007000000}"/>
    <hyperlink ref="F14" r:id="rId9" xr:uid="{00000000-0004-0000-0600-000008000000}"/>
    <hyperlink ref="F15" r:id="rId10" xr:uid="{00000000-0004-0000-0600-000009000000}"/>
    <hyperlink ref="F16" r:id="rId11" xr:uid="{00000000-0004-0000-0600-00000A000000}"/>
    <hyperlink ref="F21" r:id="rId12" display="Matrix Insight. Prioritising investments in preventative health. Health England. 2009." xr:uid="{00000000-0004-0000-0600-00000B000000}"/>
    <hyperlink ref="F11:T11" r:id="rId13" display="Harris J, Mason J, Spalding J, Knuckley S, Jones L, Perkins C, et al. A review of the cost-effectiveness of individual level behaviour change interventions. Liverpool: North West" xr:uid="{00000000-0004-0000-0600-00000C000000}"/>
    <hyperlink ref="F12" r:id="rId14" xr:uid="{00000000-0004-0000-0600-00000D000000}"/>
    <hyperlink ref="F21:P21" r:id="rId15" display="Public Health Wales. Making a Difference: Investing in Sustainable Health and Well-being for the People of Wales. 2016." xr:uid="{00000000-0004-0000-0600-00000E000000}"/>
    <hyperlink ref="E37" r:id="rId16" display="http://www.gov.uk/phe" xr:uid="{00000000-0004-0000-0600-00000F000000}"/>
    <hyperlink ref="E38" r:id="rId17" display="https://twitter.com/PHE_uk" xr:uid="{00000000-0004-0000-0600-000010000000}"/>
    <hyperlink ref="E39" r:id="rId18" display="http://www.facebook.com/PublicHealthEngland" xr:uid="{00000000-0004-0000-0600-000011000000}"/>
  </hyperlinks>
  <pageMargins left="0.7" right="0.7" top="0.75" bottom="0.75" header="0.3" footer="0.3"/>
  <pageSetup paperSize="9" scale="89" orientation="landscape" r:id="rId19"/>
  <drawing r:id="rId2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FF00"/>
  </sheetPr>
  <dimension ref="A1:H110"/>
  <sheetViews>
    <sheetView workbookViewId="0">
      <pane ySplit="1" topLeftCell="A2" activePane="bottomLeft" state="frozen"/>
      <selection pane="bottomLeft" activeCell="E17" sqref="E17"/>
    </sheetView>
  </sheetViews>
  <sheetFormatPr defaultColWidth="8.88671875" defaultRowHeight="14.4" x14ac:dyDescent="0.3"/>
  <cols>
    <col min="1" max="1" width="10.6640625" bestFit="1" customWidth="1"/>
    <col min="2" max="2" width="7.33203125" customWidth="1"/>
    <col min="3" max="3" width="62" customWidth="1"/>
    <col min="4" max="4" width="8.109375" customWidth="1"/>
    <col min="6" max="6" width="65.109375" customWidth="1"/>
    <col min="8" max="8" width="48.44140625" customWidth="1"/>
  </cols>
  <sheetData>
    <row r="1" spans="1:8" x14ac:dyDescent="0.3">
      <c r="A1" s="1" t="s">
        <v>447</v>
      </c>
      <c r="B1" s="1" t="s">
        <v>448</v>
      </c>
      <c r="C1" s="1" t="s">
        <v>226</v>
      </c>
      <c r="D1" s="1" t="s">
        <v>461</v>
      </c>
      <c r="F1" s="1" t="s">
        <v>454</v>
      </c>
      <c r="H1" s="1"/>
    </row>
    <row r="2" spans="1:8" x14ac:dyDescent="0.3">
      <c r="A2" s="3">
        <v>42836</v>
      </c>
      <c r="B2" t="s">
        <v>449</v>
      </c>
      <c r="C2" t="s">
        <v>450</v>
      </c>
      <c r="D2" t="s">
        <v>462</v>
      </c>
    </row>
    <row r="3" spans="1:8" x14ac:dyDescent="0.3">
      <c r="C3" t="s">
        <v>452</v>
      </c>
      <c r="D3" t="s">
        <v>462</v>
      </c>
      <c r="F3" t="s">
        <v>807</v>
      </c>
    </row>
    <row r="4" spans="1:8" x14ac:dyDescent="0.3">
      <c r="C4" t="s">
        <v>453</v>
      </c>
      <c r="D4" t="s">
        <v>462</v>
      </c>
      <c r="F4" t="s">
        <v>808</v>
      </c>
    </row>
    <row r="5" spans="1:8" x14ac:dyDescent="0.3">
      <c r="C5" t="s">
        <v>455</v>
      </c>
      <c r="D5" t="s">
        <v>462</v>
      </c>
    </row>
    <row r="6" spans="1:8" x14ac:dyDescent="0.3">
      <c r="C6" t="s">
        <v>456</v>
      </c>
      <c r="D6" t="s">
        <v>462</v>
      </c>
    </row>
    <row r="7" spans="1:8" x14ac:dyDescent="0.3">
      <c r="B7" t="s">
        <v>457</v>
      </c>
      <c r="C7" t="s">
        <v>458</v>
      </c>
      <c r="D7" t="s">
        <v>462</v>
      </c>
      <c r="H7" s="1"/>
    </row>
    <row r="8" spans="1:8" x14ac:dyDescent="0.3">
      <c r="C8" t="s">
        <v>459</v>
      </c>
      <c r="D8" t="s">
        <v>462</v>
      </c>
    </row>
    <row r="9" spans="1:8" x14ac:dyDescent="0.3">
      <c r="C9" t="s">
        <v>460</v>
      </c>
      <c r="D9" t="s">
        <v>462</v>
      </c>
    </row>
    <row r="10" spans="1:8" x14ac:dyDescent="0.3">
      <c r="C10" t="s">
        <v>465</v>
      </c>
      <c r="D10" t="s">
        <v>462</v>
      </c>
    </row>
    <row r="11" spans="1:8" x14ac:dyDescent="0.3">
      <c r="C11" t="s">
        <v>466</v>
      </c>
      <c r="D11" t="s">
        <v>462</v>
      </c>
    </row>
    <row r="12" spans="1:8" x14ac:dyDescent="0.3">
      <c r="C12" t="s">
        <v>467</v>
      </c>
      <c r="D12" t="s">
        <v>462</v>
      </c>
    </row>
    <row r="13" spans="1:8" x14ac:dyDescent="0.3">
      <c r="C13" t="s">
        <v>468</v>
      </c>
      <c r="D13" t="s">
        <v>469</v>
      </c>
    </row>
    <row r="14" spans="1:8" x14ac:dyDescent="0.3">
      <c r="C14" t="s">
        <v>470</v>
      </c>
      <c r="D14" t="s">
        <v>469</v>
      </c>
    </row>
    <row r="15" spans="1:8" x14ac:dyDescent="0.3">
      <c r="C15" t="s">
        <v>472</v>
      </c>
      <c r="D15" t="s">
        <v>462</v>
      </c>
    </row>
    <row r="16" spans="1:8" x14ac:dyDescent="0.3">
      <c r="B16" t="s">
        <v>473</v>
      </c>
      <c r="C16" t="s">
        <v>474</v>
      </c>
      <c r="D16" t="s">
        <v>462</v>
      </c>
    </row>
    <row r="17" spans="1:4" x14ac:dyDescent="0.3">
      <c r="C17" t="s">
        <v>475</v>
      </c>
      <c r="D17" t="s">
        <v>462</v>
      </c>
    </row>
    <row r="18" spans="1:4" x14ac:dyDescent="0.3">
      <c r="C18" t="s">
        <v>476</v>
      </c>
      <c r="D18" t="s">
        <v>462</v>
      </c>
    </row>
    <row r="19" spans="1:4" x14ac:dyDescent="0.3">
      <c r="A19" s="3">
        <v>42845</v>
      </c>
      <c r="B19" t="s">
        <v>477</v>
      </c>
      <c r="C19" t="s">
        <v>478</v>
      </c>
      <c r="D19" t="s">
        <v>462</v>
      </c>
    </row>
    <row r="20" spans="1:4" x14ac:dyDescent="0.3">
      <c r="C20" t="s">
        <v>479</v>
      </c>
      <c r="D20" t="s">
        <v>462</v>
      </c>
    </row>
    <row r="21" spans="1:4" x14ac:dyDescent="0.3">
      <c r="C21" t="s">
        <v>480</v>
      </c>
      <c r="D21" t="s">
        <v>469</v>
      </c>
    </row>
    <row r="22" spans="1:4" x14ac:dyDescent="0.3">
      <c r="B22" t="s">
        <v>482</v>
      </c>
      <c r="C22" t="s">
        <v>483</v>
      </c>
      <c r="D22" t="s">
        <v>462</v>
      </c>
    </row>
    <row r="23" spans="1:4" x14ac:dyDescent="0.3">
      <c r="B23" t="s">
        <v>498</v>
      </c>
      <c r="C23" t="s">
        <v>500</v>
      </c>
      <c r="D23" t="s">
        <v>499</v>
      </c>
    </row>
    <row r="24" spans="1:4" x14ac:dyDescent="0.3">
      <c r="A24" s="3">
        <v>42846</v>
      </c>
      <c r="B24" t="s">
        <v>501</v>
      </c>
      <c r="C24" t="s">
        <v>502</v>
      </c>
      <c r="D24" t="s">
        <v>462</v>
      </c>
    </row>
    <row r="25" spans="1:4" x14ac:dyDescent="0.3">
      <c r="B25" t="s">
        <v>525</v>
      </c>
      <c r="C25" t="s">
        <v>526</v>
      </c>
      <c r="D25" t="s">
        <v>462</v>
      </c>
    </row>
    <row r="26" spans="1:4" x14ac:dyDescent="0.3">
      <c r="B26" t="s">
        <v>529</v>
      </c>
      <c r="C26" t="s">
        <v>530</v>
      </c>
      <c r="D26" t="s">
        <v>462</v>
      </c>
    </row>
    <row r="27" spans="1:4" x14ac:dyDescent="0.3">
      <c r="C27" t="s">
        <v>532</v>
      </c>
      <c r="D27" t="s">
        <v>462</v>
      </c>
    </row>
    <row r="28" spans="1:4" x14ac:dyDescent="0.3">
      <c r="B28" t="s">
        <v>535</v>
      </c>
      <c r="C28" t="s">
        <v>536</v>
      </c>
      <c r="D28" t="s">
        <v>462</v>
      </c>
    </row>
    <row r="29" spans="1:4" x14ac:dyDescent="0.3">
      <c r="B29" t="s">
        <v>537</v>
      </c>
      <c r="C29" t="s">
        <v>538</v>
      </c>
      <c r="D29" t="s">
        <v>462</v>
      </c>
    </row>
    <row r="30" spans="1:4" x14ac:dyDescent="0.3">
      <c r="B30" t="s">
        <v>587</v>
      </c>
      <c r="C30" t="s">
        <v>589</v>
      </c>
      <c r="D30" t="s">
        <v>588</v>
      </c>
    </row>
    <row r="31" spans="1:4" x14ac:dyDescent="0.3">
      <c r="A31" s="3">
        <v>42851</v>
      </c>
      <c r="B31" t="s">
        <v>586</v>
      </c>
      <c r="C31" t="s">
        <v>585</v>
      </c>
      <c r="D31" t="s">
        <v>499</v>
      </c>
    </row>
    <row r="32" spans="1:4" x14ac:dyDescent="0.3">
      <c r="A32" s="3">
        <v>42852</v>
      </c>
      <c r="B32" t="s">
        <v>584</v>
      </c>
      <c r="C32" t="s">
        <v>585</v>
      </c>
      <c r="D32" t="s">
        <v>499</v>
      </c>
    </row>
    <row r="33" spans="1:4" x14ac:dyDescent="0.3">
      <c r="A33" s="3">
        <v>42853</v>
      </c>
      <c r="B33" t="s">
        <v>590</v>
      </c>
      <c r="C33" t="s">
        <v>591</v>
      </c>
      <c r="D33" t="s">
        <v>499</v>
      </c>
    </row>
    <row r="34" spans="1:4" x14ac:dyDescent="0.3">
      <c r="C34" t="s">
        <v>592</v>
      </c>
      <c r="D34" t="s">
        <v>499</v>
      </c>
    </row>
    <row r="35" spans="1:4" x14ac:dyDescent="0.3">
      <c r="C35" t="s">
        <v>740</v>
      </c>
      <c r="D35" t="s">
        <v>499</v>
      </c>
    </row>
    <row r="36" spans="1:4" x14ac:dyDescent="0.3">
      <c r="A36" s="3">
        <v>42857</v>
      </c>
      <c r="B36" t="s">
        <v>799</v>
      </c>
      <c r="C36" t="s">
        <v>592</v>
      </c>
      <c r="D36" t="s">
        <v>588</v>
      </c>
    </row>
    <row r="37" spans="1:4" x14ac:dyDescent="0.3">
      <c r="B37" t="s">
        <v>800</v>
      </c>
      <c r="C37" t="s">
        <v>801</v>
      </c>
      <c r="D37" t="s">
        <v>469</v>
      </c>
    </row>
    <row r="38" spans="1:4" x14ac:dyDescent="0.3">
      <c r="C38" t="s">
        <v>802</v>
      </c>
      <c r="D38" t="s">
        <v>469</v>
      </c>
    </row>
    <row r="39" spans="1:4" x14ac:dyDescent="0.3">
      <c r="C39" t="s">
        <v>803</v>
      </c>
      <c r="D39" t="s">
        <v>462</v>
      </c>
    </row>
    <row r="40" spans="1:4" x14ac:dyDescent="0.3">
      <c r="C40" t="s">
        <v>804</v>
      </c>
      <c r="D40" t="s">
        <v>462</v>
      </c>
    </row>
    <row r="41" spans="1:4" x14ac:dyDescent="0.3">
      <c r="C41" t="s">
        <v>805</v>
      </c>
      <c r="D41" t="s">
        <v>462</v>
      </c>
    </row>
    <row r="42" spans="1:4" x14ac:dyDescent="0.3">
      <c r="C42" t="s">
        <v>806</v>
      </c>
      <c r="D42" t="s">
        <v>469</v>
      </c>
    </row>
    <row r="43" spans="1:4" x14ac:dyDescent="0.3">
      <c r="C43" t="s">
        <v>809</v>
      </c>
      <c r="D43" t="s">
        <v>462</v>
      </c>
    </row>
    <row r="44" spans="1:4" x14ac:dyDescent="0.3">
      <c r="A44" s="3">
        <v>42860</v>
      </c>
      <c r="B44" t="s">
        <v>818</v>
      </c>
      <c r="C44" t="s">
        <v>819</v>
      </c>
      <c r="D44" t="s">
        <v>588</v>
      </c>
    </row>
    <row r="45" spans="1:4" x14ac:dyDescent="0.3">
      <c r="B45" t="s">
        <v>820</v>
      </c>
      <c r="C45" t="s">
        <v>502</v>
      </c>
      <c r="D45" t="s">
        <v>462</v>
      </c>
    </row>
    <row r="46" spans="1:4" x14ac:dyDescent="0.3">
      <c r="C46" t="s">
        <v>821</v>
      </c>
      <c r="D46" t="s">
        <v>462</v>
      </c>
    </row>
    <row r="47" spans="1:4" x14ac:dyDescent="0.3">
      <c r="C47" t="s">
        <v>822</v>
      </c>
      <c r="D47" t="s">
        <v>462</v>
      </c>
    </row>
    <row r="48" spans="1:4" x14ac:dyDescent="0.3">
      <c r="B48" t="s">
        <v>823</v>
      </c>
      <c r="C48" t="s">
        <v>824</v>
      </c>
      <c r="D48" t="s">
        <v>462</v>
      </c>
    </row>
    <row r="49" spans="1:4" x14ac:dyDescent="0.3">
      <c r="B49" t="s">
        <v>825</v>
      </c>
      <c r="C49" t="s">
        <v>824</v>
      </c>
      <c r="D49" t="s">
        <v>588</v>
      </c>
    </row>
    <row r="50" spans="1:4" x14ac:dyDescent="0.3">
      <c r="B50" t="s">
        <v>826</v>
      </c>
      <c r="C50" t="s">
        <v>824</v>
      </c>
      <c r="D50" t="s">
        <v>588</v>
      </c>
    </row>
    <row r="51" spans="1:4" x14ac:dyDescent="0.3">
      <c r="A51" s="3">
        <v>42864</v>
      </c>
      <c r="B51" t="s">
        <v>827</v>
      </c>
      <c r="C51" t="s">
        <v>828</v>
      </c>
      <c r="D51" t="s">
        <v>469</v>
      </c>
    </row>
    <row r="52" spans="1:4" x14ac:dyDescent="0.3">
      <c r="B52" t="s">
        <v>829</v>
      </c>
      <c r="C52" t="s">
        <v>824</v>
      </c>
      <c r="D52" t="s">
        <v>469</v>
      </c>
    </row>
    <row r="53" spans="1:4" x14ac:dyDescent="0.3">
      <c r="A53" s="3">
        <v>42867</v>
      </c>
      <c r="B53" t="s">
        <v>830</v>
      </c>
      <c r="C53" t="s">
        <v>831</v>
      </c>
      <c r="D53" t="s">
        <v>588</v>
      </c>
    </row>
    <row r="54" spans="1:4" x14ac:dyDescent="0.3">
      <c r="A54" s="3">
        <v>42870</v>
      </c>
      <c r="B54" t="s">
        <v>832</v>
      </c>
      <c r="C54" t="s">
        <v>833</v>
      </c>
      <c r="D54" t="s">
        <v>588</v>
      </c>
    </row>
    <row r="55" spans="1:4" x14ac:dyDescent="0.3">
      <c r="C55" t="s">
        <v>834</v>
      </c>
      <c r="D55" t="s">
        <v>588</v>
      </c>
    </row>
    <row r="56" spans="1:4" x14ac:dyDescent="0.3">
      <c r="C56" t="s">
        <v>883</v>
      </c>
      <c r="D56" t="s">
        <v>588</v>
      </c>
    </row>
    <row r="57" spans="1:4" x14ac:dyDescent="0.3">
      <c r="C57" t="s">
        <v>884</v>
      </c>
      <c r="D57" t="s">
        <v>588</v>
      </c>
    </row>
    <row r="58" spans="1:4" x14ac:dyDescent="0.3">
      <c r="A58" s="3">
        <v>42871</v>
      </c>
      <c r="B58" t="s">
        <v>885</v>
      </c>
      <c r="C58" t="s">
        <v>889</v>
      </c>
      <c r="D58" t="s">
        <v>588</v>
      </c>
    </row>
    <row r="59" spans="1:4" x14ac:dyDescent="0.3">
      <c r="A59" s="3">
        <v>42871</v>
      </c>
      <c r="B59" t="s">
        <v>890</v>
      </c>
      <c r="C59" t="s">
        <v>891</v>
      </c>
      <c r="D59" t="s">
        <v>588</v>
      </c>
    </row>
    <row r="60" spans="1:4" x14ac:dyDescent="0.3">
      <c r="A60" s="3">
        <v>42872</v>
      </c>
      <c r="B60" t="s">
        <v>925</v>
      </c>
      <c r="C60" t="s">
        <v>926</v>
      </c>
      <c r="D60" t="s">
        <v>588</v>
      </c>
    </row>
    <row r="61" spans="1:4" x14ac:dyDescent="0.3">
      <c r="C61" t="s">
        <v>927</v>
      </c>
      <c r="D61" t="s">
        <v>588</v>
      </c>
    </row>
    <row r="62" spans="1:4" x14ac:dyDescent="0.3">
      <c r="A62" s="3">
        <v>42873</v>
      </c>
      <c r="B62" t="s">
        <v>928</v>
      </c>
      <c r="C62" t="s">
        <v>929</v>
      </c>
      <c r="D62" t="s">
        <v>588</v>
      </c>
    </row>
    <row r="63" spans="1:4" x14ac:dyDescent="0.3">
      <c r="B63" t="s">
        <v>932</v>
      </c>
      <c r="C63" t="s">
        <v>931</v>
      </c>
      <c r="D63" t="s">
        <v>588</v>
      </c>
    </row>
    <row r="64" spans="1:4" x14ac:dyDescent="0.3">
      <c r="C64" t="s">
        <v>889</v>
      </c>
      <c r="D64" t="s">
        <v>588</v>
      </c>
    </row>
    <row r="65" spans="1:4" x14ac:dyDescent="0.3">
      <c r="A65" s="3">
        <v>42874</v>
      </c>
      <c r="B65" t="s">
        <v>998</v>
      </c>
      <c r="C65" t="s">
        <v>999</v>
      </c>
      <c r="D65" t="s">
        <v>588</v>
      </c>
    </row>
    <row r="66" spans="1:4" x14ac:dyDescent="0.3">
      <c r="C66" t="s">
        <v>1000</v>
      </c>
      <c r="D66" t="s">
        <v>588</v>
      </c>
    </row>
    <row r="67" spans="1:4" x14ac:dyDescent="0.3">
      <c r="C67" t="s">
        <v>1005</v>
      </c>
      <c r="D67" t="s">
        <v>588</v>
      </c>
    </row>
    <row r="68" spans="1:4" x14ac:dyDescent="0.3">
      <c r="C68" t="s">
        <v>1016</v>
      </c>
      <c r="D68" t="s">
        <v>588</v>
      </c>
    </row>
    <row r="69" spans="1:4" x14ac:dyDescent="0.3">
      <c r="A69" s="3">
        <v>42877</v>
      </c>
      <c r="B69" t="s">
        <v>1025</v>
      </c>
      <c r="C69" t="s">
        <v>1016</v>
      </c>
      <c r="D69" t="s">
        <v>588</v>
      </c>
    </row>
    <row r="70" spans="1:4" x14ac:dyDescent="0.3">
      <c r="A70" s="3">
        <v>42878</v>
      </c>
      <c r="B70" t="s">
        <v>1150</v>
      </c>
      <c r="C70" t="s">
        <v>1151</v>
      </c>
      <c r="D70" t="s">
        <v>469</v>
      </c>
    </row>
    <row r="71" spans="1:4" x14ac:dyDescent="0.3">
      <c r="C71" t="s">
        <v>1152</v>
      </c>
      <c r="D71" t="s">
        <v>462</v>
      </c>
    </row>
    <row r="72" spans="1:4" x14ac:dyDescent="0.3">
      <c r="C72" t="s">
        <v>1153</v>
      </c>
      <c r="D72" t="s">
        <v>462</v>
      </c>
    </row>
    <row r="73" spans="1:4" x14ac:dyDescent="0.3">
      <c r="C73" t="s">
        <v>1156</v>
      </c>
      <c r="D73" t="s">
        <v>462</v>
      </c>
    </row>
    <row r="74" spans="1:4" x14ac:dyDescent="0.3">
      <c r="A74" s="3">
        <v>42880</v>
      </c>
      <c r="C74" t="s">
        <v>1211</v>
      </c>
      <c r="D74" t="s">
        <v>499</v>
      </c>
    </row>
    <row r="75" spans="1:4" x14ac:dyDescent="0.3">
      <c r="A75" s="3"/>
    </row>
    <row r="76" spans="1:4" x14ac:dyDescent="0.3">
      <c r="A76" t="s">
        <v>1210</v>
      </c>
    </row>
    <row r="77" spans="1:4" x14ac:dyDescent="0.3">
      <c r="A77" s="3">
        <v>42895</v>
      </c>
      <c r="B77" t="s">
        <v>1209</v>
      </c>
      <c r="C77" t="s">
        <v>1212</v>
      </c>
      <c r="D77" t="s">
        <v>588</v>
      </c>
    </row>
    <row r="78" spans="1:4" x14ac:dyDescent="0.3">
      <c r="C78" t="s">
        <v>1218</v>
      </c>
      <c r="D78" t="s">
        <v>588</v>
      </c>
    </row>
    <row r="79" spans="1:4" x14ac:dyDescent="0.3">
      <c r="C79" t="s">
        <v>1219</v>
      </c>
      <c r="D79" t="s">
        <v>588</v>
      </c>
    </row>
    <row r="80" spans="1:4" x14ac:dyDescent="0.3">
      <c r="A80" s="3">
        <v>42900</v>
      </c>
      <c r="C80" t="s">
        <v>1220</v>
      </c>
      <c r="D80" t="s">
        <v>588</v>
      </c>
    </row>
    <row r="81" spans="1:4" x14ac:dyDescent="0.3">
      <c r="C81" t="s">
        <v>1289</v>
      </c>
      <c r="D81" t="s">
        <v>588</v>
      </c>
    </row>
    <row r="82" spans="1:4" x14ac:dyDescent="0.3">
      <c r="C82" t="s">
        <v>1265</v>
      </c>
      <c r="D82" t="s">
        <v>588</v>
      </c>
    </row>
    <row r="83" spans="1:4" x14ac:dyDescent="0.3">
      <c r="A83" s="3">
        <v>42905</v>
      </c>
      <c r="B83" t="s">
        <v>1332</v>
      </c>
      <c r="C83" t="s">
        <v>1333</v>
      </c>
      <c r="D83" t="s">
        <v>588</v>
      </c>
    </row>
    <row r="84" spans="1:4" x14ac:dyDescent="0.3">
      <c r="C84" t="s">
        <v>1334</v>
      </c>
      <c r="D84" t="s">
        <v>588</v>
      </c>
    </row>
    <row r="85" spans="1:4" x14ac:dyDescent="0.3">
      <c r="C85" t="s">
        <v>1363</v>
      </c>
      <c r="D85" t="s">
        <v>588</v>
      </c>
    </row>
    <row r="86" spans="1:4" x14ac:dyDescent="0.3">
      <c r="A86" s="3">
        <v>42906</v>
      </c>
      <c r="B86" t="s">
        <v>1364</v>
      </c>
      <c r="C86" t="s">
        <v>1369</v>
      </c>
      <c r="D86" t="s">
        <v>588</v>
      </c>
    </row>
    <row r="87" spans="1:4" x14ac:dyDescent="0.3">
      <c r="C87" t="s">
        <v>1366</v>
      </c>
      <c r="D87" t="s">
        <v>469</v>
      </c>
    </row>
    <row r="88" spans="1:4" x14ac:dyDescent="0.3">
      <c r="C88" t="s">
        <v>1368</v>
      </c>
      <c r="D88" t="s">
        <v>469</v>
      </c>
    </row>
    <row r="89" spans="1:4" x14ac:dyDescent="0.3">
      <c r="A89" s="3">
        <v>42915</v>
      </c>
      <c r="B89" t="s">
        <v>1392</v>
      </c>
      <c r="C89" t="s">
        <v>1395</v>
      </c>
      <c r="D89" t="s">
        <v>588</v>
      </c>
    </row>
    <row r="90" spans="1:4" x14ac:dyDescent="0.3">
      <c r="C90" t="s">
        <v>1394</v>
      </c>
      <c r="D90" t="s">
        <v>588</v>
      </c>
    </row>
    <row r="91" spans="1:4" x14ac:dyDescent="0.3">
      <c r="A91" s="3">
        <v>42915</v>
      </c>
      <c r="B91" t="s">
        <v>1398</v>
      </c>
      <c r="C91" t="s">
        <v>1399</v>
      </c>
      <c r="D91" t="s">
        <v>588</v>
      </c>
    </row>
    <row r="92" spans="1:4" x14ac:dyDescent="0.3">
      <c r="C92" t="s">
        <v>1414</v>
      </c>
      <c r="D92" t="s">
        <v>588</v>
      </c>
    </row>
    <row r="93" spans="1:4" x14ac:dyDescent="0.3">
      <c r="A93" s="3">
        <v>42916</v>
      </c>
      <c r="C93" t="s">
        <v>1449</v>
      </c>
      <c r="D93" t="s">
        <v>588</v>
      </c>
    </row>
    <row r="94" spans="1:4" x14ac:dyDescent="0.3">
      <c r="A94" s="3">
        <v>42922</v>
      </c>
      <c r="B94" t="s">
        <v>1452</v>
      </c>
    </row>
    <row r="95" spans="1:4" x14ac:dyDescent="0.3">
      <c r="A95" s="3">
        <v>42929</v>
      </c>
      <c r="B95" t="s">
        <v>1482</v>
      </c>
      <c r="C95" t="s">
        <v>1483</v>
      </c>
      <c r="D95" t="s">
        <v>588</v>
      </c>
    </row>
    <row r="96" spans="1:4" x14ac:dyDescent="0.3">
      <c r="A96" s="3">
        <v>42934</v>
      </c>
      <c r="B96" t="s">
        <v>1531</v>
      </c>
      <c r="C96" t="s">
        <v>1532</v>
      </c>
      <c r="D96" t="s">
        <v>588</v>
      </c>
    </row>
    <row r="97" spans="1:4" x14ac:dyDescent="0.3">
      <c r="B97" t="s">
        <v>1563</v>
      </c>
      <c r="C97" t="s">
        <v>1564</v>
      </c>
      <c r="D97" t="s">
        <v>588</v>
      </c>
    </row>
    <row r="98" spans="1:4" x14ac:dyDescent="0.3">
      <c r="A98" s="3">
        <v>42936</v>
      </c>
      <c r="B98" t="s">
        <v>449</v>
      </c>
      <c r="C98" t="s">
        <v>1565</v>
      </c>
      <c r="D98" t="s">
        <v>588</v>
      </c>
    </row>
    <row r="99" spans="1:4" x14ac:dyDescent="0.3">
      <c r="B99" t="s">
        <v>457</v>
      </c>
      <c r="C99" t="s">
        <v>1568</v>
      </c>
      <c r="D99" t="s">
        <v>588</v>
      </c>
    </row>
    <row r="100" spans="1:4" x14ac:dyDescent="0.3">
      <c r="B100" t="s">
        <v>473</v>
      </c>
      <c r="C100" t="s">
        <v>1571</v>
      </c>
      <c r="D100" t="s">
        <v>588</v>
      </c>
    </row>
    <row r="101" spans="1:4" x14ac:dyDescent="0.3">
      <c r="C101" t="s">
        <v>1585</v>
      </c>
      <c r="D101" t="s">
        <v>588</v>
      </c>
    </row>
    <row r="102" spans="1:4" x14ac:dyDescent="0.3">
      <c r="C102" t="s">
        <v>1586</v>
      </c>
      <c r="D102" t="s">
        <v>588</v>
      </c>
    </row>
    <row r="103" spans="1:4" x14ac:dyDescent="0.3">
      <c r="C103" t="s">
        <v>1587</v>
      </c>
      <c r="D103" t="s">
        <v>588</v>
      </c>
    </row>
    <row r="105" spans="1:4" x14ac:dyDescent="0.3">
      <c r="B105" t="s">
        <v>482</v>
      </c>
      <c r="C105" t="s">
        <v>1638</v>
      </c>
      <c r="D105" t="s">
        <v>588</v>
      </c>
    </row>
    <row r="106" spans="1:4" x14ac:dyDescent="0.3">
      <c r="C106" t="s">
        <v>1645</v>
      </c>
      <c r="D106" t="s">
        <v>588</v>
      </c>
    </row>
    <row r="107" spans="1:4" x14ac:dyDescent="0.3">
      <c r="B107" t="s">
        <v>501</v>
      </c>
      <c r="C107" t="s">
        <v>1647</v>
      </c>
      <c r="D107" t="s">
        <v>588</v>
      </c>
    </row>
    <row r="108" spans="1:4" x14ac:dyDescent="0.3">
      <c r="B108" t="s">
        <v>525</v>
      </c>
      <c r="C108" t="s">
        <v>1650</v>
      </c>
      <c r="D108" t="s">
        <v>588</v>
      </c>
    </row>
    <row r="109" spans="1:4" x14ac:dyDescent="0.3">
      <c r="C109" t="s">
        <v>1658</v>
      </c>
      <c r="D109" t="s">
        <v>588</v>
      </c>
    </row>
    <row r="110" spans="1:4" x14ac:dyDescent="0.3">
      <c r="B110" t="s">
        <v>537</v>
      </c>
      <c r="C110" t="s">
        <v>1663</v>
      </c>
      <c r="D110" t="s">
        <v>588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
  <sheetViews>
    <sheetView workbookViewId="0"/>
  </sheetViews>
  <sheetFormatPr defaultColWidth="8.88671875"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Introduction</vt:lpstr>
      <vt:lpstr>User Guide</vt:lpstr>
      <vt:lpstr>Evidence</vt:lpstr>
      <vt:lpstr>Output</vt:lpstr>
      <vt:lpstr>Further Information</vt:lpstr>
      <vt:lpstr>Glossary</vt:lpstr>
      <vt:lpstr>Sources</vt:lpstr>
      <vt:lpstr>changes</vt:lpstr>
      <vt:lpstr>Admin</vt:lpstr>
      <vt:lpstr>Sources!_Toc351547626</vt:lpstr>
      <vt:lpstr>Assumptions_input</vt:lpstr>
      <vt:lpstr>Hyperlink_address</vt:lpstr>
      <vt:lpstr>input_Data</vt:lpstr>
      <vt:lpstr>output_data</vt:lpstr>
      <vt:lpstr>'Further Information'!Print_Area</vt:lpstr>
      <vt:lpstr>Glossary!Print_Area</vt:lpstr>
      <vt:lpstr>Introduction!Print_Area</vt:lpstr>
      <vt:lpstr>Output!Print_Area</vt:lpstr>
      <vt:lpstr>Sources!Print_Area</vt:lpstr>
      <vt:lpstr>'User Guide'!Print_Area</vt:lpstr>
      <vt:lpstr>Reference_address</vt:lpstr>
      <vt:lpstr>selected_ID</vt:lpstr>
      <vt:lpstr>Summary_input</vt:lpstr>
      <vt:lpstr>Sources!Text18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Toms</dc:creator>
  <cp:lastModifiedBy>Whitmarsh Philo (BCCG)</cp:lastModifiedBy>
  <cp:lastPrinted>2017-08-10T12:46:56Z</cp:lastPrinted>
  <dcterms:created xsi:type="dcterms:W3CDTF">2017-02-06T15:07:03Z</dcterms:created>
  <dcterms:modified xsi:type="dcterms:W3CDTF">2022-10-17T07:24:58Z</dcterms:modified>
</cp:coreProperties>
</file>